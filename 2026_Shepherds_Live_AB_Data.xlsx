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acfriesen/FCA Dropbox/Isaac Friesen/Ben/*Shepherds_800/2026/Evaluations/Spreadsheets:Data/"/>
    </mc:Choice>
  </mc:AlternateContent>
  <xr:revisionPtr revIDLastSave="0" documentId="13_ncr:1_{481A1CC1-9790-F744-845E-D3DB579EA397}" xr6:coauthVersionLast="47" xr6:coauthVersionMax="47" xr10:uidLastSave="{00000000-0000-0000-0000-000000000000}"/>
  <bookViews>
    <workbookView xWindow="0" yWindow="660" windowWidth="30240" windowHeight="17500" xr2:uid="{05991204-4198-914C-AB8E-6FE7048A3BE0}"/>
  </bookViews>
  <sheets>
    <sheet name="Master" sheetId="2" r:id="rId1"/>
    <sheet name="Totals" sheetId="26" r:id="rId2"/>
    <sheet name="Craig" sheetId="15" r:id="rId3"/>
    <sheet name="Esteban" sheetId="11" r:id="rId4"/>
    <sheet name="Garcia" sheetId="12" r:id="rId5"/>
    <sheet name="Orr (P)" sheetId="16" r:id="rId6"/>
    <sheet name="Samples (P)" sheetId="13" r:id="rId7"/>
    <sheet name="Walsh (P)" sheetId="19" r:id="rId8"/>
    <sheet name="Van Ness" sheetId="18" r:id="rId9"/>
    <sheet name="Caranna" sheetId="22" r:id="rId10"/>
    <sheet name="Chang" sheetId="25" r:id="rId11"/>
    <sheet name="Han" sheetId="23" r:id="rId12"/>
    <sheet name="Koontz" sheetId="27" r:id="rId13"/>
    <sheet name="Orr (H)" sheetId="17" r:id="rId14"/>
    <sheet name="Samples (H)" sheetId="14" r:id="rId15"/>
    <sheet name="Steck" sheetId="24" r:id="rId16"/>
    <sheet name="Walsh (H)" sheetId="20" r:id="rId17"/>
    <sheet name="Young" sheetId="21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6" i="26" l="1"/>
  <c r="S27" i="26"/>
  <c r="S17" i="26"/>
  <c r="S18" i="26"/>
  <c r="S19" i="26"/>
  <c r="S20" i="26"/>
  <c r="S21" i="26"/>
  <c r="S22" i="26"/>
  <c r="S23" i="26"/>
  <c r="S24" i="26"/>
  <c r="S25" i="26"/>
  <c r="I26" i="26"/>
  <c r="I27" i="26"/>
  <c r="J26" i="26"/>
  <c r="J27" i="26"/>
  <c r="H28" i="26"/>
  <c r="L18" i="26"/>
  <c r="L19" i="26"/>
  <c r="L20" i="26"/>
  <c r="L21" i="26"/>
  <c r="L22" i="26"/>
  <c r="L23" i="26"/>
  <c r="L24" i="26"/>
  <c r="L25" i="26"/>
  <c r="L26" i="26"/>
  <c r="L27" i="26"/>
  <c r="L17" i="26"/>
  <c r="Y726" i="2"/>
  <c r="AH13" i="26" l="1"/>
  <c r="K82" i="13"/>
  <c r="K81" i="13"/>
  <c r="K80" i="13"/>
  <c r="K79" i="13"/>
  <c r="K78" i="13"/>
  <c r="K69" i="13"/>
  <c r="K68" i="13"/>
  <c r="K67" i="13"/>
  <c r="K66" i="13"/>
  <c r="AG209" i="13"/>
  <c r="AA99" i="13"/>
  <c r="AB98" i="13" s="1"/>
  <c r="K68" i="12"/>
  <c r="P28" i="26"/>
  <c r="O28" i="26"/>
  <c r="U28" i="26"/>
  <c r="T28" i="26"/>
  <c r="D11" i="26"/>
  <c r="C89" i="13"/>
  <c r="D88" i="13"/>
  <c r="E88" i="13"/>
  <c r="F88" i="13"/>
  <c r="G88" i="13"/>
  <c r="C88" i="13"/>
  <c r="D66" i="13"/>
  <c r="E66" i="13"/>
  <c r="F66" i="13"/>
  <c r="G66" i="13"/>
  <c r="H66" i="13"/>
  <c r="I66" i="13"/>
  <c r="J66" i="13"/>
  <c r="D67" i="13"/>
  <c r="E67" i="13"/>
  <c r="F67" i="13"/>
  <c r="G67" i="13"/>
  <c r="H67" i="13"/>
  <c r="I67" i="13"/>
  <c r="J67" i="13"/>
  <c r="D68" i="13"/>
  <c r="E68" i="13"/>
  <c r="F68" i="13"/>
  <c r="G68" i="13"/>
  <c r="H68" i="13"/>
  <c r="I68" i="13"/>
  <c r="J68" i="13"/>
  <c r="D69" i="13"/>
  <c r="E69" i="13"/>
  <c r="F69" i="13"/>
  <c r="G69" i="13"/>
  <c r="H69" i="13"/>
  <c r="I69" i="13"/>
  <c r="J69" i="13"/>
  <c r="C72" i="13"/>
  <c r="C71" i="13"/>
  <c r="C70" i="13"/>
  <c r="C76" i="13"/>
  <c r="C75" i="13"/>
  <c r="C74" i="13"/>
  <c r="D78" i="13"/>
  <c r="E78" i="13"/>
  <c r="F78" i="13"/>
  <c r="G78" i="13"/>
  <c r="H78" i="13"/>
  <c r="I78" i="13"/>
  <c r="J78" i="13"/>
  <c r="D79" i="13"/>
  <c r="E79" i="13"/>
  <c r="F79" i="13"/>
  <c r="G79" i="13"/>
  <c r="H79" i="13"/>
  <c r="I79" i="13"/>
  <c r="J79" i="13"/>
  <c r="D80" i="13"/>
  <c r="E80" i="13"/>
  <c r="F80" i="13"/>
  <c r="G80" i="13"/>
  <c r="H80" i="13"/>
  <c r="I80" i="13"/>
  <c r="J80" i="13"/>
  <c r="D81" i="13"/>
  <c r="E81" i="13"/>
  <c r="F81" i="13"/>
  <c r="G81" i="13"/>
  <c r="H81" i="13"/>
  <c r="I81" i="13"/>
  <c r="J81" i="13"/>
  <c r="C80" i="13"/>
  <c r="C79" i="13"/>
  <c r="C78" i="13"/>
  <c r="D82" i="13"/>
  <c r="E82" i="13"/>
  <c r="F82" i="13"/>
  <c r="G82" i="13"/>
  <c r="H82" i="13"/>
  <c r="I82" i="13"/>
  <c r="J82" i="13"/>
  <c r="D83" i="13"/>
  <c r="E83" i="13"/>
  <c r="F83" i="13"/>
  <c r="G83" i="13"/>
  <c r="H83" i="13"/>
  <c r="I83" i="13"/>
  <c r="J83" i="13"/>
  <c r="D84" i="13"/>
  <c r="E84" i="13"/>
  <c r="F84" i="13"/>
  <c r="G84" i="13"/>
  <c r="H84" i="13"/>
  <c r="I84" i="13"/>
  <c r="J84" i="13"/>
  <c r="D85" i="13"/>
  <c r="E85" i="13"/>
  <c r="F85" i="13"/>
  <c r="G85" i="13"/>
  <c r="H85" i="13"/>
  <c r="I85" i="13"/>
  <c r="J85" i="13"/>
  <c r="C84" i="13"/>
  <c r="C83" i="13"/>
  <c r="C82" i="13"/>
  <c r="D74" i="13"/>
  <c r="E74" i="13"/>
  <c r="F74" i="13"/>
  <c r="G74" i="13"/>
  <c r="H74" i="13"/>
  <c r="I74" i="13"/>
  <c r="J74" i="13"/>
  <c r="D75" i="13"/>
  <c r="E75" i="13"/>
  <c r="F75" i="13"/>
  <c r="G75" i="13"/>
  <c r="H75" i="13"/>
  <c r="I75" i="13"/>
  <c r="J75" i="13"/>
  <c r="D76" i="13"/>
  <c r="E76" i="13"/>
  <c r="F76" i="13"/>
  <c r="G76" i="13"/>
  <c r="H76" i="13"/>
  <c r="I76" i="13"/>
  <c r="J76" i="13"/>
  <c r="D77" i="13"/>
  <c r="E77" i="13"/>
  <c r="F77" i="13"/>
  <c r="G77" i="13"/>
  <c r="H77" i="13"/>
  <c r="I77" i="13"/>
  <c r="J77" i="13"/>
  <c r="C77" i="13"/>
  <c r="C81" i="13"/>
  <c r="C85" i="13"/>
  <c r="C73" i="13"/>
  <c r="C65" i="13"/>
  <c r="C69" i="13"/>
  <c r="C68" i="13"/>
  <c r="C67" i="13"/>
  <c r="C66" i="13"/>
  <c r="D64" i="13"/>
  <c r="E64" i="13"/>
  <c r="F64" i="13"/>
  <c r="G64" i="13"/>
  <c r="H64" i="13"/>
  <c r="I64" i="13"/>
  <c r="J64" i="13"/>
  <c r="D63" i="13"/>
  <c r="E63" i="13"/>
  <c r="F63" i="13"/>
  <c r="G63" i="13"/>
  <c r="H63" i="13"/>
  <c r="I63" i="13"/>
  <c r="J63" i="13"/>
  <c r="D62" i="13"/>
  <c r="E62" i="13"/>
  <c r="F62" i="13"/>
  <c r="G62" i="13"/>
  <c r="H62" i="13"/>
  <c r="I62" i="13"/>
  <c r="J62" i="13"/>
  <c r="C64" i="13"/>
  <c r="C63" i="13"/>
  <c r="C62" i="13"/>
  <c r="C63" i="19"/>
  <c r="C62" i="19"/>
  <c r="C85" i="19"/>
  <c r="C83" i="19"/>
  <c r="C82" i="19"/>
  <c r="C84" i="19"/>
  <c r="K86" i="19"/>
  <c r="D86" i="19"/>
  <c r="E86" i="19"/>
  <c r="F86" i="19"/>
  <c r="G86" i="19"/>
  <c r="H86" i="19"/>
  <c r="I86" i="19"/>
  <c r="J86" i="19"/>
  <c r="C86" i="19"/>
  <c r="AW10" i="26"/>
  <c r="AV10" i="26"/>
  <c r="AU10" i="26"/>
  <c r="AT10" i="26"/>
  <c r="AS10" i="26"/>
  <c r="AR10" i="26"/>
  <c r="AQ10" i="26"/>
  <c r="AP10" i="26"/>
  <c r="AO10" i="26"/>
  <c r="AN10" i="26"/>
  <c r="AM10" i="26"/>
  <c r="AL10" i="26"/>
  <c r="AK10" i="26"/>
  <c r="AJ10" i="26"/>
  <c r="AI10" i="26"/>
  <c r="AH10" i="26"/>
  <c r="AE10" i="26"/>
  <c r="AC10" i="26"/>
  <c r="AA10" i="26"/>
  <c r="Y10" i="26"/>
  <c r="S10" i="26"/>
  <c r="Q10" i="26"/>
  <c r="N10" i="26"/>
  <c r="M10" i="26"/>
  <c r="L10" i="26"/>
  <c r="H10" i="26"/>
  <c r="G10" i="26"/>
  <c r="F10" i="26"/>
  <c r="E10" i="26"/>
  <c r="K77" i="19"/>
  <c r="K76" i="19"/>
  <c r="K75" i="19"/>
  <c r="K74" i="19"/>
  <c r="K73" i="19"/>
  <c r="K72" i="19"/>
  <c r="K71" i="19"/>
  <c r="K70" i="19"/>
  <c r="K69" i="19"/>
  <c r="K68" i="19"/>
  <c r="K67" i="19"/>
  <c r="K66" i="19"/>
  <c r="K65" i="19"/>
  <c r="K64" i="19"/>
  <c r="K63" i="19"/>
  <c r="K62" i="19"/>
  <c r="C77" i="19"/>
  <c r="C76" i="19"/>
  <c r="C75" i="19"/>
  <c r="C74" i="19"/>
  <c r="C73" i="19"/>
  <c r="C72" i="19"/>
  <c r="C71" i="19"/>
  <c r="C70" i="19"/>
  <c r="C69" i="19"/>
  <c r="C68" i="19"/>
  <c r="C67" i="19"/>
  <c r="C66" i="19"/>
  <c r="C65" i="19"/>
  <c r="C64" i="19"/>
  <c r="J5" i="12"/>
  <c r="H5" i="12"/>
  <c r="E5" i="12"/>
  <c r="F5" i="12"/>
  <c r="P10" i="26" l="1"/>
  <c r="S28" i="26"/>
  <c r="AB94" i="13"/>
  <c r="AB96" i="13"/>
  <c r="AB97" i="13"/>
  <c r="BB10" i="26"/>
  <c r="BD10" i="26"/>
  <c r="AB95" i="13"/>
  <c r="AZ10" i="26"/>
  <c r="BF10" i="26"/>
  <c r="T10" i="26"/>
  <c r="AF10" i="26"/>
  <c r="F5" i="16"/>
  <c r="E7" i="26" s="1"/>
  <c r="Z86" i="16"/>
  <c r="Z89" i="16"/>
  <c r="Z88" i="16"/>
  <c r="Z87" i="16"/>
  <c r="K28" i="26"/>
  <c r="F28" i="26"/>
  <c r="G28" i="26"/>
  <c r="D28" i="26"/>
  <c r="J18" i="26"/>
  <c r="J19" i="26"/>
  <c r="J20" i="26"/>
  <c r="J21" i="26"/>
  <c r="J22" i="26"/>
  <c r="J23" i="26"/>
  <c r="J24" i="26"/>
  <c r="J25" i="26"/>
  <c r="J17" i="26"/>
  <c r="I18" i="26"/>
  <c r="I19" i="26"/>
  <c r="I20" i="26"/>
  <c r="I21" i="26"/>
  <c r="I22" i="26"/>
  <c r="I23" i="26"/>
  <c r="I24" i="26"/>
  <c r="I25" i="26"/>
  <c r="I17" i="26"/>
  <c r="E18" i="26"/>
  <c r="E19" i="26"/>
  <c r="E20" i="26"/>
  <c r="E21" i="26"/>
  <c r="E22" i="26"/>
  <c r="E23" i="26"/>
  <c r="E24" i="26"/>
  <c r="E25" i="26"/>
  <c r="E17" i="26"/>
  <c r="G82" i="12"/>
  <c r="H82" i="12"/>
  <c r="I82" i="12"/>
  <c r="J82" i="12"/>
  <c r="K82" i="12"/>
  <c r="K85" i="19"/>
  <c r="J85" i="19"/>
  <c r="I85" i="19"/>
  <c r="H85" i="19"/>
  <c r="G85" i="19"/>
  <c r="F85" i="19"/>
  <c r="E85" i="19"/>
  <c r="D85" i="19"/>
  <c r="K84" i="19"/>
  <c r="J84" i="19"/>
  <c r="I84" i="19"/>
  <c r="H84" i="19"/>
  <c r="G84" i="19"/>
  <c r="F84" i="19"/>
  <c r="E84" i="19"/>
  <c r="D84" i="19"/>
  <c r="K83" i="19"/>
  <c r="J83" i="19"/>
  <c r="I83" i="19"/>
  <c r="H83" i="19"/>
  <c r="G83" i="19"/>
  <c r="F83" i="19"/>
  <c r="E83" i="19"/>
  <c r="D83" i="19"/>
  <c r="K82" i="19"/>
  <c r="J82" i="19"/>
  <c r="I82" i="19"/>
  <c r="H82" i="19"/>
  <c r="G82" i="19"/>
  <c r="F82" i="19"/>
  <c r="E82" i="19"/>
  <c r="D82" i="19"/>
  <c r="K81" i="19"/>
  <c r="J81" i="19"/>
  <c r="I81" i="19"/>
  <c r="H81" i="19"/>
  <c r="G81" i="19"/>
  <c r="F81" i="19"/>
  <c r="E81" i="19"/>
  <c r="D81" i="19"/>
  <c r="C81" i="19"/>
  <c r="K80" i="19"/>
  <c r="J80" i="19"/>
  <c r="I80" i="19"/>
  <c r="H80" i="19"/>
  <c r="G80" i="19"/>
  <c r="F80" i="19"/>
  <c r="E80" i="19"/>
  <c r="D80" i="19"/>
  <c r="C80" i="19"/>
  <c r="K79" i="19"/>
  <c r="J79" i="19"/>
  <c r="I79" i="19"/>
  <c r="H79" i="19"/>
  <c r="G79" i="19"/>
  <c r="F79" i="19"/>
  <c r="E79" i="19"/>
  <c r="D79" i="19"/>
  <c r="C79" i="19"/>
  <c r="K78" i="19"/>
  <c r="J78" i="19"/>
  <c r="I78" i="19"/>
  <c r="H78" i="19"/>
  <c r="G78" i="19"/>
  <c r="F78" i="19"/>
  <c r="E78" i="19"/>
  <c r="D78" i="19"/>
  <c r="C78" i="19"/>
  <c r="J77" i="19"/>
  <c r="I77" i="19"/>
  <c r="H77" i="19"/>
  <c r="G77" i="19"/>
  <c r="F77" i="19"/>
  <c r="E77" i="19"/>
  <c r="D77" i="19"/>
  <c r="J76" i="19"/>
  <c r="I76" i="19"/>
  <c r="H76" i="19"/>
  <c r="G76" i="19"/>
  <c r="F76" i="19"/>
  <c r="E76" i="19"/>
  <c r="D76" i="19"/>
  <c r="J75" i="19"/>
  <c r="I75" i="19"/>
  <c r="H75" i="19"/>
  <c r="G75" i="19"/>
  <c r="F75" i="19"/>
  <c r="E75" i="19"/>
  <c r="D75" i="19"/>
  <c r="J74" i="19"/>
  <c r="I74" i="19"/>
  <c r="H74" i="19"/>
  <c r="G74" i="19"/>
  <c r="F74" i="19"/>
  <c r="E74" i="19"/>
  <c r="D74" i="19"/>
  <c r="J73" i="19"/>
  <c r="I73" i="19"/>
  <c r="H73" i="19"/>
  <c r="G73" i="19"/>
  <c r="F73" i="19"/>
  <c r="E73" i="19"/>
  <c r="D73" i="19"/>
  <c r="J72" i="19"/>
  <c r="I72" i="19"/>
  <c r="H72" i="19"/>
  <c r="G72" i="19"/>
  <c r="F72" i="19"/>
  <c r="E72" i="19"/>
  <c r="D72" i="19"/>
  <c r="J71" i="19"/>
  <c r="I71" i="19"/>
  <c r="H71" i="19"/>
  <c r="G71" i="19"/>
  <c r="F71" i="19"/>
  <c r="E71" i="19"/>
  <c r="D71" i="19"/>
  <c r="J70" i="19"/>
  <c r="I70" i="19"/>
  <c r="H70" i="19"/>
  <c r="G70" i="19"/>
  <c r="F70" i="19"/>
  <c r="E70" i="19"/>
  <c r="D70" i="19"/>
  <c r="J69" i="19"/>
  <c r="I69" i="19"/>
  <c r="H69" i="19"/>
  <c r="G69" i="19"/>
  <c r="F69" i="19"/>
  <c r="E69" i="19"/>
  <c r="D69" i="19"/>
  <c r="J68" i="19"/>
  <c r="I68" i="19"/>
  <c r="H68" i="19"/>
  <c r="G68" i="19"/>
  <c r="F68" i="19"/>
  <c r="E68" i="19"/>
  <c r="D68" i="19"/>
  <c r="J67" i="19"/>
  <c r="I67" i="19"/>
  <c r="H67" i="19"/>
  <c r="G67" i="19"/>
  <c r="F67" i="19"/>
  <c r="E67" i="19"/>
  <c r="D67" i="19"/>
  <c r="J66" i="19"/>
  <c r="I66" i="19"/>
  <c r="H66" i="19"/>
  <c r="G66" i="19"/>
  <c r="F66" i="19"/>
  <c r="E66" i="19"/>
  <c r="D66" i="19"/>
  <c r="J65" i="19"/>
  <c r="I65" i="19"/>
  <c r="H65" i="19"/>
  <c r="G65" i="19"/>
  <c r="F65" i="19"/>
  <c r="E65" i="19"/>
  <c r="D65" i="19"/>
  <c r="J64" i="19"/>
  <c r="I64" i="19"/>
  <c r="H64" i="19"/>
  <c r="G64" i="19"/>
  <c r="F64" i="19"/>
  <c r="E64" i="19"/>
  <c r="D64" i="19"/>
  <c r="J63" i="19"/>
  <c r="I63" i="19"/>
  <c r="H63" i="19"/>
  <c r="G63" i="19"/>
  <c r="F63" i="19"/>
  <c r="E63" i="19"/>
  <c r="D63" i="19"/>
  <c r="J62" i="19"/>
  <c r="I62" i="19"/>
  <c r="H62" i="19"/>
  <c r="G62" i="19"/>
  <c r="F62" i="19"/>
  <c r="E62" i="19"/>
  <c r="D62" i="19"/>
  <c r="M61" i="19"/>
  <c r="L61" i="19"/>
  <c r="K61" i="19"/>
  <c r="J61" i="19"/>
  <c r="I61" i="19"/>
  <c r="H61" i="19"/>
  <c r="G61" i="19"/>
  <c r="F61" i="19"/>
  <c r="E61" i="19"/>
  <c r="D61" i="19"/>
  <c r="C61" i="19"/>
  <c r="M58" i="19"/>
  <c r="L58" i="19"/>
  <c r="K58" i="19"/>
  <c r="J58" i="19"/>
  <c r="I58" i="19"/>
  <c r="H58" i="19"/>
  <c r="G58" i="19"/>
  <c r="F58" i="19"/>
  <c r="E58" i="19"/>
  <c r="D58" i="19"/>
  <c r="C58" i="19"/>
  <c r="M55" i="19"/>
  <c r="L55" i="19"/>
  <c r="K55" i="19"/>
  <c r="J55" i="19"/>
  <c r="I55" i="19"/>
  <c r="H55" i="19"/>
  <c r="G55" i="19"/>
  <c r="F55" i="19"/>
  <c r="E55" i="19"/>
  <c r="D55" i="19"/>
  <c r="C55" i="19"/>
  <c r="M52" i="19"/>
  <c r="L52" i="19"/>
  <c r="K52" i="19"/>
  <c r="J52" i="19"/>
  <c r="I52" i="19"/>
  <c r="H52" i="19"/>
  <c r="G52" i="19"/>
  <c r="F52" i="19"/>
  <c r="E52" i="19"/>
  <c r="D52" i="19"/>
  <c r="C52" i="19"/>
  <c r="M49" i="19"/>
  <c r="L49" i="19"/>
  <c r="K49" i="19"/>
  <c r="J49" i="19"/>
  <c r="I49" i="19"/>
  <c r="H49" i="19"/>
  <c r="G49" i="19"/>
  <c r="F49" i="19"/>
  <c r="E49" i="19"/>
  <c r="D49" i="19"/>
  <c r="C49" i="19"/>
  <c r="M48" i="19"/>
  <c r="L48" i="19"/>
  <c r="K48" i="19"/>
  <c r="J48" i="19"/>
  <c r="I48" i="19"/>
  <c r="H48" i="19"/>
  <c r="G48" i="19"/>
  <c r="F48" i="19"/>
  <c r="E48" i="19"/>
  <c r="D48" i="19"/>
  <c r="C48" i="19"/>
  <c r="M45" i="19"/>
  <c r="L45" i="19"/>
  <c r="K45" i="19"/>
  <c r="J45" i="19"/>
  <c r="I45" i="19"/>
  <c r="H45" i="19"/>
  <c r="G45" i="19"/>
  <c r="F45" i="19"/>
  <c r="E45" i="19"/>
  <c r="D45" i="19"/>
  <c r="C45" i="19"/>
  <c r="M44" i="19"/>
  <c r="L44" i="19"/>
  <c r="K44" i="19"/>
  <c r="J44" i="19"/>
  <c r="I44" i="19"/>
  <c r="H44" i="19"/>
  <c r="G44" i="19"/>
  <c r="F44" i="19"/>
  <c r="E44" i="19"/>
  <c r="D44" i="19"/>
  <c r="C44" i="19"/>
  <c r="M41" i="19"/>
  <c r="L41" i="19"/>
  <c r="K41" i="19"/>
  <c r="J41" i="19"/>
  <c r="I41" i="19"/>
  <c r="H41" i="19"/>
  <c r="G41" i="19"/>
  <c r="F41" i="19"/>
  <c r="E41" i="19"/>
  <c r="D41" i="19"/>
  <c r="C41" i="19"/>
  <c r="M40" i="19"/>
  <c r="L40" i="19"/>
  <c r="K40" i="19"/>
  <c r="J40" i="19"/>
  <c r="I40" i="19"/>
  <c r="H40" i="19"/>
  <c r="G40" i="19"/>
  <c r="F40" i="19"/>
  <c r="E40" i="19"/>
  <c r="D40" i="19"/>
  <c r="C40" i="19"/>
  <c r="M37" i="19"/>
  <c r="L37" i="19"/>
  <c r="K37" i="19"/>
  <c r="J37" i="19"/>
  <c r="I37" i="19"/>
  <c r="H37" i="19"/>
  <c r="G37" i="19"/>
  <c r="F37" i="19"/>
  <c r="E37" i="19"/>
  <c r="D37" i="19"/>
  <c r="C37" i="19"/>
  <c r="M36" i="19"/>
  <c r="L36" i="19"/>
  <c r="K36" i="19"/>
  <c r="J36" i="19"/>
  <c r="I36" i="19"/>
  <c r="H36" i="19"/>
  <c r="G36" i="19"/>
  <c r="F36" i="19"/>
  <c r="E36" i="19"/>
  <c r="D36" i="19"/>
  <c r="C36" i="19"/>
  <c r="M33" i="19"/>
  <c r="L33" i="19"/>
  <c r="K33" i="19"/>
  <c r="J33" i="19"/>
  <c r="I33" i="19"/>
  <c r="H33" i="19"/>
  <c r="G33" i="19"/>
  <c r="F33" i="19"/>
  <c r="E33" i="19"/>
  <c r="D33" i="19"/>
  <c r="C33" i="19"/>
  <c r="M31" i="19"/>
  <c r="L31" i="19"/>
  <c r="K31" i="19"/>
  <c r="J31" i="19"/>
  <c r="I31" i="19"/>
  <c r="H31" i="19"/>
  <c r="G31" i="19"/>
  <c r="F31" i="19"/>
  <c r="E31" i="19"/>
  <c r="D31" i="19"/>
  <c r="C31" i="19"/>
  <c r="M29" i="19"/>
  <c r="L29" i="19"/>
  <c r="K29" i="19"/>
  <c r="J29" i="19"/>
  <c r="I29" i="19"/>
  <c r="H29" i="19"/>
  <c r="G29" i="19"/>
  <c r="F29" i="19"/>
  <c r="E29" i="19"/>
  <c r="D29" i="19"/>
  <c r="C29" i="19"/>
  <c r="M27" i="19"/>
  <c r="L27" i="19"/>
  <c r="K27" i="19"/>
  <c r="J27" i="19"/>
  <c r="I27" i="19"/>
  <c r="H27" i="19"/>
  <c r="G27" i="19"/>
  <c r="F27" i="19"/>
  <c r="E27" i="19"/>
  <c r="D27" i="19"/>
  <c r="C27" i="19"/>
  <c r="M25" i="19"/>
  <c r="L25" i="19"/>
  <c r="K25" i="19"/>
  <c r="J25" i="19"/>
  <c r="I25" i="19"/>
  <c r="H25" i="19"/>
  <c r="G25" i="19"/>
  <c r="F25" i="19"/>
  <c r="E25" i="19"/>
  <c r="D25" i="19"/>
  <c r="C25" i="19"/>
  <c r="M23" i="19"/>
  <c r="L23" i="19"/>
  <c r="K23" i="19"/>
  <c r="J23" i="19"/>
  <c r="I23" i="19"/>
  <c r="H23" i="19"/>
  <c r="G23" i="19"/>
  <c r="F23" i="19"/>
  <c r="E23" i="19"/>
  <c r="D23" i="19"/>
  <c r="C23" i="19"/>
  <c r="M22" i="19"/>
  <c r="L22" i="19"/>
  <c r="K22" i="19"/>
  <c r="J22" i="19"/>
  <c r="I22" i="19"/>
  <c r="H22" i="19"/>
  <c r="G22" i="19"/>
  <c r="F22" i="19"/>
  <c r="E22" i="19"/>
  <c r="D22" i="19"/>
  <c r="C22" i="19"/>
  <c r="M21" i="19"/>
  <c r="L21" i="19"/>
  <c r="K21" i="19"/>
  <c r="J21" i="19"/>
  <c r="I21" i="19"/>
  <c r="H21" i="19"/>
  <c r="G21" i="19"/>
  <c r="F21" i="19"/>
  <c r="E21" i="19"/>
  <c r="D21" i="19"/>
  <c r="C21" i="19"/>
  <c r="M18" i="19"/>
  <c r="L18" i="19"/>
  <c r="K18" i="19"/>
  <c r="J18" i="19"/>
  <c r="I18" i="19"/>
  <c r="H18" i="19"/>
  <c r="G18" i="19"/>
  <c r="F18" i="19"/>
  <c r="E18" i="19"/>
  <c r="D18" i="19"/>
  <c r="C18" i="19"/>
  <c r="M16" i="19"/>
  <c r="L16" i="19"/>
  <c r="K16" i="19"/>
  <c r="J16" i="19"/>
  <c r="I16" i="19"/>
  <c r="H16" i="19"/>
  <c r="G16" i="19"/>
  <c r="F16" i="19"/>
  <c r="E16" i="19"/>
  <c r="D16" i="19"/>
  <c r="C16" i="19"/>
  <c r="M15" i="19"/>
  <c r="L15" i="19"/>
  <c r="K15" i="19"/>
  <c r="J15" i="19"/>
  <c r="I15" i="19"/>
  <c r="H15" i="19"/>
  <c r="G15" i="19"/>
  <c r="F15" i="19"/>
  <c r="E15" i="19"/>
  <c r="D15" i="19"/>
  <c r="C15" i="19"/>
  <c r="M11" i="19"/>
  <c r="L11" i="19"/>
  <c r="K11" i="19"/>
  <c r="J11" i="19"/>
  <c r="I11" i="19"/>
  <c r="H11" i="19"/>
  <c r="G11" i="19"/>
  <c r="F11" i="19"/>
  <c r="E11" i="19"/>
  <c r="D11" i="19"/>
  <c r="C11" i="19"/>
  <c r="M10" i="19"/>
  <c r="L10" i="19"/>
  <c r="K10" i="19"/>
  <c r="J10" i="19"/>
  <c r="I10" i="19"/>
  <c r="H10" i="19"/>
  <c r="G10" i="19"/>
  <c r="F10" i="19"/>
  <c r="E10" i="19"/>
  <c r="D10" i="19"/>
  <c r="C10" i="19"/>
  <c r="M9" i="19"/>
  <c r="L9" i="19"/>
  <c r="K9" i="19"/>
  <c r="J9" i="19"/>
  <c r="I9" i="19"/>
  <c r="H9" i="19"/>
  <c r="G9" i="19"/>
  <c r="F9" i="19"/>
  <c r="E9" i="19"/>
  <c r="D9" i="19"/>
  <c r="C9" i="19"/>
  <c r="C61" i="13"/>
  <c r="C58" i="13"/>
  <c r="C55" i="13"/>
  <c r="C52" i="13"/>
  <c r="C49" i="13"/>
  <c r="C48" i="13"/>
  <c r="C45" i="13"/>
  <c r="C44" i="13"/>
  <c r="C41" i="13"/>
  <c r="C40" i="13"/>
  <c r="C37" i="13"/>
  <c r="C36" i="13"/>
  <c r="C33" i="13"/>
  <c r="C31" i="13"/>
  <c r="C29" i="13"/>
  <c r="C27" i="13"/>
  <c r="C25" i="13"/>
  <c r="C23" i="13"/>
  <c r="C22" i="13"/>
  <c r="C21" i="13"/>
  <c r="C18" i="13"/>
  <c r="C16" i="13"/>
  <c r="C15" i="13"/>
  <c r="C11" i="13"/>
  <c r="C10" i="13"/>
  <c r="C9" i="13"/>
  <c r="AV8" i="26"/>
  <c r="M61" i="13"/>
  <c r="L61" i="13"/>
  <c r="K61" i="13"/>
  <c r="J61" i="13"/>
  <c r="I61" i="13"/>
  <c r="H61" i="13"/>
  <c r="G61" i="13"/>
  <c r="F61" i="13"/>
  <c r="E61" i="13"/>
  <c r="D61" i="13"/>
  <c r="M58" i="13"/>
  <c r="L58" i="13"/>
  <c r="K58" i="13"/>
  <c r="J58" i="13"/>
  <c r="I58" i="13"/>
  <c r="H58" i="13"/>
  <c r="G58" i="13"/>
  <c r="F58" i="13"/>
  <c r="E58" i="13"/>
  <c r="D58" i="13"/>
  <c r="M55" i="13"/>
  <c r="L55" i="13"/>
  <c r="K55" i="13"/>
  <c r="J55" i="13"/>
  <c r="I55" i="13"/>
  <c r="H55" i="13"/>
  <c r="G55" i="13"/>
  <c r="F55" i="13"/>
  <c r="E55" i="13"/>
  <c r="D55" i="13"/>
  <c r="M52" i="13"/>
  <c r="L52" i="13"/>
  <c r="K52" i="13"/>
  <c r="J52" i="13"/>
  <c r="I52" i="13"/>
  <c r="H52" i="13"/>
  <c r="G52" i="13"/>
  <c r="F52" i="13"/>
  <c r="E52" i="13"/>
  <c r="D52" i="13"/>
  <c r="M49" i="13"/>
  <c r="L49" i="13"/>
  <c r="K49" i="13"/>
  <c r="J49" i="13"/>
  <c r="I49" i="13"/>
  <c r="H49" i="13"/>
  <c r="G49" i="13"/>
  <c r="F49" i="13"/>
  <c r="E49" i="13"/>
  <c r="D49" i="13"/>
  <c r="M48" i="13"/>
  <c r="L48" i="13"/>
  <c r="K48" i="13"/>
  <c r="J48" i="13"/>
  <c r="I48" i="13"/>
  <c r="H48" i="13"/>
  <c r="G48" i="13"/>
  <c r="F48" i="13"/>
  <c r="E48" i="13"/>
  <c r="D48" i="13"/>
  <c r="M45" i="13"/>
  <c r="L45" i="13"/>
  <c r="K45" i="13"/>
  <c r="J45" i="13"/>
  <c r="I45" i="13"/>
  <c r="H45" i="13"/>
  <c r="G45" i="13"/>
  <c r="F45" i="13"/>
  <c r="E45" i="13"/>
  <c r="D45" i="13"/>
  <c r="M44" i="13"/>
  <c r="L44" i="13"/>
  <c r="K44" i="13"/>
  <c r="J44" i="13"/>
  <c r="I44" i="13"/>
  <c r="H44" i="13"/>
  <c r="G44" i="13"/>
  <c r="F44" i="13"/>
  <c r="E44" i="13"/>
  <c r="D44" i="13"/>
  <c r="M41" i="13"/>
  <c r="L41" i="13"/>
  <c r="K41" i="13"/>
  <c r="J41" i="13"/>
  <c r="I41" i="13"/>
  <c r="H41" i="13"/>
  <c r="G41" i="13"/>
  <c r="F41" i="13"/>
  <c r="E41" i="13"/>
  <c r="D41" i="13"/>
  <c r="M40" i="13"/>
  <c r="L40" i="13"/>
  <c r="K40" i="13"/>
  <c r="J40" i="13"/>
  <c r="I40" i="13"/>
  <c r="H40" i="13"/>
  <c r="G40" i="13"/>
  <c r="F40" i="13"/>
  <c r="E40" i="13"/>
  <c r="D40" i="13"/>
  <c r="M37" i="13"/>
  <c r="L37" i="13"/>
  <c r="K37" i="13"/>
  <c r="J37" i="13"/>
  <c r="I37" i="13"/>
  <c r="H37" i="13"/>
  <c r="G37" i="13"/>
  <c r="F37" i="13"/>
  <c r="E37" i="13"/>
  <c r="D37" i="13"/>
  <c r="M36" i="13"/>
  <c r="L36" i="13"/>
  <c r="K36" i="13"/>
  <c r="J36" i="13"/>
  <c r="I36" i="13"/>
  <c r="H36" i="13"/>
  <c r="G36" i="13"/>
  <c r="F36" i="13"/>
  <c r="E36" i="13"/>
  <c r="D36" i="13"/>
  <c r="M33" i="13"/>
  <c r="L33" i="13"/>
  <c r="K33" i="13"/>
  <c r="J33" i="13"/>
  <c r="I33" i="13"/>
  <c r="H33" i="13"/>
  <c r="G33" i="13"/>
  <c r="F33" i="13"/>
  <c r="E33" i="13"/>
  <c r="D33" i="13"/>
  <c r="M31" i="13"/>
  <c r="L31" i="13"/>
  <c r="K31" i="13"/>
  <c r="J31" i="13"/>
  <c r="I31" i="13"/>
  <c r="H31" i="13"/>
  <c r="G31" i="13"/>
  <c r="F31" i="13"/>
  <c r="E31" i="13"/>
  <c r="D31" i="13"/>
  <c r="M29" i="13"/>
  <c r="L29" i="13"/>
  <c r="K29" i="13"/>
  <c r="J29" i="13"/>
  <c r="I29" i="13"/>
  <c r="H29" i="13"/>
  <c r="G29" i="13"/>
  <c r="F29" i="13"/>
  <c r="E29" i="13"/>
  <c r="D29" i="13"/>
  <c r="M27" i="13"/>
  <c r="L27" i="13"/>
  <c r="K27" i="13"/>
  <c r="J27" i="13"/>
  <c r="I27" i="13"/>
  <c r="H27" i="13"/>
  <c r="G27" i="13"/>
  <c r="F27" i="13"/>
  <c r="E27" i="13"/>
  <c r="D27" i="13"/>
  <c r="M25" i="13"/>
  <c r="L25" i="13"/>
  <c r="K25" i="13"/>
  <c r="J25" i="13"/>
  <c r="I25" i="13"/>
  <c r="H25" i="13"/>
  <c r="G25" i="13"/>
  <c r="F25" i="13"/>
  <c r="E25" i="13"/>
  <c r="D25" i="13"/>
  <c r="M23" i="13"/>
  <c r="L23" i="13"/>
  <c r="K23" i="13"/>
  <c r="J23" i="13"/>
  <c r="I23" i="13"/>
  <c r="H23" i="13"/>
  <c r="G23" i="13"/>
  <c r="F23" i="13"/>
  <c r="E23" i="13"/>
  <c r="D23" i="13"/>
  <c r="M22" i="13"/>
  <c r="L22" i="13"/>
  <c r="K22" i="13"/>
  <c r="J22" i="13"/>
  <c r="I22" i="13"/>
  <c r="H22" i="13"/>
  <c r="G22" i="13"/>
  <c r="F22" i="13"/>
  <c r="E22" i="13"/>
  <c r="D22" i="13"/>
  <c r="M21" i="13"/>
  <c r="L21" i="13"/>
  <c r="K21" i="13"/>
  <c r="J21" i="13"/>
  <c r="I21" i="13"/>
  <c r="H21" i="13"/>
  <c r="G21" i="13"/>
  <c r="F21" i="13"/>
  <c r="E21" i="13"/>
  <c r="D21" i="13"/>
  <c r="M18" i="13"/>
  <c r="L18" i="13"/>
  <c r="K18" i="13"/>
  <c r="J18" i="13"/>
  <c r="I18" i="13"/>
  <c r="H18" i="13"/>
  <c r="G18" i="13"/>
  <c r="F18" i="13"/>
  <c r="E18" i="13"/>
  <c r="D18" i="13"/>
  <c r="M16" i="13"/>
  <c r="L16" i="13"/>
  <c r="K16" i="13"/>
  <c r="J16" i="13"/>
  <c r="I16" i="13"/>
  <c r="H16" i="13"/>
  <c r="G16" i="13"/>
  <c r="F16" i="13"/>
  <c r="E16" i="13"/>
  <c r="D16" i="13"/>
  <c r="M15" i="13"/>
  <c r="L15" i="13"/>
  <c r="K15" i="13"/>
  <c r="J15" i="13"/>
  <c r="I15" i="13"/>
  <c r="H15" i="13"/>
  <c r="G15" i="13"/>
  <c r="F15" i="13"/>
  <c r="E15" i="13"/>
  <c r="D15" i="13"/>
  <c r="M11" i="13"/>
  <c r="L11" i="13"/>
  <c r="K11" i="13"/>
  <c r="J11" i="13"/>
  <c r="I11" i="13"/>
  <c r="H11" i="13"/>
  <c r="G11" i="13"/>
  <c r="F11" i="13"/>
  <c r="E11" i="13"/>
  <c r="D11" i="13"/>
  <c r="M10" i="13"/>
  <c r="L10" i="13"/>
  <c r="K10" i="13"/>
  <c r="J10" i="13"/>
  <c r="I10" i="13"/>
  <c r="H10" i="13"/>
  <c r="G10" i="13"/>
  <c r="F10" i="13"/>
  <c r="E10" i="13"/>
  <c r="D10" i="13"/>
  <c r="M9" i="13"/>
  <c r="L9" i="13"/>
  <c r="K9" i="13"/>
  <c r="J9" i="13"/>
  <c r="I9" i="13"/>
  <c r="H9" i="13"/>
  <c r="G9" i="13"/>
  <c r="F9" i="13"/>
  <c r="E9" i="13"/>
  <c r="D9" i="13"/>
  <c r="K62" i="13"/>
  <c r="AW8" i="26"/>
  <c r="AU8" i="26"/>
  <c r="AT8" i="26"/>
  <c r="AS8" i="26"/>
  <c r="AR8" i="26"/>
  <c r="AQ8" i="26"/>
  <c r="AP8" i="26"/>
  <c r="AO8" i="26"/>
  <c r="AN8" i="26"/>
  <c r="AM8" i="26"/>
  <c r="AL8" i="26"/>
  <c r="AK8" i="26"/>
  <c r="AJ8" i="26"/>
  <c r="AI8" i="26"/>
  <c r="AH8" i="26"/>
  <c r="AE8" i="26"/>
  <c r="AC8" i="26"/>
  <c r="AA8" i="26"/>
  <c r="Y8" i="26"/>
  <c r="S8" i="26"/>
  <c r="Q8" i="26"/>
  <c r="N8" i="26"/>
  <c r="M8" i="26"/>
  <c r="L8" i="26"/>
  <c r="H8" i="26"/>
  <c r="G8" i="26"/>
  <c r="F8" i="26"/>
  <c r="E8" i="26"/>
  <c r="AW7" i="26"/>
  <c r="AV7" i="26"/>
  <c r="AU7" i="26"/>
  <c r="AT7" i="26"/>
  <c r="AS7" i="26"/>
  <c r="AR7" i="26"/>
  <c r="AQ7" i="26"/>
  <c r="AP7" i="26"/>
  <c r="AO7" i="26"/>
  <c r="AN7" i="26"/>
  <c r="AM7" i="26"/>
  <c r="AL7" i="26"/>
  <c r="AK7" i="26"/>
  <c r="AJ7" i="26"/>
  <c r="AI7" i="26"/>
  <c r="AH7" i="26"/>
  <c r="AE7" i="26"/>
  <c r="AC7" i="26"/>
  <c r="AA7" i="26"/>
  <c r="Y7" i="26"/>
  <c r="S7" i="26"/>
  <c r="Q7" i="26"/>
  <c r="N7" i="26"/>
  <c r="M7" i="26"/>
  <c r="L7" i="26"/>
  <c r="H7" i="26"/>
  <c r="G7" i="26"/>
  <c r="F7" i="26"/>
  <c r="AW6" i="26"/>
  <c r="AV6" i="26"/>
  <c r="AU6" i="26"/>
  <c r="AT6" i="26"/>
  <c r="AS6" i="26"/>
  <c r="AR6" i="26"/>
  <c r="AQ6" i="26"/>
  <c r="AP6" i="26"/>
  <c r="AO6" i="26"/>
  <c r="AN6" i="26"/>
  <c r="AM6" i="26"/>
  <c r="AL6" i="26"/>
  <c r="AK6" i="26"/>
  <c r="AJ6" i="26"/>
  <c r="AI6" i="26"/>
  <c r="AH6" i="26"/>
  <c r="AE6" i="26"/>
  <c r="AC6" i="26"/>
  <c r="AA6" i="26"/>
  <c r="Y6" i="26"/>
  <c r="S6" i="26"/>
  <c r="Q6" i="26"/>
  <c r="N6" i="26"/>
  <c r="M6" i="26"/>
  <c r="L6" i="26"/>
  <c r="H6" i="26"/>
  <c r="G6" i="26"/>
  <c r="F6" i="26"/>
  <c r="E6" i="26"/>
  <c r="AW5" i="26"/>
  <c r="AV5" i="26"/>
  <c r="AU5" i="26"/>
  <c r="AT5" i="26"/>
  <c r="AS5" i="26"/>
  <c r="AR5" i="26"/>
  <c r="AQ5" i="26"/>
  <c r="AP5" i="26"/>
  <c r="AO5" i="26"/>
  <c r="AN5" i="26"/>
  <c r="AM5" i="26"/>
  <c r="AL5" i="26"/>
  <c r="AK5" i="26"/>
  <c r="AJ5" i="26"/>
  <c r="AI5" i="26"/>
  <c r="AH5" i="26"/>
  <c r="AE5" i="26"/>
  <c r="AC5" i="26"/>
  <c r="AA5" i="26"/>
  <c r="Y5" i="26"/>
  <c r="S5" i="26"/>
  <c r="Q5" i="26"/>
  <c r="N5" i="26"/>
  <c r="M5" i="26"/>
  <c r="L5" i="26"/>
  <c r="H5" i="26"/>
  <c r="G5" i="26"/>
  <c r="F5" i="26"/>
  <c r="E5" i="26"/>
  <c r="AW9" i="26"/>
  <c r="AW4" i="26"/>
  <c r="AV9" i="26"/>
  <c r="AV4" i="26"/>
  <c r="AT9" i="26"/>
  <c r="AT4" i="26"/>
  <c r="AS9" i="26"/>
  <c r="AS4" i="26"/>
  <c r="AR9" i="26"/>
  <c r="AR4" i="26"/>
  <c r="AP9" i="26"/>
  <c r="AP4" i="26"/>
  <c r="AO9" i="26"/>
  <c r="AO4" i="26"/>
  <c r="AN9" i="26"/>
  <c r="AN4" i="26"/>
  <c r="AL9" i="26"/>
  <c r="AL4" i="26"/>
  <c r="AK9" i="26"/>
  <c r="AK4" i="26"/>
  <c r="AJ9" i="26"/>
  <c r="AJ4" i="26"/>
  <c r="AH9" i="26"/>
  <c r="AH4" i="26"/>
  <c r="AE9" i="26"/>
  <c r="AE4" i="26"/>
  <c r="AC9" i="26"/>
  <c r="AC4" i="26"/>
  <c r="AA9" i="26"/>
  <c r="AA4" i="26"/>
  <c r="Y9" i="26"/>
  <c r="Y4" i="26"/>
  <c r="S9" i="26"/>
  <c r="S4" i="26"/>
  <c r="Q9" i="26"/>
  <c r="Q4" i="26"/>
  <c r="N9" i="26"/>
  <c r="N4" i="26"/>
  <c r="M9" i="26"/>
  <c r="M4" i="26"/>
  <c r="L9" i="26"/>
  <c r="L4" i="26"/>
  <c r="H9" i="26"/>
  <c r="H4" i="26"/>
  <c r="G9" i="26"/>
  <c r="G4" i="26"/>
  <c r="E4" i="26"/>
  <c r="F9" i="26"/>
  <c r="F4" i="26"/>
  <c r="K73" i="13"/>
  <c r="J73" i="13"/>
  <c r="I73" i="13"/>
  <c r="H73" i="13"/>
  <c r="G73" i="13"/>
  <c r="F73" i="13"/>
  <c r="E73" i="13"/>
  <c r="D73" i="13"/>
  <c r="K72" i="13"/>
  <c r="J72" i="13"/>
  <c r="I72" i="13"/>
  <c r="H72" i="13"/>
  <c r="G72" i="13"/>
  <c r="F72" i="13"/>
  <c r="E72" i="13"/>
  <c r="D72" i="13"/>
  <c r="K71" i="13"/>
  <c r="J71" i="13"/>
  <c r="I71" i="13"/>
  <c r="H71" i="13"/>
  <c r="G71" i="13"/>
  <c r="F71" i="13"/>
  <c r="E71" i="13"/>
  <c r="D71" i="13"/>
  <c r="K70" i="13"/>
  <c r="J70" i="13"/>
  <c r="I70" i="13"/>
  <c r="H70" i="13"/>
  <c r="G70" i="13"/>
  <c r="F70" i="13"/>
  <c r="E70" i="13"/>
  <c r="D70" i="13"/>
  <c r="K89" i="13"/>
  <c r="J89" i="13"/>
  <c r="I89" i="13"/>
  <c r="H89" i="13"/>
  <c r="G89" i="13"/>
  <c r="F89" i="13"/>
  <c r="E89" i="13"/>
  <c r="D89" i="13"/>
  <c r="K88" i="13"/>
  <c r="J88" i="13"/>
  <c r="I88" i="13"/>
  <c r="H88" i="13"/>
  <c r="K87" i="13"/>
  <c r="J87" i="13"/>
  <c r="I87" i="13"/>
  <c r="H87" i="13"/>
  <c r="G87" i="13"/>
  <c r="F87" i="13"/>
  <c r="E87" i="13"/>
  <c r="D87" i="13"/>
  <c r="C87" i="13"/>
  <c r="K86" i="13"/>
  <c r="J86" i="13"/>
  <c r="I86" i="13"/>
  <c r="H86" i="13"/>
  <c r="G86" i="13"/>
  <c r="F86" i="13"/>
  <c r="E86" i="13"/>
  <c r="D86" i="13"/>
  <c r="C86" i="13"/>
  <c r="K85" i="13"/>
  <c r="K84" i="13"/>
  <c r="K83" i="13"/>
  <c r="K77" i="13"/>
  <c r="K76" i="13"/>
  <c r="K75" i="13"/>
  <c r="K74" i="13"/>
  <c r="K65" i="13"/>
  <c r="J65" i="13"/>
  <c r="I65" i="13"/>
  <c r="H65" i="13"/>
  <c r="G65" i="13"/>
  <c r="F65" i="13"/>
  <c r="E65" i="13"/>
  <c r="D65" i="13"/>
  <c r="K64" i="13"/>
  <c r="K63" i="13"/>
  <c r="H82" i="16"/>
  <c r="I82" i="16"/>
  <c r="J82" i="16"/>
  <c r="K82" i="16"/>
  <c r="H82" i="15"/>
  <c r="I82" i="15"/>
  <c r="J82" i="15"/>
  <c r="G82" i="15"/>
  <c r="C11" i="15"/>
  <c r="K82" i="15"/>
  <c r="C78" i="15"/>
  <c r="D9" i="15"/>
  <c r="E9" i="15"/>
  <c r="F9" i="15"/>
  <c r="G9" i="15"/>
  <c r="D10" i="15"/>
  <c r="E10" i="15"/>
  <c r="F10" i="15"/>
  <c r="G10" i="15"/>
  <c r="D11" i="15"/>
  <c r="E11" i="15"/>
  <c r="F11" i="15"/>
  <c r="G11" i="15"/>
  <c r="D15" i="15"/>
  <c r="E15" i="15"/>
  <c r="F15" i="15"/>
  <c r="G15" i="15"/>
  <c r="D16" i="15"/>
  <c r="E16" i="15"/>
  <c r="F16" i="15"/>
  <c r="G16" i="15"/>
  <c r="D18" i="15"/>
  <c r="E18" i="15"/>
  <c r="F18" i="15"/>
  <c r="G18" i="15"/>
  <c r="D21" i="15"/>
  <c r="E21" i="15"/>
  <c r="F21" i="15"/>
  <c r="G21" i="15"/>
  <c r="D22" i="15"/>
  <c r="E22" i="15"/>
  <c r="F22" i="15"/>
  <c r="G22" i="15"/>
  <c r="D23" i="15"/>
  <c r="E23" i="15"/>
  <c r="F23" i="15"/>
  <c r="G23" i="15"/>
  <c r="D25" i="15"/>
  <c r="E25" i="15"/>
  <c r="F25" i="15"/>
  <c r="G25" i="15"/>
  <c r="D27" i="15"/>
  <c r="E27" i="15"/>
  <c r="F27" i="15"/>
  <c r="G27" i="15"/>
  <c r="D29" i="15"/>
  <c r="E29" i="15"/>
  <c r="F29" i="15"/>
  <c r="G29" i="15"/>
  <c r="D31" i="15"/>
  <c r="E31" i="15"/>
  <c r="F31" i="15"/>
  <c r="G31" i="15"/>
  <c r="D33" i="15"/>
  <c r="E33" i="15"/>
  <c r="F33" i="15"/>
  <c r="G33" i="15"/>
  <c r="E35" i="15"/>
  <c r="E37" i="15" s="1"/>
  <c r="D36" i="15"/>
  <c r="E36" i="15"/>
  <c r="F36" i="15"/>
  <c r="G36" i="15"/>
  <c r="D37" i="15"/>
  <c r="F37" i="15"/>
  <c r="G37" i="15"/>
  <c r="E39" i="15"/>
  <c r="E41" i="15" s="1"/>
  <c r="D40" i="15"/>
  <c r="E40" i="15"/>
  <c r="F40" i="15"/>
  <c r="G40" i="15"/>
  <c r="D41" i="15"/>
  <c r="F41" i="15"/>
  <c r="G41" i="15"/>
  <c r="E43" i="15"/>
  <c r="E45" i="15" s="1"/>
  <c r="D44" i="15"/>
  <c r="E44" i="15"/>
  <c r="F44" i="15"/>
  <c r="G44" i="15"/>
  <c r="D45" i="15"/>
  <c r="F45" i="15"/>
  <c r="G45" i="15"/>
  <c r="E47" i="15"/>
  <c r="E49" i="15" s="1"/>
  <c r="D48" i="15"/>
  <c r="E48" i="15"/>
  <c r="F48" i="15"/>
  <c r="G48" i="15"/>
  <c r="D49" i="15"/>
  <c r="F49" i="15"/>
  <c r="G49" i="15"/>
  <c r="D52" i="15"/>
  <c r="E52" i="15"/>
  <c r="F52" i="15"/>
  <c r="G52" i="15"/>
  <c r="D55" i="15"/>
  <c r="E55" i="15"/>
  <c r="F55" i="15"/>
  <c r="G55" i="15"/>
  <c r="D58" i="15"/>
  <c r="E58" i="15"/>
  <c r="F58" i="15"/>
  <c r="G58" i="15"/>
  <c r="D61" i="15"/>
  <c r="E61" i="15"/>
  <c r="F61" i="15"/>
  <c r="G61" i="15"/>
  <c r="F82" i="15"/>
  <c r="E82" i="15"/>
  <c r="D82" i="15"/>
  <c r="C82" i="15"/>
  <c r="K81" i="15"/>
  <c r="J81" i="15"/>
  <c r="I81" i="15"/>
  <c r="H81" i="15"/>
  <c r="G81" i="15"/>
  <c r="F81" i="15"/>
  <c r="E81" i="15"/>
  <c r="D81" i="15"/>
  <c r="C81" i="15"/>
  <c r="K80" i="15"/>
  <c r="J80" i="15"/>
  <c r="I80" i="15"/>
  <c r="H80" i="15"/>
  <c r="G80" i="15"/>
  <c r="F80" i="15"/>
  <c r="E80" i="15"/>
  <c r="D80" i="15"/>
  <c r="C80" i="15"/>
  <c r="K79" i="15"/>
  <c r="J79" i="15"/>
  <c r="I79" i="15"/>
  <c r="H79" i="15"/>
  <c r="G79" i="15"/>
  <c r="F79" i="15"/>
  <c r="E79" i="15"/>
  <c r="D79" i="15"/>
  <c r="C79" i="15"/>
  <c r="K78" i="15"/>
  <c r="J78" i="15"/>
  <c r="I78" i="15"/>
  <c r="H78" i="15"/>
  <c r="G78" i="15"/>
  <c r="F78" i="15"/>
  <c r="E78" i="15"/>
  <c r="D78" i="15"/>
  <c r="K77" i="15"/>
  <c r="J77" i="15"/>
  <c r="I77" i="15"/>
  <c r="H77" i="15"/>
  <c r="G77" i="15"/>
  <c r="F77" i="15"/>
  <c r="E77" i="15"/>
  <c r="D77" i="15"/>
  <c r="C77" i="15"/>
  <c r="K76" i="15"/>
  <c r="J76" i="15"/>
  <c r="I76" i="15"/>
  <c r="H76" i="15"/>
  <c r="G76" i="15"/>
  <c r="F76" i="15"/>
  <c r="E76" i="15"/>
  <c r="D76" i="15"/>
  <c r="C76" i="15"/>
  <c r="K75" i="15"/>
  <c r="J75" i="15"/>
  <c r="I75" i="15"/>
  <c r="H75" i="15"/>
  <c r="G75" i="15"/>
  <c r="F75" i="15"/>
  <c r="E75" i="15"/>
  <c r="D75" i="15"/>
  <c r="C75" i="15"/>
  <c r="K74" i="15"/>
  <c r="J74" i="15"/>
  <c r="I74" i="15"/>
  <c r="H74" i="15"/>
  <c r="G74" i="15"/>
  <c r="F74" i="15"/>
  <c r="E74" i="15"/>
  <c r="D74" i="15"/>
  <c r="C74" i="15"/>
  <c r="K73" i="15"/>
  <c r="J73" i="15"/>
  <c r="I73" i="15"/>
  <c r="H73" i="15"/>
  <c r="G73" i="15"/>
  <c r="F73" i="15"/>
  <c r="E73" i="15"/>
  <c r="D73" i="15"/>
  <c r="C73" i="15"/>
  <c r="K72" i="15"/>
  <c r="J72" i="15"/>
  <c r="I72" i="15"/>
  <c r="H72" i="15"/>
  <c r="G72" i="15"/>
  <c r="F72" i="15"/>
  <c r="E72" i="15"/>
  <c r="D72" i="15"/>
  <c r="C72" i="15"/>
  <c r="K71" i="15"/>
  <c r="J71" i="15"/>
  <c r="I71" i="15"/>
  <c r="H71" i="15"/>
  <c r="G71" i="15"/>
  <c r="F71" i="15"/>
  <c r="E71" i="15"/>
  <c r="D71" i="15"/>
  <c r="C71" i="15"/>
  <c r="K70" i="15"/>
  <c r="J70" i="15"/>
  <c r="I70" i="15"/>
  <c r="H70" i="15"/>
  <c r="G70" i="15"/>
  <c r="F70" i="15"/>
  <c r="E70" i="15"/>
  <c r="D70" i="15"/>
  <c r="C70" i="15"/>
  <c r="K69" i="15"/>
  <c r="J69" i="15"/>
  <c r="I69" i="15"/>
  <c r="H69" i="15"/>
  <c r="G69" i="15"/>
  <c r="F69" i="15"/>
  <c r="E69" i="15"/>
  <c r="D69" i="15"/>
  <c r="C69" i="15"/>
  <c r="K68" i="15"/>
  <c r="J68" i="15"/>
  <c r="I68" i="15"/>
  <c r="H68" i="15"/>
  <c r="G68" i="15"/>
  <c r="F68" i="15"/>
  <c r="E68" i="15"/>
  <c r="D68" i="15"/>
  <c r="C68" i="15"/>
  <c r="K67" i="15"/>
  <c r="J67" i="15"/>
  <c r="I67" i="15"/>
  <c r="H67" i="15"/>
  <c r="G67" i="15"/>
  <c r="F67" i="15"/>
  <c r="E67" i="15"/>
  <c r="D67" i="15"/>
  <c r="C67" i="15"/>
  <c r="K66" i="15"/>
  <c r="J66" i="15"/>
  <c r="I66" i="15"/>
  <c r="H66" i="15"/>
  <c r="G66" i="15"/>
  <c r="F66" i="15"/>
  <c r="E66" i="15"/>
  <c r="D66" i="15"/>
  <c r="C66" i="15"/>
  <c r="K65" i="15"/>
  <c r="J65" i="15"/>
  <c r="I65" i="15"/>
  <c r="H65" i="15"/>
  <c r="G65" i="15"/>
  <c r="F65" i="15"/>
  <c r="E65" i="15"/>
  <c r="D65" i="15"/>
  <c r="C65" i="15"/>
  <c r="K64" i="15"/>
  <c r="J64" i="15"/>
  <c r="I64" i="15"/>
  <c r="H64" i="15"/>
  <c r="G64" i="15"/>
  <c r="F64" i="15"/>
  <c r="E64" i="15"/>
  <c r="D64" i="15"/>
  <c r="C64" i="15"/>
  <c r="K63" i="15"/>
  <c r="J63" i="15"/>
  <c r="I63" i="15"/>
  <c r="H63" i="15"/>
  <c r="G63" i="15"/>
  <c r="F63" i="15"/>
  <c r="E63" i="15"/>
  <c r="D63" i="15"/>
  <c r="C63" i="15"/>
  <c r="K62" i="15"/>
  <c r="J62" i="15"/>
  <c r="I62" i="15"/>
  <c r="H62" i="15"/>
  <c r="G62" i="15"/>
  <c r="F62" i="15"/>
  <c r="E62" i="15"/>
  <c r="D62" i="15"/>
  <c r="C62" i="15"/>
  <c r="H82" i="11"/>
  <c r="G82" i="11"/>
  <c r="F82" i="11"/>
  <c r="E82" i="11"/>
  <c r="D82" i="11"/>
  <c r="C82" i="11"/>
  <c r="K81" i="11"/>
  <c r="J81" i="11"/>
  <c r="I81" i="11"/>
  <c r="H81" i="11"/>
  <c r="G81" i="11"/>
  <c r="F81" i="11"/>
  <c r="E81" i="11"/>
  <c r="D81" i="11"/>
  <c r="C81" i="11"/>
  <c r="K80" i="11"/>
  <c r="J80" i="11"/>
  <c r="I80" i="11"/>
  <c r="H80" i="11"/>
  <c r="G80" i="11"/>
  <c r="F80" i="11"/>
  <c r="E80" i="11"/>
  <c r="D80" i="11"/>
  <c r="C80" i="11"/>
  <c r="K79" i="11"/>
  <c r="J79" i="11"/>
  <c r="I79" i="11"/>
  <c r="H79" i="11"/>
  <c r="G79" i="11"/>
  <c r="F79" i="11"/>
  <c r="E79" i="11"/>
  <c r="D79" i="11"/>
  <c r="C79" i="11"/>
  <c r="K78" i="11"/>
  <c r="J78" i="11"/>
  <c r="I78" i="11"/>
  <c r="H78" i="11"/>
  <c r="G78" i="11"/>
  <c r="F78" i="11"/>
  <c r="E78" i="11"/>
  <c r="D78" i="11"/>
  <c r="C78" i="11"/>
  <c r="K77" i="11"/>
  <c r="J77" i="11"/>
  <c r="I77" i="11"/>
  <c r="H77" i="11"/>
  <c r="G77" i="11"/>
  <c r="F77" i="11"/>
  <c r="E77" i="11"/>
  <c r="D77" i="11"/>
  <c r="C77" i="11"/>
  <c r="K76" i="11"/>
  <c r="J76" i="11"/>
  <c r="I76" i="11"/>
  <c r="H76" i="11"/>
  <c r="G76" i="11"/>
  <c r="F76" i="11"/>
  <c r="E76" i="11"/>
  <c r="D76" i="11"/>
  <c r="C76" i="11"/>
  <c r="K75" i="11"/>
  <c r="J75" i="11"/>
  <c r="I75" i="11"/>
  <c r="H75" i="11"/>
  <c r="G75" i="11"/>
  <c r="F75" i="11"/>
  <c r="E75" i="11"/>
  <c r="D75" i="11"/>
  <c r="C75" i="11"/>
  <c r="K74" i="11"/>
  <c r="J74" i="11"/>
  <c r="I74" i="11"/>
  <c r="H74" i="11"/>
  <c r="G74" i="11"/>
  <c r="F74" i="11"/>
  <c r="E74" i="11"/>
  <c r="D74" i="11"/>
  <c r="C74" i="11"/>
  <c r="K73" i="11"/>
  <c r="J73" i="11"/>
  <c r="I73" i="11"/>
  <c r="H73" i="11"/>
  <c r="G73" i="11"/>
  <c r="F73" i="11"/>
  <c r="E73" i="11"/>
  <c r="D73" i="11"/>
  <c r="C73" i="11"/>
  <c r="K72" i="11"/>
  <c r="J72" i="11"/>
  <c r="I72" i="11"/>
  <c r="H72" i="11"/>
  <c r="G72" i="11"/>
  <c r="F72" i="11"/>
  <c r="E72" i="11"/>
  <c r="D72" i="11"/>
  <c r="C72" i="11"/>
  <c r="K71" i="11"/>
  <c r="J71" i="11"/>
  <c r="I71" i="11"/>
  <c r="H71" i="11"/>
  <c r="G71" i="11"/>
  <c r="F71" i="11"/>
  <c r="E71" i="11"/>
  <c r="D71" i="11"/>
  <c r="C71" i="11"/>
  <c r="K70" i="11"/>
  <c r="J70" i="11"/>
  <c r="I70" i="11"/>
  <c r="H70" i="11"/>
  <c r="G70" i="11"/>
  <c r="F70" i="11"/>
  <c r="E70" i="11"/>
  <c r="D70" i="11"/>
  <c r="C70" i="11"/>
  <c r="K69" i="11"/>
  <c r="J69" i="11"/>
  <c r="I69" i="11"/>
  <c r="H69" i="11"/>
  <c r="G69" i="11"/>
  <c r="F69" i="11"/>
  <c r="E69" i="11"/>
  <c r="D69" i="11"/>
  <c r="C69" i="11"/>
  <c r="K68" i="11"/>
  <c r="J68" i="11"/>
  <c r="I68" i="11"/>
  <c r="H68" i="11"/>
  <c r="G68" i="11"/>
  <c r="F68" i="11"/>
  <c r="E68" i="11"/>
  <c r="D68" i="11"/>
  <c r="C68" i="11"/>
  <c r="K67" i="11"/>
  <c r="J67" i="11"/>
  <c r="I67" i="11"/>
  <c r="H67" i="11"/>
  <c r="G67" i="11"/>
  <c r="F67" i="11"/>
  <c r="E67" i="11"/>
  <c r="D67" i="11"/>
  <c r="C67" i="11"/>
  <c r="K66" i="11"/>
  <c r="J66" i="11"/>
  <c r="I66" i="11"/>
  <c r="H66" i="11"/>
  <c r="G66" i="11"/>
  <c r="F66" i="11"/>
  <c r="E66" i="11"/>
  <c r="D66" i="11"/>
  <c r="C66" i="11"/>
  <c r="K65" i="11"/>
  <c r="J65" i="11"/>
  <c r="I65" i="11"/>
  <c r="H65" i="11"/>
  <c r="G65" i="11"/>
  <c r="F65" i="11"/>
  <c r="E65" i="11"/>
  <c r="D65" i="11"/>
  <c r="C65" i="11"/>
  <c r="K64" i="11"/>
  <c r="J64" i="11"/>
  <c r="I64" i="11"/>
  <c r="H64" i="11"/>
  <c r="G64" i="11"/>
  <c r="F64" i="11"/>
  <c r="E64" i="11"/>
  <c r="D64" i="11"/>
  <c r="C64" i="11"/>
  <c r="K63" i="11"/>
  <c r="J63" i="11"/>
  <c r="I63" i="11"/>
  <c r="H63" i="11"/>
  <c r="G63" i="11"/>
  <c r="F63" i="11"/>
  <c r="E63" i="11"/>
  <c r="D63" i="11"/>
  <c r="C63" i="11"/>
  <c r="K62" i="11"/>
  <c r="J62" i="11"/>
  <c r="I62" i="11"/>
  <c r="H62" i="11"/>
  <c r="G62" i="11"/>
  <c r="F62" i="11"/>
  <c r="E62" i="11"/>
  <c r="D62" i="11"/>
  <c r="C62" i="11"/>
  <c r="M61" i="11"/>
  <c r="L61" i="11"/>
  <c r="K61" i="11"/>
  <c r="J61" i="11"/>
  <c r="I61" i="11"/>
  <c r="H61" i="11"/>
  <c r="G61" i="11"/>
  <c r="F61" i="11"/>
  <c r="E61" i="11"/>
  <c r="D61" i="11"/>
  <c r="C61" i="11"/>
  <c r="M58" i="11"/>
  <c r="L58" i="11"/>
  <c r="K58" i="11"/>
  <c r="J58" i="11"/>
  <c r="I58" i="11"/>
  <c r="H58" i="11"/>
  <c r="G58" i="11"/>
  <c r="F58" i="11"/>
  <c r="E58" i="11"/>
  <c r="D58" i="11"/>
  <c r="C58" i="11"/>
  <c r="M55" i="11"/>
  <c r="L55" i="11"/>
  <c r="K55" i="11"/>
  <c r="J55" i="11"/>
  <c r="I55" i="11"/>
  <c r="H55" i="11"/>
  <c r="G55" i="11"/>
  <c r="F55" i="11"/>
  <c r="E55" i="11"/>
  <c r="D55" i="11"/>
  <c r="C55" i="11"/>
  <c r="M52" i="11"/>
  <c r="L52" i="11"/>
  <c r="K52" i="11"/>
  <c r="J52" i="11"/>
  <c r="I52" i="11"/>
  <c r="H52" i="11"/>
  <c r="G52" i="11"/>
  <c r="F52" i="11"/>
  <c r="E52" i="11"/>
  <c r="D52" i="11"/>
  <c r="C52" i="11"/>
  <c r="M49" i="11"/>
  <c r="L49" i="11"/>
  <c r="K49" i="11"/>
  <c r="J49" i="11"/>
  <c r="I49" i="11"/>
  <c r="H49" i="11"/>
  <c r="G49" i="11"/>
  <c r="F49" i="11"/>
  <c r="E49" i="11"/>
  <c r="D49" i="11"/>
  <c r="C49" i="11"/>
  <c r="M48" i="11"/>
  <c r="L48" i="11"/>
  <c r="K48" i="11"/>
  <c r="J48" i="11"/>
  <c r="I48" i="11"/>
  <c r="H48" i="11"/>
  <c r="G48" i="11"/>
  <c r="F48" i="11"/>
  <c r="E48" i="11"/>
  <c r="D48" i="11"/>
  <c r="C48" i="11"/>
  <c r="M45" i="11"/>
  <c r="L45" i="11"/>
  <c r="K45" i="11"/>
  <c r="J45" i="11"/>
  <c r="I45" i="11"/>
  <c r="H45" i="11"/>
  <c r="G45" i="11"/>
  <c r="F45" i="11"/>
  <c r="E45" i="11"/>
  <c r="D45" i="11"/>
  <c r="C45" i="11"/>
  <c r="M44" i="11"/>
  <c r="L44" i="11"/>
  <c r="K44" i="11"/>
  <c r="J44" i="11"/>
  <c r="I44" i="11"/>
  <c r="H44" i="11"/>
  <c r="G44" i="11"/>
  <c r="F44" i="11"/>
  <c r="E44" i="11"/>
  <c r="D44" i="11"/>
  <c r="C44" i="11"/>
  <c r="M41" i="11"/>
  <c r="L41" i="11"/>
  <c r="K41" i="11"/>
  <c r="J41" i="11"/>
  <c r="I41" i="11"/>
  <c r="H41" i="11"/>
  <c r="G41" i="11"/>
  <c r="F41" i="11"/>
  <c r="E41" i="11"/>
  <c r="D41" i="11"/>
  <c r="C41" i="11"/>
  <c r="M40" i="11"/>
  <c r="L40" i="11"/>
  <c r="K40" i="11"/>
  <c r="J40" i="11"/>
  <c r="I40" i="11"/>
  <c r="H40" i="11"/>
  <c r="G40" i="11"/>
  <c r="F40" i="11"/>
  <c r="E40" i="11"/>
  <c r="D40" i="11"/>
  <c r="C40" i="11"/>
  <c r="M37" i="11"/>
  <c r="L37" i="11"/>
  <c r="K37" i="11"/>
  <c r="J37" i="11"/>
  <c r="I37" i="11"/>
  <c r="H37" i="11"/>
  <c r="G37" i="11"/>
  <c r="F37" i="11"/>
  <c r="E37" i="11"/>
  <c r="D37" i="11"/>
  <c r="C37" i="11"/>
  <c r="M36" i="11"/>
  <c r="L36" i="11"/>
  <c r="K36" i="11"/>
  <c r="J36" i="11"/>
  <c r="I36" i="11"/>
  <c r="H36" i="11"/>
  <c r="G36" i="11"/>
  <c r="F36" i="11"/>
  <c r="E36" i="11"/>
  <c r="D36" i="11"/>
  <c r="C36" i="11"/>
  <c r="M33" i="11"/>
  <c r="L33" i="11"/>
  <c r="K33" i="11"/>
  <c r="J33" i="11"/>
  <c r="I33" i="11"/>
  <c r="H33" i="11"/>
  <c r="G33" i="11"/>
  <c r="F33" i="11"/>
  <c r="E33" i="11"/>
  <c r="D33" i="11"/>
  <c r="C33" i="11"/>
  <c r="M31" i="11"/>
  <c r="L31" i="11"/>
  <c r="K31" i="11"/>
  <c r="J31" i="11"/>
  <c r="I31" i="11"/>
  <c r="H31" i="11"/>
  <c r="G31" i="11"/>
  <c r="F31" i="11"/>
  <c r="E31" i="11"/>
  <c r="D31" i="11"/>
  <c r="C31" i="11"/>
  <c r="M29" i="11"/>
  <c r="L29" i="11"/>
  <c r="K29" i="11"/>
  <c r="J29" i="11"/>
  <c r="I29" i="11"/>
  <c r="H29" i="11"/>
  <c r="G29" i="11"/>
  <c r="F29" i="11"/>
  <c r="E29" i="11"/>
  <c r="D29" i="11"/>
  <c r="C29" i="11"/>
  <c r="M27" i="11"/>
  <c r="L27" i="11"/>
  <c r="K27" i="11"/>
  <c r="J27" i="11"/>
  <c r="I27" i="11"/>
  <c r="H27" i="11"/>
  <c r="G27" i="11"/>
  <c r="F27" i="11"/>
  <c r="E27" i="11"/>
  <c r="D27" i="11"/>
  <c r="C27" i="11"/>
  <c r="M25" i="11"/>
  <c r="L25" i="11"/>
  <c r="K25" i="11"/>
  <c r="J25" i="11"/>
  <c r="I25" i="11"/>
  <c r="H25" i="11"/>
  <c r="G25" i="11"/>
  <c r="F25" i="11"/>
  <c r="E25" i="11"/>
  <c r="D25" i="11"/>
  <c r="C25" i="11"/>
  <c r="M23" i="11"/>
  <c r="L23" i="11"/>
  <c r="K23" i="11"/>
  <c r="J23" i="11"/>
  <c r="I23" i="11"/>
  <c r="H23" i="11"/>
  <c r="G23" i="11"/>
  <c r="F23" i="11"/>
  <c r="E23" i="11"/>
  <c r="D23" i="11"/>
  <c r="C23" i="11"/>
  <c r="M22" i="11"/>
  <c r="L22" i="11"/>
  <c r="K22" i="11"/>
  <c r="J22" i="11"/>
  <c r="I22" i="11"/>
  <c r="H22" i="11"/>
  <c r="G22" i="11"/>
  <c r="F22" i="11"/>
  <c r="E22" i="11"/>
  <c r="D22" i="11"/>
  <c r="C22" i="11"/>
  <c r="M21" i="11"/>
  <c r="L21" i="11"/>
  <c r="K21" i="11"/>
  <c r="J21" i="11"/>
  <c r="I21" i="11"/>
  <c r="H21" i="11"/>
  <c r="G21" i="11"/>
  <c r="F21" i="11"/>
  <c r="E21" i="11"/>
  <c r="D21" i="11"/>
  <c r="C21" i="11"/>
  <c r="M18" i="11"/>
  <c r="L18" i="11"/>
  <c r="K18" i="11"/>
  <c r="J18" i="11"/>
  <c r="I18" i="11"/>
  <c r="H18" i="11"/>
  <c r="G18" i="11"/>
  <c r="F18" i="11"/>
  <c r="E18" i="11"/>
  <c r="D18" i="11"/>
  <c r="C18" i="11"/>
  <c r="M16" i="11"/>
  <c r="L16" i="11"/>
  <c r="K16" i="11"/>
  <c r="J16" i="11"/>
  <c r="I16" i="11"/>
  <c r="H16" i="11"/>
  <c r="G16" i="11"/>
  <c r="F16" i="11"/>
  <c r="E16" i="11"/>
  <c r="D16" i="11"/>
  <c r="C16" i="11"/>
  <c r="M15" i="11"/>
  <c r="L15" i="11"/>
  <c r="K15" i="11"/>
  <c r="J15" i="11"/>
  <c r="I15" i="11"/>
  <c r="H15" i="11"/>
  <c r="G15" i="11"/>
  <c r="F15" i="11"/>
  <c r="E15" i="11"/>
  <c r="D15" i="11"/>
  <c r="C15" i="11"/>
  <c r="M11" i="11"/>
  <c r="L11" i="11"/>
  <c r="K11" i="11"/>
  <c r="J11" i="11"/>
  <c r="I11" i="11"/>
  <c r="H11" i="11"/>
  <c r="G11" i="11"/>
  <c r="F11" i="11"/>
  <c r="E11" i="11"/>
  <c r="D11" i="11"/>
  <c r="C11" i="11"/>
  <c r="M10" i="11"/>
  <c r="L10" i="11"/>
  <c r="K10" i="11"/>
  <c r="J10" i="11"/>
  <c r="I10" i="11"/>
  <c r="H10" i="11"/>
  <c r="G10" i="11"/>
  <c r="F10" i="11"/>
  <c r="E10" i="11"/>
  <c r="D10" i="11"/>
  <c r="C10" i="11"/>
  <c r="M9" i="11"/>
  <c r="L9" i="11"/>
  <c r="K9" i="11"/>
  <c r="J9" i="11"/>
  <c r="I9" i="11"/>
  <c r="H9" i="11"/>
  <c r="G9" i="11"/>
  <c r="F9" i="11"/>
  <c r="E9" i="11"/>
  <c r="D9" i="11"/>
  <c r="C9" i="11"/>
  <c r="K73" i="12"/>
  <c r="K69" i="12"/>
  <c r="K73" i="16"/>
  <c r="K69" i="16"/>
  <c r="K72" i="16"/>
  <c r="K71" i="16"/>
  <c r="K70" i="16"/>
  <c r="D70" i="16"/>
  <c r="E70" i="16"/>
  <c r="F70" i="16"/>
  <c r="G70" i="16"/>
  <c r="H70" i="16"/>
  <c r="I70" i="16"/>
  <c r="J70" i="16"/>
  <c r="D71" i="16"/>
  <c r="E71" i="16"/>
  <c r="F71" i="16"/>
  <c r="G71" i="16"/>
  <c r="H71" i="16"/>
  <c r="I71" i="16"/>
  <c r="J71" i="16"/>
  <c r="D72" i="16"/>
  <c r="E72" i="16"/>
  <c r="F72" i="16"/>
  <c r="G72" i="16"/>
  <c r="H72" i="16"/>
  <c r="I72" i="16"/>
  <c r="J72" i="16"/>
  <c r="D73" i="16"/>
  <c r="E73" i="16"/>
  <c r="F73" i="16"/>
  <c r="G73" i="16"/>
  <c r="H73" i="16"/>
  <c r="I73" i="16"/>
  <c r="J73" i="16"/>
  <c r="C73" i="16"/>
  <c r="C72" i="16"/>
  <c r="C71" i="16"/>
  <c r="C70" i="16"/>
  <c r="G82" i="16"/>
  <c r="F82" i="16"/>
  <c r="E82" i="16"/>
  <c r="D82" i="16"/>
  <c r="C82" i="16"/>
  <c r="K81" i="16"/>
  <c r="J81" i="16"/>
  <c r="I81" i="16"/>
  <c r="H81" i="16"/>
  <c r="G81" i="16"/>
  <c r="F81" i="16"/>
  <c r="E81" i="16"/>
  <c r="D81" i="16"/>
  <c r="C81" i="16"/>
  <c r="K80" i="16"/>
  <c r="J80" i="16"/>
  <c r="I80" i="16"/>
  <c r="H80" i="16"/>
  <c r="G80" i="16"/>
  <c r="F80" i="16"/>
  <c r="E80" i="16"/>
  <c r="D80" i="16"/>
  <c r="C80" i="16"/>
  <c r="K79" i="16"/>
  <c r="J79" i="16"/>
  <c r="I79" i="16"/>
  <c r="H79" i="16"/>
  <c r="G79" i="16"/>
  <c r="F79" i="16"/>
  <c r="E79" i="16"/>
  <c r="D79" i="16"/>
  <c r="C79" i="16"/>
  <c r="K78" i="16"/>
  <c r="J78" i="16"/>
  <c r="I78" i="16"/>
  <c r="H78" i="16"/>
  <c r="G78" i="16"/>
  <c r="F78" i="16"/>
  <c r="E78" i="16"/>
  <c r="D78" i="16"/>
  <c r="C78" i="16"/>
  <c r="K77" i="16"/>
  <c r="J77" i="16"/>
  <c r="I77" i="16"/>
  <c r="H77" i="16"/>
  <c r="G77" i="16"/>
  <c r="F77" i="16"/>
  <c r="E77" i="16"/>
  <c r="D77" i="16"/>
  <c r="C77" i="16"/>
  <c r="K76" i="16"/>
  <c r="J76" i="16"/>
  <c r="I76" i="16"/>
  <c r="H76" i="16"/>
  <c r="G76" i="16"/>
  <c r="F76" i="16"/>
  <c r="E76" i="16"/>
  <c r="D76" i="16"/>
  <c r="C76" i="16"/>
  <c r="K75" i="16"/>
  <c r="J75" i="16"/>
  <c r="I75" i="16"/>
  <c r="H75" i="16"/>
  <c r="G75" i="16"/>
  <c r="F75" i="16"/>
  <c r="E75" i="16"/>
  <c r="D75" i="16"/>
  <c r="C75" i="16"/>
  <c r="K74" i="16"/>
  <c r="J74" i="16"/>
  <c r="I74" i="16"/>
  <c r="H74" i="16"/>
  <c r="G74" i="16"/>
  <c r="F74" i="16"/>
  <c r="E74" i="16"/>
  <c r="D74" i="16"/>
  <c r="C74" i="16"/>
  <c r="J69" i="16"/>
  <c r="I69" i="16"/>
  <c r="H69" i="16"/>
  <c r="G69" i="16"/>
  <c r="F69" i="16"/>
  <c r="E69" i="16"/>
  <c r="D69" i="16"/>
  <c r="C69" i="16"/>
  <c r="K68" i="16"/>
  <c r="J68" i="16"/>
  <c r="I68" i="16"/>
  <c r="H68" i="16"/>
  <c r="G68" i="16"/>
  <c r="F68" i="16"/>
  <c r="E68" i="16"/>
  <c r="D68" i="16"/>
  <c r="C68" i="16"/>
  <c r="K67" i="16"/>
  <c r="J67" i="16"/>
  <c r="I67" i="16"/>
  <c r="H67" i="16"/>
  <c r="G67" i="16"/>
  <c r="F67" i="16"/>
  <c r="E67" i="16"/>
  <c r="D67" i="16"/>
  <c r="C67" i="16"/>
  <c r="K66" i="16"/>
  <c r="J66" i="16"/>
  <c r="I66" i="16"/>
  <c r="H66" i="16"/>
  <c r="G66" i="16"/>
  <c r="F66" i="16"/>
  <c r="E66" i="16"/>
  <c r="D66" i="16"/>
  <c r="C66" i="16"/>
  <c r="K65" i="16"/>
  <c r="J65" i="16"/>
  <c r="I65" i="16"/>
  <c r="H65" i="16"/>
  <c r="G65" i="16"/>
  <c r="F65" i="16"/>
  <c r="E65" i="16"/>
  <c r="D65" i="16"/>
  <c r="C65" i="16"/>
  <c r="K64" i="16"/>
  <c r="J64" i="16"/>
  <c r="I64" i="16"/>
  <c r="H64" i="16"/>
  <c r="G64" i="16"/>
  <c r="F64" i="16"/>
  <c r="E64" i="16"/>
  <c r="D64" i="16"/>
  <c r="C64" i="16"/>
  <c r="K63" i="16"/>
  <c r="J63" i="16"/>
  <c r="I63" i="16"/>
  <c r="H63" i="16"/>
  <c r="G63" i="16"/>
  <c r="F63" i="16"/>
  <c r="E63" i="16"/>
  <c r="D63" i="16"/>
  <c r="C63" i="16"/>
  <c r="K62" i="16"/>
  <c r="J62" i="16"/>
  <c r="I62" i="16"/>
  <c r="H62" i="16"/>
  <c r="G62" i="16"/>
  <c r="F62" i="16"/>
  <c r="E62" i="16"/>
  <c r="D62" i="16"/>
  <c r="C62" i="16"/>
  <c r="M61" i="16"/>
  <c r="L61" i="16"/>
  <c r="K61" i="16"/>
  <c r="J61" i="16"/>
  <c r="I61" i="16"/>
  <c r="H61" i="16"/>
  <c r="G61" i="16"/>
  <c r="F61" i="16"/>
  <c r="E61" i="16"/>
  <c r="D61" i="16"/>
  <c r="C61" i="16"/>
  <c r="M58" i="16"/>
  <c r="L58" i="16"/>
  <c r="K58" i="16"/>
  <c r="J58" i="16"/>
  <c r="I58" i="16"/>
  <c r="H58" i="16"/>
  <c r="G58" i="16"/>
  <c r="F58" i="16"/>
  <c r="E58" i="16"/>
  <c r="D58" i="16"/>
  <c r="C58" i="16"/>
  <c r="M55" i="16"/>
  <c r="L55" i="16"/>
  <c r="K55" i="16"/>
  <c r="J55" i="16"/>
  <c r="I55" i="16"/>
  <c r="H55" i="16"/>
  <c r="G55" i="16"/>
  <c r="F55" i="16"/>
  <c r="E55" i="16"/>
  <c r="D55" i="16"/>
  <c r="C55" i="16"/>
  <c r="M52" i="16"/>
  <c r="L52" i="16"/>
  <c r="K52" i="16"/>
  <c r="J52" i="16"/>
  <c r="I52" i="16"/>
  <c r="H52" i="16"/>
  <c r="G52" i="16"/>
  <c r="F52" i="16"/>
  <c r="E52" i="16"/>
  <c r="D52" i="16"/>
  <c r="C52" i="16"/>
  <c r="M49" i="16"/>
  <c r="L49" i="16"/>
  <c r="K49" i="16"/>
  <c r="J49" i="16"/>
  <c r="I49" i="16"/>
  <c r="H49" i="16"/>
  <c r="G49" i="16"/>
  <c r="F49" i="16"/>
  <c r="E49" i="16"/>
  <c r="D49" i="16"/>
  <c r="C49" i="16"/>
  <c r="M48" i="16"/>
  <c r="L48" i="16"/>
  <c r="K48" i="16"/>
  <c r="J48" i="16"/>
  <c r="I48" i="16"/>
  <c r="H48" i="16"/>
  <c r="G48" i="16"/>
  <c r="F48" i="16"/>
  <c r="E48" i="16"/>
  <c r="D48" i="16"/>
  <c r="C48" i="16"/>
  <c r="M45" i="16"/>
  <c r="L45" i="16"/>
  <c r="K45" i="16"/>
  <c r="J45" i="16"/>
  <c r="I45" i="16"/>
  <c r="H45" i="16"/>
  <c r="G45" i="16"/>
  <c r="F45" i="16"/>
  <c r="E45" i="16"/>
  <c r="D45" i="16"/>
  <c r="C45" i="16"/>
  <c r="M44" i="16"/>
  <c r="L44" i="16"/>
  <c r="K44" i="16"/>
  <c r="J44" i="16"/>
  <c r="I44" i="16"/>
  <c r="H44" i="16"/>
  <c r="G44" i="16"/>
  <c r="F44" i="16"/>
  <c r="E44" i="16"/>
  <c r="D44" i="16"/>
  <c r="C44" i="16"/>
  <c r="M41" i="16"/>
  <c r="L41" i="16"/>
  <c r="K41" i="16"/>
  <c r="J41" i="16"/>
  <c r="I41" i="16"/>
  <c r="H41" i="16"/>
  <c r="G41" i="16"/>
  <c r="F41" i="16"/>
  <c r="E41" i="16"/>
  <c r="D41" i="16"/>
  <c r="C41" i="16"/>
  <c r="M40" i="16"/>
  <c r="L40" i="16"/>
  <c r="K40" i="16"/>
  <c r="J40" i="16"/>
  <c r="I40" i="16"/>
  <c r="H40" i="16"/>
  <c r="G40" i="16"/>
  <c r="F40" i="16"/>
  <c r="E40" i="16"/>
  <c r="D40" i="16"/>
  <c r="C40" i="16"/>
  <c r="M37" i="16"/>
  <c r="L37" i="16"/>
  <c r="K37" i="16"/>
  <c r="J37" i="16"/>
  <c r="I37" i="16"/>
  <c r="H37" i="16"/>
  <c r="G37" i="16"/>
  <c r="F37" i="16"/>
  <c r="E37" i="16"/>
  <c r="D37" i="16"/>
  <c r="C37" i="16"/>
  <c r="M36" i="16"/>
  <c r="L36" i="16"/>
  <c r="K36" i="16"/>
  <c r="J36" i="16"/>
  <c r="I36" i="16"/>
  <c r="H36" i="16"/>
  <c r="G36" i="16"/>
  <c r="F36" i="16"/>
  <c r="E36" i="16"/>
  <c r="D36" i="16"/>
  <c r="C36" i="16"/>
  <c r="M33" i="16"/>
  <c r="L33" i="16"/>
  <c r="K33" i="16"/>
  <c r="J33" i="16"/>
  <c r="I33" i="16"/>
  <c r="H33" i="16"/>
  <c r="G33" i="16"/>
  <c r="F33" i="16"/>
  <c r="E33" i="16"/>
  <c r="D33" i="16"/>
  <c r="C33" i="16"/>
  <c r="M31" i="16"/>
  <c r="L31" i="16"/>
  <c r="K31" i="16"/>
  <c r="J31" i="16"/>
  <c r="I31" i="16"/>
  <c r="H31" i="16"/>
  <c r="G31" i="16"/>
  <c r="F31" i="16"/>
  <c r="E31" i="16"/>
  <c r="D31" i="16"/>
  <c r="C31" i="16"/>
  <c r="M29" i="16"/>
  <c r="L29" i="16"/>
  <c r="K29" i="16"/>
  <c r="J29" i="16"/>
  <c r="I29" i="16"/>
  <c r="H29" i="16"/>
  <c r="G29" i="16"/>
  <c r="F29" i="16"/>
  <c r="E29" i="16"/>
  <c r="D29" i="16"/>
  <c r="C29" i="16"/>
  <c r="M27" i="16"/>
  <c r="L27" i="16"/>
  <c r="K27" i="16"/>
  <c r="J27" i="16"/>
  <c r="I27" i="16"/>
  <c r="H27" i="16"/>
  <c r="G27" i="16"/>
  <c r="F27" i="16"/>
  <c r="E27" i="16"/>
  <c r="D27" i="16"/>
  <c r="C27" i="16"/>
  <c r="M25" i="16"/>
  <c r="L25" i="16"/>
  <c r="K25" i="16"/>
  <c r="J25" i="16"/>
  <c r="I25" i="16"/>
  <c r="H25" i="16"/>
  <c r="G25" i="16"/>
  <c r="F25" i="16"/>
  <c r="E25" i="16"/>
  <c r="D25" i="16"/>
  <c r="C25" i="16"/>
  <c r="M23" i="16"/>
  <c r="L23" i="16"/>
  <c r="K23" i="16"/>
  <c r="J23" i="16"/>
  <c r="I23" i="16"/>
  <c r="H23" i="16"/>
  <c r="G23" i="16"/>
  <c r="F23" i="16"/>
  <c r="E23" i="16"/>
  <c r="D23" i="16"/>
  <c r="C23" i="16"/>
  <c r="M22" i="16"/>
  <c r="L22" i="16"/>
  <c r="K22" i="16"/>
  <c r="J22" i="16"/>
  <c r="I22" i="16"/>
  <c r="H22" i="16"/>
  <c r="G22" i="16"/>
  <c r="F22" i="16"/>
  <c r="E22" i="16"/>
  <c r="D22" i="16"/>
  <c r="C22" i="16"/>
  <c r="M21" i="16"/>
  <c r="L21" i="16"/>
  <c r="K21" i="16"/>
  <c r="J21" i="16"/>
  <c r="I21" i="16"/>
  <c r="H21" i="16"/>
  <c r="G21" i="16"/>
  <c r="E21" i="16"/>
  <c r="D21" i="16"/>
  <c r="C21" i="16"/>
  <c r="M18" i="16"/>
  <c r="L18" i="16"/>
  <c r="K18" i="16"/>
  <c r="J18" i="16"/>
  <c r="I18" i="16"/>
  <c r="H18" i="16"/>
  <c r="G18" i="16"/>
  <c r="E18" i="16"/>
  <c r="D18" i="16"/>
  <c r="C18" i="16"/>
  <c r="M16" i="16"/>
  <c r="L16" i="16"/>
  <c r="K16" i="16"/>
  <c r="J16" i="16"/>
  <c r="I16" i="16"/>
  <c r="H16" i="16"/>
  <c r="G16" i="16"/>
  <c r="E16" i="16"/>
  <c r="D16" i="16"/>
  <c r="C16" i="16"/>
  <c r="M15" i="16"/>
  <c r="L15" i="16"/>
  <c r="K15" i="16"/>
  <c r="J15" i="16"/>
  <c r="I15" i="16"/>
  <c r="H15" i="16"/>
  <c r="G15" i="16"/>
  <c r="F15" i="16"/>
  <c r="E15" i="16"/>
  <c r="D15" i="16"/>
  <c r="C15" i="16"/>
  <c r="M11" i="16"/>
  <c r="L11" i="16"/>
  <c r="K11" i="16"/>
  <c r="J11" i="16"/>
  <c r="I11" i="16"/>
  <c r="H11" i="16"/>
  <c r="G11" i="16"/>
  <c r="F11" i="16"/>
  <c r="E11" i="16"/>
  <c r="D11" i="16"/>
  <c r="C11" i="16"/>
  <c r="M10" i="16"/>
  <c r="L10" i="16"/>
  <c r="K10" i="16"/>
  <c r="J10" i="16"/>
  <c r="I10" i="16"/>
  <c r="H10" i="16"/>
  <c r="G10" i="16"/>
  <c r="E10" i="16"/>
  <c r="D10" i="16"/>
  <c r="C10" i="16"/>
  <c r="M9" i="16"/>
  <c r="L9" i="16"/>
  <c r="K9" i="16"/>
  <c r="J9" i="16"/>
  <c r="I9" i="16"/>
  <c r="H9" i="16"/>
  <c r="G9" i="16"/>
  <c r="F9" i="16"/>
  <c r="E9" i="16"/>
  <c r="D9" i="16"/>
  <c r="C9" i="16"/>
  <c r="F82" i="12"/>
  <c r="E82" i="12"/>
  <c r="D82" i="12"/>
  <c r="C82" i="12"/>
  <c r="K81" i="12"/>
  <c r="J81" i="12"/>
  <c r="I81" i="12"/>
  <c r="H81" i="12"/>
  <c r="G81" i="12"/>
  <c r="F81" i="12"/>
  <c r="E81" i="12"/>
  <c r="D81" i="12"/>
  <c r="C81" i="12"/>
  <c r="K80" i="12"/>
  <c r="J80" i="12"/>
  <c r="I80" i="12"/>
  <c r="H80" i="12"/>
  <c r="G80" i="12"/>
  <c r="F80" i="12"/>
  <c r="E80" i="12"/>
  <c r="D80" i="12"/>
  <c r="C80" i="12"/>
  <c r="K79" i="12"/>
  <c r="J79" i="12"/>
  <c r="I79" i="12"/>
  <c r="H79" i="12"/>
  <c r="G79" i="12"/>
  <c r="F79" i="12"/>
  <c r="E79" i="12"/>
  <c r="D79" i="12"/>
  <c r="C79" i="12"/>
  <c r="K78" i="12"/>
  <c r="J78" i="12"/>
  <c r="I78" i="12"/>
  <c r="H78" i="12"/>
  <c r="G78" i="12"/>
  <c r="F78" i="12"/>
  <c r="E78" i="12"/>
  <c r="D78" i="12"/>
  <c r="C78" i="12"/>
  <c r="K77" i="12"/>
  <c r="J77" i="12"/>
  <c r="I77" i="12"/>
  <c r="H77" i="12"/>
  <c r="G77" i="12"/>
  <c r="F77" i="12"/>
  <c r="E77" i="12"/>
  <c r="D77" i="12"/>
  <c r="C77" i="12"/>
  <c r="K76" i="12"/>
  <c r="J76" i="12"/>
  <c r="I76" i="12"/>
  <c r="H76" i="12"/>
  <c r="G76" i="12"/>
  <c r="F76" i="12"/>
  <c r="E76" i="12"/>
  <c r="D76" i="12"/>
  <c r="C76" i="12"/>
  <c r="K75" i="12"/>
  <c r="J75" i="12"/>
  <c r="I75" i="12"/>
  <c r="H75" i="12"/>
  <c r="G75" i="12"/>
  <c r="F75" i="12"/>
  <c r="E75" i="12"/>
  <c r="D75" i="12"/>
  <c r="C75" i="12"/>
  <c r="K74" i="12"/>
  <c r="J74" i="12"/>
  <c r="I74" i="12"/>
  <c r="H74" i="12"/>
  <c r="G74" i="12"/>
  <c r="F74" i="12"/>
  <c r="E74" i="12"/>
  <c r="D74" i="12"/>
  <c r="C74" i="12"/>
  <c r="J73" i="12"/>
  <c r="I73" i="12"/>
  <c r="H73" i="12"/>
  <c r="G73" i="12"/>
  <c r="F73" i="12"/>
  <c r="E73" i="12"/>
  <c r="D73" i="12"/>
  <c r="C73" i="12"/>
  <c r="K72" i="12"/>
  <c r="J72" i="12"/>
  <c r="I72" i="12"/>
  <c r="H72" i="12"/>
  <c r="G72" i="12"/>
  <c r="F72" i="12"/>
  <c r="E72" i="12"/>
  <c r="D72" i="12"/>
  <c r="C72" i="12"/>
  <c r="K71" i="12"/>
  <c r="J71" i="12"/>
  <c r="I71" i="12"/>
  <c r="H71" i="12"/>
  <c r="G71" i="12"/>
  <c r="F71" i="12"/>
  <c r="E71" i="12"/>
  <c r="D71" i="12"/>
  <c r="C71" i="12"/>
  <c r="K70" i="12"/>
  <c r="J70" i="12"/>
  <c r="I70" i="12"/>
  <c r="H70" i="12"/>
  <c r="G70" i="12"/>
  <c r="F70" i="12"/>
  <c r="E70" i="12"/>
  <c r="D70" i="12"/>
  <c r="C70" i="12"/>
  <c r="J69" i="12"/>
  <c r="I69" i="12"/>
  <c r="H69" i="12"/>
  <c r="G69" i="12"/>
  <c r="F69" i="12"/>
  <c r="E69" i="12"/>
  <c r="D69" i="12"/>
  <c r="C69" i="12"/>
  <c r="J68" i="12"/>
  <c r="I68" i="12"/>
  <c r="H68" i="12"/>
  <c r="G68" i="12"/>
  <c r="F68" i="12"/>
  <c r="E68" i="12"/>
  <c r="D68" i="12"/>
  <c r="C68" i="12"/>
  <c r="K67" i="12"/>
  <c r="J67" i="12"/>
  <c r="I67" i="12"/>
  <c r="H67" i="12"/>
  <c r="G67" i="12"/>
  <c r="F67" i="12"/>
  <c r="E67" i="12"/>
  <c r="D67" i="12"/>
  <c r="C67" i="12"/>
  <c r="K66" i="12"/>
  <c r="J66" i="12"/>
  <c r="I66" i="12"/>
  <c r="H66" i="12"/>
  <c r="G66" i="12"/>
  <c r="F66" i="12"/>
  <c r="E66" i="12"/>
  <c r="D66" i="12"/>
  <c r="C66" i="12"/>
  <c r="K65" i="12"/>
  <c r="J65" i="12"/>
  <c r="I65" i="12"/>
  <c r="H65" i="12"/>
  <c r="G65" i="12"/>
  <c r="F65" i="12"/>
  <c r="E65" i="12"/>
  <c r="D65" i="12"/>
  <c r="C65" i="12"/>
  <c r="K64" i="12"/>
  <c r="J64" i="12"/>
  <c r="I64" i="12"/>
  <c r="H64" i="12"/>
  <c r="G64" i="12"/>
  <c r="F64" i="12"/>
  <c r="E64" i="12"/>
  <c r="D64" i="12"/>
  <c r="C64" i="12"/>
  <c r="K63" i="12"/>
  <c r="J63" i="12"/>
  <c r="I63" i="12"/>
  <c r="H63" i="12"/>
  <c r="G63" i="12"/>
  <c r="F63" i="12"/>
  <c r="E63" i="12"/>
  <c r="D63" i="12"/>
  <c r="C63" i="12"/>
  <c r="K62" i="12"/>
  <c r="J62" i="12"/>
  <c r="I62" i="12"/>
  <c r="H62" i="12"/>
  <c r="G62" i="12"/>
  <c r="F62" i="12"/>
  <c r="E62" i="12"/>
  <c r="D62" i="12"/>
  <c r="C62" i="12"/>
  <c r="M61" i="12"/>
  <c r="L61" i="12"/>
  <c r="K61" i="12"/>
  <c r="J61" i="12"/>
  <c r="I61" i="12"/>
  <c r="H61" i="12"/>
  <c r="G61" i="12"/>
  <c r="F61" i="12"/>
  <c r="E61" i="12"/>
  <c r="D61" i="12"/>
  <c r="C61" i="12"/>
  <c r="M58" i="12"/>
  <c r="L58" i="12"/>
  <c r="K58" i="12"/>
  <c r="J58" i="12"/>
  <c r="I58" i="12"/>
  <c r="H58" i="12"/>
  <c r="G58" i="12"/>
  <c r="F58" i="12"/>
  <c r="E58" i="12"/>
  <c r="D58" i="12"/>
  <c r="C58" i="12"/>
  <c r="M55" i="12"/>
  <c r="L55" i="12"/>
  <c r="K55" i="12"/>
  <c r="J55" i="12"/>
  <c r="I55" i="12"/>
  <c r="H55" i="12"/>
  <c r="G55" i="12"/>
  <c r="F55" i="12"/>
  <c r="E55" i="12"/>
  <c r="D55" i="12"/>
  <c r="C55" i="12"/>
  <c r="M52" i="12"/>
  <c r="L52" i="12"/>
  <c r="K52" i="12"/>
  <c r="J52" i="12"/>
  <c r="I52" i="12"/>
  <c r="H52" i="12"/>
  <c r="G52" i="12"/>
  <c r="F52" i="12"/>
  <c r="E52" i="12"/>
  <c r="D52" i="12"/>
  <c r="C52" i="12"/>
  <c r="M49" i="12"/>
  <c r="L49" i="12"/>
  <c r="K49" i="12"/>
  <c r="J49" i="12"/>
  <c r="I49" i="12"/>
  <c r="H49" i="12"/>
  <c r="G49" i="12"/>
  <c r="F49" i="12"/>
  <c r="E49" i="12"/>
  <c r="D49" i="12"/>
  <c r="C49" i="12"/>
  <c r="M48" i="12"/>
  <c r="L48" i="12"/>
  <c r="K48" i="12"/>
  <c r="J48" i="12"/>
  <c r="I48" i="12"/>
  <c r="H48" i="12"/>
  <c r="G48" i="12"/>
  <c r="F48" i="12"/>
  <c r="E48" i="12"/>
  <c r="D48" i="12"/>
  <c r="C48" i="12"/>
  <c r="M45" i="12"/>
  <c r="L45" i="12"/>
  <c r="K45" i="12"/>
  <c r="J45" i="12"/>
  <c r="I45" i="12"/>
  <c r="H45" i="12"/>
  <c r="G45" i="12"/>
  <c r="F45" i="12"/>
  <c r="E45" i="12"/>
  <c r="D45" i="12"/>
  <c r="C45" i="12"/>
  <c r="M44" i="12"/>
  <c r="L44" i="12"/>
  <c r="K44" i="12"/>
  <c r="J44" i="12"/>
  <c r="I44" i="12"/>
  <c r="H44" i="12"/>
  <c r="G44" i="12"/>
  <c r="F44" i="12"/>
  <c r="E44" i="12"/>
  <c r="D44" i="12"/>
  <c r="C44" i="12"/>
  <c r="M41" i="12"/>
  <c r="L41" i="12"/>
  <c r="K41" i="12"/>
  <c r="J41" i="12"/>
  <c r="I41" i="12"/>
  <c r="H41" i="12"/>
  <c r="G41" i="12"/>
  <c r="F41" i="12"/>
  <c r="E41" i="12"/>
  <c r="D41" i="12"/>
  <c r="C41" i="12"/>
  <c r="M40" i="12"/>
  <c r="L40" i="12"/>
  <c r="K40" i="12"/>
  <c r="J40" i="12"/>
  <c r="I40" i="12"/>
  <c r="H40" i="12"/>
  <c r="G40" i="12"/>
  <c r="F40" i="12"/>
  <c r="E40" i="12"/>
  <c r="D40" i="12"/>
  <c r="C40" i="12"/>
  <c r="M37" i="12"/>
  <c r="L37" i="12"/>
  <c r="K37" i="12"/>
  <c r="J37" i="12"/>
  <c r="I37" i="12"/>
  <c r="H37" i="12"/>
  <c r="G37" i="12"/>
  <c r="F37" i="12"/>
  <c r="E37" i="12"/>
  <c r="D37" i="12"/>
  <c r="C37" i="12"/>
  <c r="M36" i="12"/>
  <c r="L36" i="12"/>
  <c r="K36" i="12"/>
  <c r="J36" i="12"/>
  <c r="I36" i="12"/>
  <c r="H36" i="12"/>
  <c r="G36" i="12"/>
  <c r="F36" i="12"/>
  <c r="E36" i="12"/>
  <c r="D36" i="12"/>
  <c r="C36" i="12"/>
  <c r="M33" i="12"/>
  <c r="L33" i="12"/>
  <c r="K33" i="12"/>
  <c r="J33" i="12"/>
  <c r="I33" i="12"/>
  <c r="H33" i="12"/>
  <c r="G33" i="12"/>
  <c r="F33" i="12"/>
  <c r="E33" i="12"/>
  <c r="D33" i="12"/>
  <c r="C33" i="12"/>
  <c r="M31" i="12"/>
  <c r="L31" i="12"/>
  <c r="K31" i="12"/>
  <c r="J31" i="12"/>
  <c r="I31" i="12"/>
  <c r="H31" i="12"/>
  <c r="G31" i="12"/>
  <c r="F31" i="12"/>
  <c r="E31" i="12"/>
  <c r="D31" i="12"/>
  <c r="C31" i="12"/>
  <c r="M29" i="12"/>
  <c r="L29" i="12"/>
  <c r="K29" i="12"/>
  <c r="J29" i="12"/>
  <c r="I29" i="12"/>
  <c r="H29" i="12"/>
  <c r="G29" i="12"/>
  <c r="F29" i="12"/>
  <c r="E29" i="12"/>
  <c r="D29" i="12"/>
  <c r="C29" i="12"/>
  <c r="M27" i="12"/>
  <c r="L27" i="12"/>
  <c r="K27" i="12"/>
  <c r="J27" i="12"/>
  <c r="I27" i="12"/>
  <c r="H27" i="12"/>
  <c r="G27" i="12"/>
  <c r="F27" i="12"/>
  <c r="E27" i="12"/>
  <c r="D27" i="12"/>
  <c r="C27" i="12"/>
  <c r="M25" i="12"/>
  <c r="L25" i="12"/>
  <c r="K25" i="12"/>
  <c r="J25" i="12"/>
  <c r="I25" i="12"/>
  <c r="H25" i="12"/>
  <c r="G25" i="12"/>
  <c r="F25" i="12"/>
  <c r="E25" i="12"/>
  <c r="D25" i="12"/>
  <c r="C25" i="12"/>
  <c r="M23" i="12"/>
  <c r="L23" i="12"/>
  <c r="K23" i="12"/>
  <c r="J23" i="12"/>
  <c r="I23" i="12"/>
  <c r="H23" i="12"/>
  <c r="G23" i="12"/>
  <c r="F23" i="12"/>
  <c r="E23" i="12"/>
  <c r="D23" i="12"/>
  <c r="C23" i="12"/>
  <c r="M22" i="12"/>
  <c r="L22" i="12"/>
  <c r="K22" i="12"/>
  <c r="J22" i="12"/>
  <c r="I22" i="12"/>
  <c r="H22" i="12"/>
  <c r="G22" i="12"/>
  <c r="F22" i="12"/>
  <c r="E22" i="12"/>
  <c r="D22" i="12"/>
  <c r="C22" i="12"/>
  <c r="M21" i="12"/>
  <c r="L21" i="12"/>
  <c r="K21" i="12"/>
  <c r="J21" i="12"/>
  <c r="I21" i="12"/>
  <c r="H21" i="12"/>
  <c r="G21" i="12"/>
  <c r="F21" i="12"/>
  <c r="E21" i="12"/>
  <c r="D21" i="12"/>
  <c r="C21" i="12"/>
  <c r="M18" i="12"/>
  <c r="L18" i="12"/>
  <c r="K18" i="12"/>
  <c r="J18" i="12"/>
  <c r="I18" i="12"/>
  <c r="H18" i="12"/>
  <c r="G18" i="12"/>
  <c r="F18" i="12"/>
  <c r="E18" i="12"/>
  <c r="D18" i="12"/>
  <c r="C18" i="12"/>
  <c r="M16" i="12"/>
  <c r="L16" i="12"/>
  <c r="K16" i="12"/>
  <c r="J16" i="12"/>
  <c r="I16" i="12"/>
  <c r="H16" i="12"/>
  <c r="G16" i="12"/>
  <c r="F16" i="12"/>
  <c r="E16" i="12"/>
  <c r="D16" i="12"/>
  <c r="C16" i="12"/>
  <c r="M15" i="12"/>
  <c r="L15" i="12"/>
  <c r="K15" i="12"/>
  <c r="J15" i="12"/>
  <c r="I15" i="12"/>
  <c r="H15" i="12"/>
  <c r="G15" i="12"/>
  <c r="F15" i="12"/>
  <c r="E15" i="12"/>
  <c r="D15" i="12"/>
  <c r="C15" i="12"/>
  <c r="M11" i="12"/>
  <c r="L11" i="12"/>
  <c r="K11" i="12"/>
  <c r="J11" i="12"/>
  <c r="I11" i="12"/>
  <c r="H11" i="12"/>
  <c r="G11" i="12"/>
  <c r="F11" i="12"/>
  <c r="E11" i="12"/>
  <c r="D11" i="12"/>
  <c r="C11" i="12"/>
  <c r="M10" i="12"/>
  <c r="L10" i="12"/>
  <c r="K10" i="12"/>
  <c r="J10" i="12"/>
  <c r="I10" i="12"/>
  <c r="H10" i="12"/>
  <c r="G10" i="12"/>
  <c r="F10" i="12"/>
  <c r="E10" i="12"/>
  <c r="D10" i="12"/>
  <c r="C10" i="12"/>
  <c r="M9" i="12"/>
  <c r="L9" i="12"/>
  <c r="K9" i="12"/>
  <c r="J9" i="12"/>
  <c r="I9" i="12"/>
  <c r="H9" i="12"/>
  <c r="G9" i="12"/>
  <c r="F9" i="12"/>
  <c r="E9" i="12"/>
  <c r="D9" i="12"/>
  <c r="C9" i="12"/>
  <c r="E9" i="26"/>
  <c r="C25" i="15"/>
  <c r="C61" i="15"/>
  <c r="C58" i="15"/>
  <c r="C55" i="15"/>
  <c r="C52" i="15"/>
  <c r="C49" i="15"/>
  <c r="C48" i="15"/>
  <c r="C45" i="15"/>
  <c r="C44" i="15"/>
  <c r="C41" i="15"/>
  <c r="C40" i="15"/>
  <c r="C37" i="15"/>
  <c r="C36" i="15"/>
  <c r="C33" i="15"/>
  <c r="C31" i="15"/>
  <c r="C29" i="15"/>
  <c r="C27" i="15"/>
  <c r="C23" i="15"/>
  <c r="C22" i="15"/>
  <c r="C21" i="15"/>
  <c r="C18" i="15"/>
  <c r="C16" i="15"/>
  <c r="C15" i="15"/>
  <c r="C10" i="15"/>
  <c r="C9" i="15"/>
  <c r="M61" i="15"/>
  <c r="L61" i="15"/>
  <c r="K61" i="15"/>
  <c r="J61" i="15"/>
  <c r="I61" i="15"/>
  <c r="H61" i="15"/>
  <c r="M58" i="15"/>
  <c r="L58" i="15"/>
  <c r="K58" i="15"/>
  <c r="J58" i="15"/>
  <c r="I58" i="15"/>
  <c r="H58" i="15"/>
  <c r="M55" i="15"/>
  <c r="L55" i="15"/>
  <c r="K55" i="15"/>
  <c r="J55" i="15"/>
  <c r="I55" i="15"/>
  <c r="H55" i="15"/>
  <c r="M52" i="15"/>
  <c r="L52" i="15"/>
  <c r="K52" i="15"/>
  <c r="J52" i="15"/>
  <c r="I52" i="15"/>
  <c r="H52" i="15"/>
  <c r="M49" i="15"/>
  <c r="L49" i="15"/>
  <c r="K49" i="15"/>
  <c r="J49" i="15"/>
  <c r="I49" i="15"/>
  <c r="H49" i="15"/>
  <c r="M48" i="15"/>
  <c r="L48" i="15"/>
  <c r="K48" i="15"/>
  <c r="J48" i="15"/>
  <c r="I48" i="15"/>
  <c r="H48" i="15"/>
  <c r="M45" i="15"/>
  <c r="L45" i="15"/>
  <c r="K45" i="15"/>
  <c r="J45" i="15"/>
  <c r="I45" i="15"/>
  <c r="H45" i="15"/>
  <c r="M44" i="15"/>
  <c r="L44" i="15"/>
  <c r="K44" i="15"/>
  <c r="J44" i="15"/>
  <c r="I44" i="15"/>
  <c r="H44" i="15"/>
  <c r="M41" i="15"/>
  <c r="L41" i="15"/>
  <c r="K41" i="15"/>
  <c r="J41" i="15"/>
  <c r="I41" i="15"/>
  <c r="H41" i="15"/>
  <c r="M40" i="15"/>
  <c r="L40" i="15"/>
  <c r="K40" i="15"/>
  <c r="J40" i="15"/>
  <c r="I40" i="15"/>
  <c r="H40" i="15"/>
  <c r="M37" i="15"/>
  <c r="L37" i="15"/>
  <c r="K37" i="15"/>
  <c r="J37" i="15"/>
  <c r="I37" i="15"/>
  <c r="H37" i="15"/>
  <c r="M36" i="15"/>
  <c r="L36" i="15"/>
  <c r="K36" i="15"/>
  <c r="J36" i="15"/>
  <c r="I36" i="15"/>
  <c r="H36" i="15"/>
  <c r="M33" i="15"/>
  <c r="L33" i="15"/>
  <c r="K33" i="15"/>
  <c r="J33" i="15"/>
  <c r="I33" i="15"/>
  <c r="H33" i="15"/>
  <c r="M31" i="15"/>
  <c r="L31" i="15"/>
  <c r="K31" i="15"/>
  <c r="J31" i="15"/>
  <c r="I31" i="15"/>
  <c r="H31" i="15"/>
  <c r="M29" i="15"/>
  <c r="L29" i="15"/>
  <c r="K29" i="15"/>
  <c r="J29" i="15"/>
  <c r="I29" i="15"/>
  <c r="H29" i="15"/>
  <c r="M27" i="15"/>
  <c r="L27" i="15"/>
  <c r="K27" i="15"/>
  <c r="J27" i="15"/>
  <c r="I27" i="15"/>
  <c r="H27" i="15"/>
  <c r="M25" i="15"/>
  <c r="L25" i="15"/>
  <c r="K25" i="15"/>
  <c r="J25" i="15"/>
  <c r="I25" i="15"/>
  <c r="H25" i="15"/>
  <c r="M23" i="15"/>
  <c r="L23" i="15"/>
  <c r="K23" i="15"/>
  <c r="J23" i="15"/>
  <c r="I23" i="15"/>
  <c r="H23" i="15"/>
  <c r="M22" i="15"/>
  <c r="L22" i="15"/>
  <c r="K22" i="15"/>
  <c r="J22" i="15"/>
  <c r="I22" i="15"/>
  <c r="H22" i="15"/>
  <c r="M21" i="15"/>
  <c r="L21" i="15"/>
  <c r="K21" i="15"/>
  <c r="J21" i="15"/>
  <c r="I21" i="15"/>
  <c r="H21" i="15"/>
  <c r="M18" i="15"/>
  <c r="L18" i="15"/>
  <c r="K18" i="15"/>
  <c r="J18" i="15"/>
  <c r="I18" i="15"/>
  <c r="H18" i="15"/>
  <c r="M16" i="15"/>
  <c r="L16" i="15"/>
  <c r="K16" i="15"/>
  <c r="J16" i="15"/>
  <c r="I16" i="15"/>
  <c r="H16" i="15"/>
  <c r="M15" i="15"/>
  <c r="L15" i="15"/>
  <c r="K15" i="15"/>
  <c r="J15" i="15"/>
  <c r="I15" i="15"/>
  <c r="H15" i="15"/>
  <c r="M11" i="15"/>
  <c r="L11" i="15"/>
  <c r="K11" i="15"/>
  <c r="J11" i="15"/>
  <c r="I11" i="15"/>
  <c r="H11" i="15"/>
  <c r="M10" i="15"/>
  <c r="L10" i="15"/>
  <c r="K10" i="15"/>
  <c r="J10" i="15"/>
  <c r="I10" i="15"/>
  <c r="H10" i="15"/>
  <c r="M9" i="15"/>
  <c r="L9" i="15"/>
  <c r="K9" i="15"/>
  <c r="J9" i="15"/>
  <c r="I9" i="15"/>
  <c r="H9" i="15"/>
  <c r="P7" i="26" l="1"/>
  <c r="P8" i="26"/>
  <c r="P9" i="26"/>
  <c r="P6" i="26"/>
  <c r="P5" i="26"/>
  <c r="P4" i="26"/>
  <c r="L28" i="26"/>
  <c r="F10" i="16"/>
  <c r="F16" i="16"/>
  <c r="F18" i="16"/>
  <c r="F21" i="16"/>
  <c r="K24" i="12"/>
  <c r="E90" i="13"/>
  <c r="I24" i="16"/>
  <c r="BD5" i="26"/>
  <c r="BF6" i="26"/>
  <c r="I24" i="13"/>
  <c r="AZ6" i="26"/>
  <c r="BB7" i="26"/>
  <c r="BD8" i="26"/>
  <c r="H24" i="13"/>
  <c r="F24" i="15"/>
  <c r="J28" i="26"/>
  <c r="BD9" i="26"/>
  <c r="E24" i="15"/>
  <c r="AM4" i="26"/>
  <c r="BA4" i="26" s="1"/>
  <c r="AM9" i="26"/>
  <c r="J24" i="13"/>
  <c r="K24" i="13"/>
  <c r="T5" i="26"/>
  <c r="AU4" i="26"/>
  <c r="BE4" i="26" s="1"/>
  <c r="AU9" i="26"/>
  <c r="BE9" i="26" s="1"/>
  <c r="G24" i="15"/>
  <c r="AZ7" i="26"/>
  <c r="T8" i="26"/>
  <c r="L24" i="13"/>
  <c r="L24" i="12"/>
  <c r="M24" i="12"/>
  <c r="H24" i="16"/>
  <c r="AQ4" i="26"/>
  <c r="BC4" i="26" s="1"/>
  <c r="AQ9" i="26"/>
  <c r="BC9" i="26" s="1"/>
  <c r="J24" i="16"/>
  <c r="D24" i="15"/>
  <c r="BD4" i="26"/>
  <c r="K24" i="16"/>
  <c r="L24" i="16"/>
  <c r="I28" i="26"/>
  <c r="M24" i="16"/>
  <c r="AI4" i="26"/>
  <c r="AI9" i="26"/>
  <c r="AY9" i="26" s="1"/>
  <c r="BF4" i="26"/>
  <c r="BF9" i="26"/>
  <c r="AZ9" i="26"/>
  <c r="BB8" i="26"/>
  <c r="I4" i="26"/>
  <c r="T6" i="26"/>
  <c r="BB6" i="26"/>
  <c r="BD7" i="26"/>
  <c r="T9" i="26"/>
  <c r="BB9" i="26"/>
  <c r="AZ8" i="26"/>
  <c r="AX5" i="26"/>
  <c r="AZ5" i="26"/>
  <c r="AZ4" i="26"/>
  <c r="BF5" i="26"/>
  <c r="M24" i="11"/>
  <c r="G24" i="11"/>
  <c r="BB5" i="26"/>
  <c r="BD6" i="26"/>
  <c r="BF7" i="26"/>
  <c r="I24" i="11"/>
  <c r="T7" i="26"/>
  <c r="J24" i="11"/>
  <c r="K24" i="11"/>
  <c r="L24" i="11"/>
  <c r="T4" i="26"/>
  <c r="BB4" i="26"/>
  <c r="BF8" i="26"/>
  <c r="E28" i="26"/>
  <c r="F90" i="13"/>
  <c r="I90" i="13"/>
  <c r="H90" i="13"/>
  <c r="D90" i="13"/>
  <c r="G90" i="13"/>
  <c r="C90" i="13"/>
  <c r="F24" i="13"/>
  <c r="G24" i="13"/>
  <c r="M24" i="13"/>
  <c r="AB8" i="26"/>
  <c r="D24" i="13"/>
  <c r="E24" i="13"/>
  <c r="C24" i="13"/>
  <c r="M24" i="19"/>
  <c r="F24" i="19"/>
  <c r="C24" i="19"/>
  <c r="D24" i="19"/>
  <c r="E24" i="19"/>
  <c r="G24" i="19"/>
  <c r="H24" i="19"/>
  <c r="I24" i="19"/>
  <c r="J24" i="19"/>
  <c r="K24" i="19"/>
  <c r="L24" i="19"/>
  <c r="J24" i="12"/>
  <c r="I24" i="12"/>
  <c r="H24" i="12"/>
  <c r="G24" i="12"/>
  <c r="F24" i="12"/>
  <c r="E24" i="12"/>
  <c r="D24" i="12"/>
  <c r="C24" i="12"/>
  <c r="G24" i="16"/>
  <c r="F24" i="16"/>
  <c r="E24" i="16"/>
  <c r="D24" i="16"/>
  <c r="C24" i="16"/>
  <c r="H24" i="11"/>
  <c r="F24" i="11"/>
  <c r="E24" i="11"/>
  <c r="D24" i="11"/>
  <c r="J90" i="13"/>
  <c r="K90" i="13"/>
  <c r="C24" i="11"/>
  <c r="AF9" i="26"/>
  <c r="K24" i="15"/>
  <c r="L24" i="15"/>
  <c r="I24" i="15"/>
  <c r="J24" i="15"/>
  <c r="H24" i="15"/>
  <c r="M24" i="15"/>
  <c r="C24" i="15"/>
  <c r="AG5" i="26"/>
  <c r="BE10" i="26"/>
  <c r="BI6" i="26"/>
  <c r="AG9" i="26"/>
  <c r="AD10" i="26"/>
  <c r="BH4" i="26"/>
  <c r="BC6" i="26"/>
  <c r="L11" i="26"/>
  <c r="BH6" i="26"/>
  <c r="AB5" i="26"/>
  <c r="BE6" i="26"/>
  <c r="BH7" i="26"/>
  <c r="BE5" i="26"/>
  <c r="AX6" i="26"/>
  <c r="AD6" i="26"/>
  <c r="AF7" i="26"/>
  <c r="Z8" i="26"/>
  <c r="O9" i="26"/>
  <c r="BA6" i="26"/>
  <c r="AY7" i="26"/>
  <c r="BC10" i="26"/>
  <c r="X8" i="26"/>
  <c r="BG6" i="26"/>
  <c r="BH5" i="26"/>
  <c r="R6" i="26"/>
  <c r="AF6" i="26"/>
  <c r="K10" i="26"/>
  <c r="K5" i="26"/>
  <c r="BJ5" i="26"/>
  <c r="BE7" i="26"/>
  <c r="X9" i="26"/>
  <c r="BJ9" i="26"/>
  <c r="AK11" i="26"/>
  <c r="BA7" i="26"/>
  <c r="AV11" i="26"/>
  <c r="AW11" i="26"/>
  <c r="AY10" i="26"/>
  <c r="U6" i="26"/>
  <c r="O10" i="26"/>
  <c r="BC5" i="26"/>
  <c r="AX8" i="26"/>
  <c r="I9" i="26"/>
  <c r="Z4" i="26"/>
  <c r="BG5" i="26"/>
  <c r="BC7" i="26"/>
  <c r="AB6" i="26"/>
  <c r="BA8" i="26"/>
  <c r="K4" i="26"/>
  <c r="U4" i="26"/>
  <c r="G11" i="26"/>
  <c r="V4" i="26"/>
  <c r="J7" i="26"/>
  <c r="BH8" i="26"/>
  <c r="S11" i="26"/>
  <c r="X4" i="26"/>
  <c r="Z7" i="26"/>
  <c r="X10" i="26"/>
  <c r="AG10" i="26"/>
  <c r="AB7" i="26"/>
  <c r="I5" i="26"/>
  <c r="U8" i="26"/>
  <c r="F11" i="26"/>
  <c r="M11" i="26"/>
  <c r="AD7" i="26"/>
  <c r="BJ6" i="26"/>
  <c r="AD8" i="26"/>
  <c r="Z9" i="26"/>
  <c r="V10" i="26"/>
  <c r="AY5" i="26"/>
  <c r="AH11" i="26"/>
  <c r="AS11" i="26"/>
  <c r="R5" i="26"/>
  <c r="I6" i="26"/>
  <c r="AG7" i="26"/>
  <c r="AF8" i="26"/>
  <c r="AB9" i="26"/>
  <c r="BH10" i="26"/>
  <c r="AD4" i="26"/>
  <c r="J6" i="26"/>
  <c r="BI8" i="26"/>
  <c r="AD5" i="26"/>
  <c r="K6" i="26"/>
  <c r="AD9" i="26"/>
  <c r="BA10" i="26"/>
  <c r="AF5" i="26"/>
  <c r="Z6" i="26"/>
  <c r="R10" i="26"/>
  <c r="AB10" i="26"/>
  <c r="AX4" i="26"/>
  <c r="AY8" i="26"/>
  <c r="I10" i="26"/>
  <c r="Q11" i="26"/>
  <c r="AA11" i="26"/>
  <c r="AC11" i="26"/>
  <c r="BJ8" i="26"/>
  <c r="BE8" i="26"/>
  <c r="AN11" i="26"/>
  <c r="BG9" i="26"/>
  <c r="Z10" i="26"/>
  <c r="AE11" i="26"/>
  <c r="K7" i="26"/>
  <c r="BG7" i="26"/>
  <c r="BJ7" i="26"/>
  <c r="V8" i="26"/>
  <c r="AG8" i="26"/>
  <c r="K9" i="26"/>
  <c r="J9" i="26"/>
  <c r="AJ11" i="26"/>
  <c r="R9" i="26"/>
  <c r="Y11" i="26"/>
  <c r="AF4" i="26"/>
  <c r="O8" i="26"/>
  <c r="E11" i="26"/>
  <c r="N11" i="26"/>
  <c r="R4" i="26"/>
  <c r="O4" i="26"/>
  <c r="AP11" i="26"/>
  <c r="BI4" i="26"/>
  <c r="J4" i="26"/>
  <c r="AG4" i="26"/>
  <c r="AR11" i="26"/>
  <c r="BG4" i="26"/>
  <c r="BI5" i="26"/>
  <c r="J5" i="26"/>
  <c r="V7" i="26"/>
  <c r="U7" i="26"/>
  <c r="U9" i="26"/>
  <c r="V9" i="26"/>
  <c r="H11" i="26"/>
  <c r="AT11" i="26"/>
  <c r="V6" i="26"/>
  <c r="I7" i="26"/>
  <c r="BI7" i="26"/>
  <c r="AX9" i="26"/>
  <c r="BI10" i="26"/>
  <c r="AL11" i="26"/>
  <c r="X5" i="26"/>
  <c r="X6" i="26"/>
  <c r="R7" i="26"/>
  <c r="X7" i="26"/>
  <c r="BC8" i="26"/>
  <c r="J10" i="26"/>
  <c r="V5" i="26"/>
  <c r="U5" i="26"/>
  <c r="BG10" i="26"/>
  <c r="AB4" i="26"/>
  <c r="I8" i="26"/>
  <c r="BJ10" i="26"/>
  <c r="BJ4" i="26"/>
  <c r="O5" i="26"/>
  <c r="Z5" i="26"/>
  <c r="BA5" i="26"/>
  <c r="AG6" i="26"/>
  <c r="O6" i="26"/>
  <c r="AY6" i="26"/>
  <c r="AX7" i="26"/>
  <c r="AX10" i="26"/>
  <c r="K8" i="26"/>
  <c r="J8" i="26"/>
  <c r="BH9" i="26"/>
  <c r="AO11" i="26"/>
  <c r="O7" i="26"/>
  <c r="R8" i="26"/>
  <c r="BG8" i="26"/>
  <c r="BI9" i="26"/>
  <c r="U10" i="26"/>
  <c r="P11" i="26" l="1"/>
  <c r="AI11" i="26"/>
  <c r="AX13" i="26" s="1"/>
  <c r="AU11" i="26"/>
  <c r="BE11" i="26" s="1"/>
  <c r="AM11" i="26"/>
  <c r="BB13" i="26" s="1"/>
  <c r="BA9" i="26"/>
  <c r="AY4" i="26"/>
  <c r="AQ11" i="26"/>
  <c r="BF13" i="26" s="1"/>
  <c r="BD11" i="26"/>
  <c r="T11" i="26"/>
  <c r="BF11" i="26"/>
  <c r="BI11" i="26"/>
  <c r="K11" i="26"/>
  <c r="AF11" i="26"/>
  <c r="U11" i="26"/>
  <c r="AB11" i="26"/>
  <c r="AD11" i="26"/>
  <c r="W10" i="26"/>
  <c r="J11" i="26"/>
  <c r="W5" i="26"/>
  <c r="BK6" i="26"/>
  <c r="W9" i="26"/>
  <c r="BK5" i="26"/>
  <c r="X11" i="26"/>
  <c r="BK8" i="26"/>
  <c r="BK9" i="26"/>
  <c r="BJ11" i="26"/>
  <c r="BH11" i="26"/>
  <c r="W4" i="26"/>
  <c r="BG11" i="26"/>
  <c r="O11" i="26"/>
  <c r="R11" i="26"/>
  <c r="AG11" i="26"/>
  <c r="AX11" i="26"/>
  <c r="BK4" i="26"/>
  <c r="W7" i="26"/>
  <c r="Z11" i="26"/>
  <c r="BK10" i="26"/>
  <c r="W6" i="26"/>
  <c r="I11" i="26"/>
  <c r="W8" i="26"/>
  <c r="BK7" i="26"/>
  <c r="V11" i="26"/>
  <c r="AY11" i="26" l="1"/>
  <c r="AZ11" i="26"/>
  <c r="BJ13" i="26"/>
  <c r="BA11" i="26"/>
  <c r="BB11" i="26"/>
  <c r="BC11" i="26"/>
  <c r="W11" i="26"/>
  <c r="BK11" i="26"/>
</calcChain>
</file>

<file path=xl/sharedStrings.xml><?xml version="1.0" encoding="utf-8"?>
<sst xmlns="http://schemas.openxmlformats.org/spreadsheetml/2006/main" count="13389" uniqueCount="278">
  <si>
    <t>PitchNo</t>
  </si>
  <si>
    <t>Date</t>
  </si>
  <si>
    <t>Time</t>
  </si>
  <si>
    <t>Pitcher</t>
  </si>
  <si>
    <t>Batter</t>
  </si>
  <si>
    <t>SpinRate</t>
  </si>
  <si>
    <t>ExitSpeed</t>
  </si>
  <si>
    <t>Angle</t>
  </si>
  <si>
    <t>Direction</t>
  </si>
  <si>
    <t>BatSpeed</t>
  </si>
  <si>
    <t>HitSpinRate</t>
  </si>
  <si>
    <t>Distance</t>
  </si>
  <si>
    <t>SmashFactor</t>
  </si>
  <si>
    <t>PotSmashFactor</t>
  </si>
  <si>
    <t>PotExitSpeed</t>
  </si>
  <si>
    <t>SquaredUp</t>
  </si>
  <si>
    <t xml:space="preserve">Guest </t>
  </si>
  <si>
    <t>Aidan Young</t>
  </si>
  <si>
    <t>Gabriel Esteban</t>
  </si>
  <si>
    <t>Michael Chang</t>
  </si>
  <si>
    <t>Easton Steck</t>
  </si>
  <si>
    <t>Reagan Samples</t>
  </si>
  <si>
    <t>Carter Walsh</t>
  </si>
  <si>
    <t>Michael Caranna</t>
  </si>
  <si>
    <t>Jackson Orr</t>
  </si>
  <si>
    <t>Sebastian Garcia</t>
  </si>
  <si>
    <t>Jonathon Van Ness</t>
  </si>
  <si>
    <t>Ryan Han</t>
  </si>
  <si>
    <t>Drew Craig</t>
  </si>
  <si>
    <t>Caleb Koontz</t>
  </si>
  <si>
    <t>Velocity</t>
  </si>
  <si>
    <t>Pitch Type</t>
  </si>
  <si>
    <t>Ball/Strike</t>
  </si>
  <si>
    <t>FB</t>
  </si>
  <si>
    <t>Anthony Wilson</t>
  </si>
  <si>
    <t>CH</t>
  </si>
  <si>
    <t>CT</t>
  </si>
  <si>
    <t>SL</t>
  </si>
  <si>
    <t>Foul</t>
  </si>
  <si>
    <t>Yes</t>
  </si>
  <si>
    <t>In Play</t>
  </si>
  <si>
    <t>HBP</t>
  </si>
  <si>
    <t>bK</t>
  </si>
  <si>
    <t>.</t>
  </si>
  <si>
    <t>Sl</t>
  </si>
  <si>
    <t>K</t>
  </si>
  <si>
    <t>SP</t>
  </si>
  <si>
    <t>FB S</t>
  </si>
  <si>
    <t>BB</t>
  </si>
  <si>
    <t>CB</t>
  </si>
  <si>
    <t>R</t>
  </si>
  <si>
    <t>HR</t>
  </si>
  <si>
    <t>Jake Doak</t>
  </si>
  <si>
    <t>SL 2</t>
  </si>
  <si>
    <t>FB 2</t>
  </si>
  <si>
    <t>CH 1</t>
  </si>
  <si>
    <t>CB 1</t>
  </si>
  <si>
    <t>CB 2</t>
  </si>
  <si>
    <t>FB 1</t>
  </si>
  <si>
    <t>S</t>
  </si>
  <si>
    <t>Sw/Miss/Outcome</t>
  </si>
  <si>
    <t>Opponent</t>
  </si>
  <si>
    <t>General</t>
  </si>
  <si>
    <t>IP</t>
  </si>
  <si>
    <t>IP &gt;4</t>
  </si>
  <si>
    <t>W</t>
  </si>
  <si>
    <t>L</t>
  </si>
  <si>
    <t>HLD</t>
  </si>
  <si>
    <t>TP</t>
  </si>
  <si>
    <t>B</t>
  </si>
  <si>
    <t>K%</t>
  </si>
  <si>
    <t>P/IP</t>
  </si>
  <si>
    <t>P/PA</t>
  </si>
  <si>
    <t>BF</t>
  </si>
  <si>
    <t>H</t>
  </si>
  <si>
    <t>BB%</t>
  </si>
  <si>
    <t>BB/7</t>
  </si>
  <si>
    <t>ER</t>
  </si>
  <si>
    <t>ERA7</t>
  </si>
  <si>
    <t>WHIP</t>
  </si>
  <si>
    <t>FIP</t>
  </si>
  <si>
    <t>KS</t>
  </si>
  <si>
    <t>KL</t>
  </si>
  <si>
    <t>K/7</t>
  </si>
  <si>
    <t>K/BB</t>
  </si>
  <si>
    <t>K%-BB%</t>
  </si>
  <si>
    <t>BAA</t>
  </si>
  <si>
    <t>BABIP</t>
  </si>
  <si>
    <t>Efficiency</t>
  </si>
  <si>
    <t>FPS</t>
  </si>
  <si>
    <t>FPS%</t>
  </si>
  <si>
    <t>2/3K</t>
  </si>
  <si>
    <t>2/3K%</t>
  </si>
  <si>
    <t>&lt;3P</t>
  </si>
  <si>
    <t>&lt;3P%</t>
  </si>
  <si>
    <t>3BC</t>
  </si>
  <si>
    <t>3BC%</t>
  </si>
  <si>
    <t>Usages/Strike Percentages</t>
  </si>
  <si>
    <t>TFB</t>
  </si>
  <si>
    <t>FBK</t>
  </si>
  <si>
    <t>FB%</t>
  </si>
  <si>
    <t>FBK%</t>
  </si>
  <si>
    <t>TCB</t>
  </si>
  <si>
    <t>CBK</t>
  </si>
  <si>
    <t>CB%</t>
  </si>
  <si>
    <t>CBK%</t>
  </si>
  <si>
    <t>TCH</t>
  </si>
  <si>
    <t>CHK</t>
  </si>
  <si>
    <t>CH%</t>
  </si>
  <si>
    <t>CHK%</t>
  </si>
  <si>
    <t>TSL</t>
  </si>
  <si>
    <t>SLK</t>
  </si>
  <si>
    <t>SL%</t>
  </si>
  <si>
    <t>SLK%</t>
  </si>
  <si>
    <t>Swing/Miss Percentages</t>
  </si>
  <si>
    <t>TFB SW</t>
  </si>
  <si>
    <t>FB SW/M</t>
  </si>
  <si>
    <t>FB SW/M%</t>
  </si>
  <si>
    <t>TCB SW</t>
  </si>
  <si>
    <t>CB SW/M</t>
  </si>
  <si>
    <t>CB SW/M%</t>
  </si>
  <si>
    <t>TCH SW</t>
  </si>
  <si>
    <t>CH SW/M</t>
  </si>
  <si>
    <t>CH SW/M%</t>
  </si>
  <si>
    <t>TSL SW</t>
  </si>
  <si>
    <t>SL SW/M</t>
  </si>
  <si>
    <t>SL SW/M%</t>
  </si>
  <si>
    <t>Game Score</t>
  </si>
  <si>
    <t>Live AB Stats</t>
  </si>
  <si>
    <t>ANDREW CRAIG</t>
  </si>
  <si>
    <t>GABRIEL ESTEBAN</t>
  </si>
  <si>
    <t>SEBASTIAN GARCIA</t>
  </si>
  <si>
    <t>JACKSON ORR</t>
  </si>
  <si>
    <t>REAGAN SAMPLES</t>
  </si>
  <si>
    <t>CARTER WALSH</t>
  </si>
  <si>
    <t>JONATHON VAN NESS</t>
  </si>
  <si>
    <t>MICHAEL CARANNA</t>
  </si>
  <si>
    <t>PA</t>
  </si>
  <si>
    <t>AB</t>
  </si>
  <si>
    <t>#</t>
  </si>
  <si>
    <t>Name</t>
  </si>
  <si>
    <t>S%</t>
  </si>
  <si>
    <t>2/3%</t>
  </si>
  <si>
    <t>3BC-BB%</t>
  </si>
  <si>
    <t>FB K</t>
  </si>
  <si>
    <t>S/M</t>
  </si>
  <si>
    <t>TSW</t>
  </si>
  <si>
    <t>CB K</t>
  </si>
  <si>
    <t>CH K</t>
  </si>
  <si>
    <t>TO</t>
  </si>
  <si>
    <t>O K</t>
  </si>
  <si>
    <t>SW/M%</t>
  </si>
  <si>
    <t>FB K%</t>
  </si>
  <si>
    <t>FB S/M%</t>
  </si>
  <si>
    <t>CB K%</t>
  </si>
  <si>
    <t>CB S/M%</t>
  </si>
  <si>
    <t>CH K%</t>
  </si>
  <si>
    <t>CH S/M%</t>
  </si>
  <si>
    <t>O K%</t>
  </si>
  <si>
    <t>O S/M%</t>
  </si>
  <si>
    <t>FB USG</t>
  </si>
  <si>
    <t>CB USG</t>
  </si>
  <si>
    <t>CH USG</t>
  </si>
  <si>
    <t>O USG</t>
  </si>
  <si>
    <t>TOTALS</t>
  </si>
  <si>
    <t>Last Updated</t>
  </si>
  <si>
    <t>FB SW/FBK</t>
  </si>
  <si>
    <t>CB SW/CBK</t>
  </si>
  <si>
    <t>CH SW/CHK</t>
  </si>
  <si>
    <t>SL SW/SLK</t>
  </si>
  <si>
    <t>G</t>
  </si>
  <si>
    <t xml:space="preserve">     2026 Shepherds Pitching Stat Sheet</t>
  </si>
  <si>
    <t>Andrew Craig</t>
  </si>
  <si>
    <t xml:space="preserve">     2026 Shepherds Hitting Stat Sheet</t>
  </si>
  <si>
    <t>Max EV</t>
  </si>
  <si>
    <t>Whiffs</t>
  </si>
  <si>
    <t>FB Barrels</t>
  </si>
  <si>
    <t>FB Barrel %</t>
  </si>
  <si>
    <t>FB Chases</t>
  </si>
  <si>
    <t>FB Chase %</t>
  </si>
  <si>
    <t>FB Whiffs</t>
  </si>
  <si>
    <t>FB Whiff %</t>
  </si>
  <si>
    <t>CB/SL Whiffs</t>
  </si>
  <si>
    <t>CB/SL Whiff %</t>
  </si>
  <si>
    <t>CB/SL Barrels</t>
  </si>
  <si>
    <t>CB/SL Barrel %</t>
  </si>
  <si>
    <t>CB/SL Chases</t>
  </si>
  <si>
    <t>CB/SL Chase %</t>
  </si>
  <si>
    <t>CH/SP Barrels</t>
  </si>
  <si>
    <t>CH/SP Barrel %</t>
  </si>
  <si>
    <t>CH/SP Chases</t>
  </si>
  <si>
    <t>CH/SP Chase %</t>
  </si>
  <si>
    <t>CH/SP Whiffs</t>
  </si>
  <si>
    <t>CH/SP Whiff %</t>
  </si>
  <si>
    <t>Tot FB</t>
  </si>
  <si>
    <t>Tot CB/SL</t>
  </si>
  <si>
    <t>Tot CH/SP</t>
  </si>
  <si>
    <t>Max BatSp</t>
  </si>
  <si>
    <t>Velo</t>
  </si>
  <si>
    <t>Jason Cruz</t>
  </si>
  <si>
    <t>End AB</t>
  </si>
  <si>
    <t>Live BP</t>
  </si>
  <si>
    <t>Live AB</t>
  </si>
  <si>
    <t>Outcome</t>
  </si>
  <si>
    <t>Avg FB Velo</t>
  </si>
  <si>
    <t>Max FB Velo</t>
  </si>
  <si>
    <t>Avg SL Velo</t>
  </si>
  <si>
    <t>Max SL Velo</t>
  </si>
  <si>
    <t>Min FB Velo</t>
  </si>
  <si>
    <t>Min SL Velo</t>
  </si>
  <si>
    <t>Min CH Velo</t>
  </si>
  <si>
    <t>Avg FB RPM</t>
  </si>
  <si>
    <t>Avg SL RPM</t>
  </si>
  <si>
    <t>Avg CH RPM</t>
  </si>
  <si>
    <t>Max CH Velo</t>
  </si>
  <si>
    <t>Avg CH Velo</t>
  </si>
  <si>
    <t>Metrics</t>
  </si>
  <si>
    <t>Avg EV</t>
  </si>
  <si>
    <t>Avg LA</t>
  </si>
  <si>
    <t>Avg Distance</t>
  </si>
  <si>
    <t>TSw/M%</t>
  </si>
  <si>
    <t>Batted Ball</t>
  </si>
  <si>
    <t>Avg CT Velo</t>
  </si>
  <si>
    <t>Min CT Velo</t>
  </si>
  <si>
    <t>Max CT Velo</t>
  </si>
  <si>
    <t>Avg CT RPM</t>
  </si>
  <si>
    <t>Totals</t>
  </si>
  <si>
    <t>Avg CB Velo</t>
  </si>
  <si>
    <t>Min CB Velo</t>
  </si>
  <si>
    <t>Max CB Velo</t>
  </si>
  <si>
    <t>Avg CB RPM</t>
  </si>
  <si>
    <t>Avg SqU%</t>
  </si>
  <si>
    <t>Avg SP Velo</t>
  </si>
  <si>
    <t>Min SP Velo</t>
  </si>
  <si>
    <t>Max SP Velo</t>
  </si>
  <si>
    <t>Avg SP RPM</t>
  </si>
  <si>
    <t>Avg FB 2 Velo</t>
  </si>
  <si>
    <t>Min FB 2 Velo</t>
  </si>
  <si>
    <t>Max FB 2 Velo</t>
  </si>
  <si>
    <t>Avg FB 2 RPM</t>
  </si>
  <si>
    <t>Avg SL 2 Velo</t>
  </si>
  <si>
    <t>Min SL 2 Velo</t>
  </si>
  <si>
    <t>Max SL 2 Velo</t>
  </si>
  <si>
    <t>Avg SL 2 RPM</t>
  </si>
  <si>
    <t>TCT SW</t>
  </si>
  <si>
    <t>CT SW/M</t>
  </si>
  <si>
    <t>CT SW/M%</t>
  </si>
  <si>
    <t>TCT</t>
  </si>
  <si>
    <t>CTK</t>
  </si>
  <si>
    <t>CT%</t>
  </si>
  <si>
    <t>CTK%</t>
  </si>
  <si>
    <t>IVB</t>
  </si>
  <si>
    <t>HB</t>
  </si>
  <si>
    <t>2S</t>
  </si>
  <si>
    <t>In Play, Hit</t>
  </si>
  <si>
    <t>In Play, Out</t>
  </si>
  <si>
    <t>TSP SW</t>
  </si>
  <si>
    <t>SP SW/M</t>
  </si>
  <si>
    <t>SP SW/M%</t>
  </si>
  <si>
    <t>TSP</t>
  </si>
  <si>
    <t>SPK</t>
  </si>
  <si>
    <t>SP%</t>
  </si>
  <si>
    <t>SPK%</t>
  </si>
  <si>
    <t>Free FB, In Play</t>
  </si>
  <si>
    <t>In Play. Out</t>
  </si>
  <si>
    <t>In Play,Out</t>
  </si>
  <si>
    <t>In Play, HIt</t>
  </si>
  <si>
    <t>In Play, Outs</t>
  </si>
  <si>
    <t>EV90</t>
  </si>
  <si>
    <t>BatSpeed90</t>
  </si>
  <si>
    <t>Whiff %</t>
  </si>
  <si>
    <t>Total Swings</t>
  </si>
  <si>
    <t>K/9</t>
  </si>
  <si>
    <t>BA</t>
  </si>
  <si>
    <t>Free FB</t>
  </si>
  <si>
    <t>Total PA</t>
  </si>
  <si>
    <t>Tot Pitches</t>
  </si>
  <si>
    <t>BB/9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</si>
</sst>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3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24"/>
      <color rgb="FF000000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22"/>
      <color rgb="FFE97132"/>
      <name val="Aptos Narrow"/>
      <family val="2"/>
      <scheme val="minor"/>
    </font>
    <font>
      <b/>
      <sz val="22"/>
      <color rgb="FF00000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b/>
      <sz val="14"/>
      <color theme="1"/>
      <name val="Aptos Narrow"/>
      <scheme val="minor"/>
    </font>
    <font>
      <b/>
      <sz val="12"/>
      <color theme="0"/>
      <name val="Aptos Narrow"/>
      <scheme val="minor"/>
    </font>
    <font>
      <sz val="14"/>
      <color rgb="FF000000"/>
      <name val="Aptos Narrow"/>
      <scheme val="minor"/>
    </font>
    <font>
      <b/>
      <sz val="12"/>
      <color theme="1" tint="0.34998626667073579"/>
      <name val="Aptos Narrow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17766D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2">
    <xf numFmtId="0" fontId="0" fillId="0" borderId="0" xfId="0"/>
    <xf numFmtId="14" fontId="0" fillId="0" borderId="0" xfId="0" applyNumberFormat="1"/>
    <xf numFmtId="19" fontId="0" fillId="0" borderId="0" xfId="0" applyNumberFormat="1"/>
    <xf numFmtId="164" fontId="0" fillId="0" borderId="0" xfId="0" applyNumberFormat="1"/>
    <xf numFmtId="1" fontId="0" fillId="0" borderId="0" xfId="0" applyNumberFormat="1" applyAlignment="1">
      <alignment horizontal="center"/>
    </xf>
    <xf numFmtId="165" fontId="0" fillId="0" borderId="0" xfId="1" applyNumberFormat="1" applyFont="1"/>
    <xf numFmtId="0" fontId="18" fillId="0" borderId="0" xfId="0" applyFont="1"/>
    <xf numFmtId="0" fontId="19" fillId="0" borderId="0" xfId="0" applyFont="1"/>
    <xf numFmtId="14" fontId="19" fillId="0" borderId="0" xfId="0" applyNumberFormat="1" applyFont="1"/>
    <xf numFmtId="19" fontId="19" fillId="0" borderId="0" xfId="0" applyNumberFormat="1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1" fontId="0" fillId="0" borderId="10" xfId="0" applyNumberFormat="1" applyBorder="1" applyAlignment="1">
      <alignment horizontal="center"/>
    </xf>
    <xf numFmtId="1" fontId="18" fillId="0" borderId="10" xfId="0" applyNumberFormat="1" applyFont="1" applyBorder="1" applyAlignment="1">
      <alignment horizontal="center"/>
    </xf>
    <xf numFmtId="1" fontId="19" fillId="0" borderId="10" xfId="0" applyNumberFormat="1" applyFon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18" fillId="0" borderId="11" xfId="0" applyNumberFormat="1" applyFont="1" applyBorder="1" applyAlignment="1">
      <alignment horizontal="center"/>
    </xf>
    <xf numFmtId="1" fontId="19" fillId="0" borderId="11" xfId="0" applyNumberFormat="1" applyFont="1" applyBorder="1" applyAlignment="1">
      <alignment horizontal="center"/>
    </xf>
    <xf numFmtId="164" fontId="18" fillId="0" borderId="0" xfId="1" applyNumberFormat="1" applyFont="1" applyAlignment="1">
      <alignment horizontal="center"/>
    </xf>
    <xf numFmtId="0" fontId="16" fillId="0" borderId="15" xfId="0" applyFont="1" applyBorder="1" applyAlignment="1">
      <alignment horizontal="center"/>
    </xf>
    <xf numFmtId="14" fontId="16" fillId="0" borderId="16" xfId="0" applyNumberFormat="1" applyFont="1" applyBorder="1" applyAlignment="1">
      <alignment horizontal="center"/>
    </xf>
    <xf numFmtId="14" fontId="16" fillId="0" borderId="17" xfId="0" applyNumberFormat="1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0" xfId="0" applyFont="1" applyAlignment="1">
      <alignment horizontal="center"/>
    </xf>
    <xf numFmtId="164" fontId="0" fillId="34" borderId="22" xfId="0" applyNumberFormat="1" applyFill="1" applyBorder="1" applyAlignment="1">
      <alignment horizontal="center"/>
    </xf>
    <xf numFmtId="0" fontId="0" fillId="34" borderId="24" xfId="0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1" fontId="0" fillId="34" borderId="24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6" fillId="0" borderId="26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14" fontId="23" fillId="0" borderId="0" xfId="0" applyNumberFormat="1" applyFont="1" applyAlignment="1">
      <alignment horizontal="center"/>
    </xf>
    <xf numFmtId="14" fontId="23" fillId="0" borderId="30" xfId="0" applyNumberFormat="1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0" xfId="0" applyFont="1" applyAlignment="1">
      <alignment horizontal="center"/>
    </xf>
    <xf numFmtId="164" fontId="19" fillId="36" borderId="22" xfId="0" applyNumberFormat="1" applyFont="1" applyFill="1" applyBorder="1" applyAlignment="1">
      <alignment horizontal="center"/>
    </xf>
    <xf numFmtId="164" fontId="19" fillId="36" borderId="27" xfId="0" applyNumberFormat="1" applyFont="1" applyFill="1" applyBorder="1" applyAlignment="1">
      <alignment horizontal="center"/>
    </xf>
    <xf numFmtId="0" fontId="19" fillId="36" borderId="22" xfId="0" applyFont="1" applyFill="1" applyBorder="1" applyAlignment="1">
      <alignment horizontal="center"/>
    </xf>
    <xf numFmtId="0" fontId="19" fillId="36" borderId="27" xfId="0" applyFont="1" applyFill="1" applyBorder="1" applyAlignment="1">
      <alignment horizontal="center"/>
    </xf>
    <xf numFmtId="165" fontId="19" fillId="0" borderId="0" xfId="0" applyNumberFormat="1" applyFont="1" applyAlignment="1">
      <alignment horizontal="center"/>
    </xf>
    <xf numFmtId="0" fontId="19" fillId="36" borderId="24" xfId="0" applyFont="1" applyFill="1" applyBorder="1" applyAlignment="1">
      <alignment horizontal="center"/>
    </xf>
    <xf numFmtId="0" fontId="19" fillId="36" borderId="32" xfId="0" applyFont="1" applyFill="1" applyBorder="1" applyAlignment="1">
      <alignment horizontal="center"/>
    </xf>
    <xf numFmtId="1" fontId="19" fillId="36" borderId="24" xfId="0" applyNumberFormat="1" applyFont="1" applyFill="1" applyBorder="1" applyAlignment="1">
      <alignment horizontal="center"/>
    </xf>
    <xf numFmtId="1" fontId="19" fillId="36" borderId="32" xfId="0" applyNumberFormat="1" applyFont="1" applyFill="1" applyBorder="1" applyAlignment="1">
      <alignment horizontal="center"/>
    </xf>
    <xf numFmtId="1" fontId="19" fillId="36" borderId="22" xfId="0" applyNumberFormat="1" applyFont="1" applyFill="1" applyBorder="1" applyAlignment="1">
      <alignment horizontal="center"/>
    </xf>
    <xf numFmtId="1" fontId="19" fillId="36" borderId="27" xfId="0" applyNumberFormat="1" applyFont="1" applyFill="1" applyBorder="1" applyAlignment="1">
      <alignment horizontal="center"/>
    </xf>
    <xf numFmtId="2" fontId="19" fillId="0" borderId="0" xfId="0" applyNumberFormat="1" applyFont="1" applyAlignment="1">
      <alignment horizontal="center"/>
    </xf>
    <xf numFmtId="166" fontId="19" fillId="0" borderId="0" xfId="0" applyNumberFormat="1" applyFont="1" applyAlignment="1">
      <alignment horizontal="center"/>
    </xf>
    <xf numFmtId="0" fontId="23" fillId="0" borderId="26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 vertic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" fontId="31" fillId="0" borderId="0" xfId="0" applyNumberFormat="1" applyFont="1" applyAlignment="1">
      <alignment horizontal="center" vertical="center"/>
    </xf>
    <xf numFmtId="165" fontId="31" fillId="0" borderId="0" xfId="1" applyNumberFormat="1" applyFont="1" applyFill="1" applyBorder="1" applyAlignment="1">
      <alignment horizontal="center" vertical="center"/>
    </xf>
    <xf numFmtId="164" fontId="31" fillId="0" borderId="0" xfId="1" applyNumberFormat="1" applyFont="1" applyFill="1" applyBorder="1" applyAlignment="1">
      <alignment horizontal="center" vertical="center"/>
    </xf>
    <xf numFmtId="2" fontId="31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165" fontId="31" fillId="0" borderId="0" xfId="1" applyNumberFormat="1" applyFont="1" applyAlignment="1">
      <alignment horizontal="center" vertical="center"/>
    </xf>
    <xf numFmtId="165" fontId="31" fillId="0" borderId="30" xfId="1" applyNumberFormat="1" applyFont="1" applyFill="1" applyBorder="1" applyAlignment="1">
      <alignment horizontal="center" vertical="center"/>
    </xf>
    <xf numFmtId="165" fontId="31" fillId="0" borderId="0" xfId="0" applyNumberFormat="1" applyFont="1" applyAlignment="1">
      <alignment horizontal="center" vertical="center"/>
    </xf>
    <xf numFmtId="165" fontId="31" fillId="0" borderId="0" xfId="1" applyNumberFormat="1" applyFont="1" applyBorder="1" applyAlignment="1">
      <alignment horizontal="center" vertical="center"/>
    </xf>
    <xf numFmtId="165" fontId="31" fillId="0" borderId="30" xfId="1" applyNumberFormat="1" applyFont="1" applyBorder="1" applyAlignment="1">
      <alignment horizontal="center" vertical="center"/>
    </xf>
    <xf numFmtId="164" fontId="31" fillId="0" borderId="0" xfId="0" applyNumberFormat="1" applyFont="1" applyAlignment="1">
      <alignment horizontal="center"/>
    </xf>
    <xf numFmtId="2" fontId="31" fillId="0" borderId="0" xfId="0" applyNumberFormat="1" applyFont="1" applyAlignment="1">
      <alignment horizontal="center"/>
    </xf>
    <xf numFmtId="165" fontId="31" fillId="0" borderId="0" xfId="0" applyNumberFormat="1" applyFont="1" applyAlignment="1">
      <alignment horizontal="center"/>
    </xf>
    <xf numFmtId="0" fontId="31" fillId="0" borderId="0" xfId="0" applyFont="1"/>
    <xf numFmtId="0" fontId="32" fillId="0" borderId="19" xfId="0" applyFont="1" applyBorder="1" applyAlignment="1">
      <alignment horizontal="center" vertical="center"/>
    </xf>
    <xf numFmtId="164" fontId="32" fillId="0" borderId="19" xfId="0" applyNumberFormat="1" applyFont="1" applyBorder="1" applyAlignment="1">
      <alignment horizontal="center" vertical="center"/>
    </xf>
    <xf numFmtId="1" fontId="32" fillId="0" borderId="19" xfId="0" applyNumberFormat="1" applyFont="1" applyBorder="1" applyAlignment="1">
      <alignment horizontal="center" vertical="center"/>
    </xf>
    <xf numFmtId="165" fontId="32" fillId="0" borderId="19" xfId="1" applyNumberFormat="1" applyFont="1" applyBorder="1" applyAlignment="1">
      <alignment horizontal="center" vertical="center"/>
    </xf>
    <xf numFmtId="164" fontId="32" fillId="0" borderId="19" xfId="1" applyNumberFormat="1" applyFont="1" applyFill="1" applyBorder="1" applyAlignment="1">
      <alignment horizontal="center" vertical="center"/>
    </xf>
    <xf numFmtId="165" fontId="32" fillId="0" borderId="19" xfId="1" applyNumberFormat="1" applyFont="1" applyFill="1" applyBorder="1" applyAlignment="1">
      <alignment horizontal="center" vertical="center"/>
    </xf>
    <xf numFmtId="2" fontId="32" fillId="0" borderId="19" xfId="0" applyNumberFormat="1" applyFont="1" applyBorder="1" applyAlignment="1">
      <alignment horizontal="center" vertical="center"/>
    </xf>
    <xf numFmtId="166" fontId="32" fillId="0" borderId="19" xfId="0" applyNumberFormat="1" applyFont="1" applyBorder="1" applyAlignment="1">
      <alignment horizontal="center" vertical="center"/>
    </xf>
    <xf numFmtId="165" fontId="32" fillId="0" borderId="20" xfId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2" fillId="0" borderId="0" xfId="0" applyFont="1" applyAlignment="1">
      <alignment horizontal="center" vertical="center"/>
    </xf>
    <xf numFmtId="164" fontId="31" fillId="0" borderId="0" xfId="0" applyNumberFormat="1" applyFont="1"/>
    <xf numFmtId="165" fontId="0" fillId="0" borderId="0" xfId="0" applyNumberFormat="1"/>
    <xf numFmtId="2" fontId="0" fillId="0" borderId="0" xfId="0" applyNumberFormat="1"/>
    <xf numFmtId="9" fontId="0" fillId="0" borderId="0" xfId="1" applyFont="1"/>
    <xf numFmtId="0" fontId="30" fillId="38" borderId="13" xfId="0" applyFont="1" applyFill="1" applyBorder="1" applyAlignment="1">
      <alignment horizontal="center"/>
    </xf>
    <xf numFmtId="0" fontId="30" fillId="38" borderId="14" xfId="0" applyFont="1" applyFill="1" applyBorder="1" applyAlignment="1">
      <alignment horizontal="center"/>
    </xf>
    <xf numFmtId="0" fontId="30" fillId="39" borderId="23" xfId="0" applyFont="1" applyFill="1" applyBorder="1" applyAlignment="1">
      <alignment horizontal="center" vertical="center"/>
    </xf>
    <xf numFmtId="0" fontId="30" fillId="38" borderId="15" xfId="0" applyFont="1" applyFill="1" applyBorder="1" applyAlignment="1">
      <alignment horizontal="center"/>
    </xf>
    <xf numFmtId="0" fontId="30" fillId="38" borderId="13" xfId="0" applyFont="1" applyFill="1" applyBorder="1"/>
    <xf numFmtId="12" fontId="30" fillId="38" borderId="13" xfId="0" applyNumberFormat="1" applyFont="1" applyFill="1" applyBorder="1" applyAlignment="1">
      <alignment horizontal="center"/>
    </xf>
    <xf numFmtId="165" fontId="31" fillId="0" borderId="42" xfId="1" applyNumberFormat="1" applyFont="1" applyFill="1" applyBorder="1" applyAlignment="1">
      <alignment horizontal="center" vertical="center"/>
    </xf>
    <xf numFmtId="165" fontId="31" fillId="0" borderId="10" xfId="1" applyNumberFormat="1" applyFont="1" applyFill="1" applyBorder="1" applyAlignment="1">
      <alignment horizontal="center" vertical="center"/>
    </xf>
    <xf numFmtId="165" fontId="32" fillId="0" borderId="43" xfId="1" applyNumberFormat="1" applyFont="1" applyFill="1" applyBorder="1" applyAlignment="1">
      <alignment horizontal="center" vertical="center"/>
    </xf>
    <xf numFmtId="0" fontId="19" fillId="0" borderId="44" xfId="0" applyFont="1" applyBorder="1"/>
    <xf numFmtId="14" fontId="19" fillId="0" borderId="44" xfId="0" applyNumberFormat="1" applyFont="1" applyBorder="1"/>
    <xf numFmtId="19" fontId="19" fillId="0" borderId="44" xfId="0" applyNumberFormat="1" applyFont="1" applyBorder="1"/>
    <xf numFmtId="0" fontId="19" fillId="0" borderId="44" xfId="0" applyFont="1" applyBorder="1" applyAlignment="1">
      <alignment horizontal="center"/>
    </xf>
    <xf numFmtId="164" fontId="19" fillId="0" borderId="44" xfId="0" applyNumberFormat="1" applyFont="1" applyBorder="1" applyAlignment="1">
      <alignment horizontal="center"/>
    </xf>
    <xf numFmtId="1" fontId="19" fillId="0" borderId="26" xfId="0" applyNumberFormat="1" applyFont="1" applyBorder="1" applyAlignment="1">
      <alignment horizontal="center"/>
    </xf>
    <xf numFmtId="1" fontId="19" fillId="0" borderId="33" xfId="0" applyNumberFormat="1" applyFont="1" applyBorder="1" applyAlignment="1">
      <alignment horizontal="center"/>
    </xf>
    <xf numFmtId="0" fontId="0" fillId="0" borderId="44" xfId="0" applyBorder="1"/>
    <xf numFmtId="0" fontId="0" fillId="0" borderId="37" xfId="0" applyBorder="1"/>
    <xf numFmtId="14" fontId="0" fillId="0" borderId="37" xfId="0" applyNumberFormat="1" applyBorder="1"/>
    <xf numFmtId="19" fontId="0" fillId="0" borderId="37" xfId="0" applyNumberFormat="1" applyBorder="1"/>
    <xf numFmtId="0" fontId="0" fillId="0" borderId="37" xfId="0" applyBorder="1" applyAlignment="1">
      <alignment horizontal="center"/>
    </xf>
    <xf numFmtId="164" fontId="0" fillId="0" borderId="37" xfId="0" applyNumberFormat="1" applyBorder="1" applyAlignment="1">
      <alignment horizontal="center"/>
    </xf>
    <xf numFmtId="1" fontId="0" fillId="0" borderId="45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0" fontId="19" fillId="0" borderId="37" xfId="0" applyFont="1" applyBorder="1"/>
    <xf numFmtId="14" fontId="19" fillId="0" borderId="37" xfId="0" applyNumberFormat="1" applyFont="1" applyBorder="1"/>
    <xf numFmtId="19" fontId="19" fillId="0" borderId="37" xfId="0" applyNumberFormat="1" applyFont="1" applyBorder="1"/>
    <xf numFmtId="0" fontId="19" fillId="0" borderId="37" xfId="0" applyFont="1" applyBorder="1" applyAlignment="1">
      <alignment horizontal="center"/>
    </xf>
    <xf numFmtId="164" fontId="19" fillId="0" borderId="37" xfId="0" applyNumberFormat="1" applyFont="1" applyBorder="1" applyAlignment="1">
      <alignment horizontal="center"/>
    </xf>
    <xf numFmtId="1" fontId="19" fillId="0" borderId="45" xfId="0" applyNumberFormat="1" applyFont="1" applyBorder="1" applyAlignment="1">
      <alignment horizontal="center"/>
    </xf>
    <xf numFmtId="1" fontId="19" fillId="0" borderId="46" xfId="0" applyNumberFormat="1" applyFont="1" applyBorder="1" applyAlignment="1">
      <alignment horizontal="center"/>
    </xf>
    <xf numFmtId="1" fontId="19" fillId="0" borderId="0" xfId="0" applyNumberFormat="1" applyFont="1" applyAlignment="1">
      <alignment horizontal="center"/>
    </xf>
    <xf numFmtId="1" fontId="0" fillId="0" borderId="37" xfId="0" applyNumberFormat="1" applyBorder="1" applyAlignment="1">
      <alignment horizontal="center"/>
    </xf>
    <xf numFmtId="164" fontId="0" fillId="0" borderId="37" xfId="1" applyNumberFormat="1" applyFont="1" applyBorder="1" applyAlignment="1">
      <alignment horizontal="center"/>
    </xf>
    <xf numFmtId="1" fontId="19" fillId="0" borderId="37" xfId="0" applyNumberFormat="1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4" fontId="0" fillId="34" borderId="47" xfId="0" applyNumberFormat="1" applyFill="1" applyBorder="1" applyAlignment="1">
      <alignment horizontal="center"/>
    </xf>
    <xf numFmtId="0" fontId="0" fillId="34" borderId="40" xfId="0" applyFill="1" applyBorder="1" applyAlignment="1">
      <alignment horizontal="center"/>
    </xf>
    <xf numFmtId="1" fontId="0" fillId="34" borderId="40" xfId="0" applyNumberFormat="1" applyFill="1" applyBorder="1" applyAlignment="1">
      <alignment horizontal="center"/>
    </xf>
    <xf numFmtId="164" fontId="0" fillId="34" borderId="27" xfId="0" applyNumberFormat="1" applyFill="1" applyBorder="1" applyAlignment="1">
      <alignment horizontal="center"/>
    </xf>
    <xf numFmtId="0" fontId="0" fillId="34" borderId="32" xfId="0" applyFill="1" applyBorder="1" applyAlignment="1">
      <alignment horizontal="center"/>
    </xf>
    <xf numFmtId="1" fontId="0" fillId="34" borderId="32" xfId="0" applyNumberFormat="1" applyFill="1" applyBorder="1" applyAlignment="1">
      <alignment horizontal="center"/>
    </xf>
    <xf numFmtId="14" fontId="16" fillId="0" borderId="48" xfId="0" applyNumberFormat="1" applyFont="1" applyBorder="1" applyAlignment="1">
      <alignment horizontal="center"/>
    </xf>
    <xf numFmtId="0" fontId="16" fillId="0" borderId="41" xfId="0" applyFont="1" applyBorder="1" applyAlignment="1">
      <alignment horizontal="center"/>
    </xf>
    <xf numFmtId="165" fontId="0" fillId="0" borderId="11" xfId="1" applyNumberFormat="1" applyFont="1" applyBorder="1" applyAlignment="1">
      <alignment horizontal="center"/>
    </xf>
    <xf numFmtId="164" fontId="0" fillId="0" borderId="11" xfId="1" applyNumberFormat="1" applyFon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4" fontId="16" fillId="0" borderId="42" xfId="0" applyNumberFormat="1" applyFont="1" applyBorder="1" applyAlignment="1">
      <alignment horizontal="center"/>
    </xf>
    <xf numFmtId="0" fontId="16" fillId="0" borderId="43" xfId="0" applyFont="1" applyBorder="1" applyAlignment="1">
      <alignment horizontal="center"/>
    </xf>
    <xf numFmtId="165" fontId="0" fillId="0" borderId="10" xfId="1" applyNumberFormat="1" applyFont="1" applyBorder="1" applyAlignment="1">
      <alignment horizontal="center"/>
    </xf>
    <xf numFmtId="164" fontId="0" fillId="0" borderId="10" xfId="1" applyNumberFormat="1" applyFon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0" fontId="0" fillId="0" borderId="35" xfId="0" applyBorder="1"/>
    <xf numFmtId="14" fontId="0" fillId="0" borderId="35" xfId="0" applyNumberFormat="1" applyBorder="1"/>
    <xf numFmtId="19" fontId="0" fillId="0" borderId="35" xfId="0" applyNumberFormat="1" applyBorder="1"/>
    <xf numFmtId="0" fontId="0" fillId="0" borderId="35" xfId="0" applyBorder="1" applyAlignment="1">
      <alignment horizontal="center"/>
    </xf>
    <xf numFmtId="164" fontId="0" fillId="0" borderId="35" xfId="0" applyNumberFormat="1" applyBorder="1" applyAlignment="1">
      <alignment horizontal="center"/>
    </xf>
    <xf numFmtId="1" fontId="0" fillId="0" borderId="35" xfId="0" applyNumberForma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4" fontId="19" fillId="0" borderId="35" xfId="0" applyNumberFormat="1" applyFont="1" applyBorder="1"/>
    <xf numFmtId="19" fontId="19" fillId="0" borderId="35" xfId="0" applyNumberFormat="1" applyFont="1" applyBorder="1"/>
    <xf numFmtId="0" fontId="19" fillId="0" borderId="35" xfId="0" applyFont="1" applyBorder="1"/>
    <xf numFmtId="0" fontId="19" fillId="0" borderId="35" xfId="0" applyFont="1" applyBorder="1" applyAlignment="1">
      <alignment horizontal="center"/>
    </xf>
    <xf numFmtId="164" fontId="19" fillId="0" borderId="35" xfId="0" applyNumberFormat="1" applyFont="1" applyBorder="1" applyAlignment="1">
      <alignment horizontal="center"/>
    </xf>
    <xf numFmtId="1" fontId="19" fillId="0" borderId="35" xfId="0" applyNumberFormat="1" applyFont="1" applyBorder="1" applyAlignment="1">
      <alignment horizontal="center"/>
    </xf>
    <xf numFmtId="1" fontId="19" fillId="0" borderId="22" xfId="0" applyNumberFormat="1" applyFont="1" applyBorder="1" applyAlignment="1">
      <alignment horizontal="center"/>
    </xf>
    <xf numFmtId="1" fontId="19" fillId="0" borderId="27" xfId="0" applyNumberFormat="1" applyFont="1" applyBorder="1" applyAlignment="1">
      <alignment horizontal="center"/>
    </xf>
    <xf numFmtId="165" fontId="18" fillId="0" borderId="0" xfId="1" applyNumberFormat="1" applyFont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37" xfId="1" applyNumberFormat="1" applyFont="1" applyBorder="1" applyAlignment="1">
      <alignment horizontal="center"/>
    </xf>
    <xf numFmtId="165" fontId="0" fillId="0" borderId="35" xfId="1" applyNumberFormat="1" applyFont="1" applyBorder="1" applyAlignment="1">
      <alignment horizontal="center"/>
    </xf>
    <xf numFmtId="165" fontId="19" fillId="0" borderId="0" xfId="1" applyNumberFormat="1" applyFont="1" applyAlignment="1">
      <alignment horizontal="center"/>
    </xf>
    <xf numFmtId="165" fontId="19" fillId="0" borderId="35" xfId="1" applyNumberFormat="1" applyFont="1" applyBorder="1" applyAlignment="1">
      <alignment horizontal="center"/>
    </xf>
    <xf numFmtId="165" fontId="19" fillId="0" borderId="0" xfId="1" applyNumberFormat="1" applyFont="1" applyBorder="1" applyAlignment="1">
      <alignment horizontal="center"/>
    </xf>
    <xf numFmtId="165" fontId="19" fillId="0" borderId="37" xfId="1" applyNumberFormat="1" applyFont="1" applyBorder="1" applyAlignment="1">
      <alignment horizontal="center"/>
    </xf>
    <xf numFmtId="0" fontId="23" fillId="0" borderId="38" xfId="0" applyFont="1" applyBorder="1" applyAlignment="1">
      <alignment horizontal="center"/>
    </xf>
    <xf numFmtId="165" fontId="0" fillId="0" borderId="0" xfId="1" applyNumberFormat="1" applyFont="1" applyAlignment="1">
      <alignment vertical="center"/>
    </xf>
    <xf numFmtId="0" fontId="33" fillId="0" borderId="0" xfId="0" applyFont="1" applyAlignment="1">
      <alignment vertical="center"/>
    </xf>
    <xf numFmtId="165" fontId="33" fillId="0" borderId="0" xfId="1" applyNumberFormat="1" applyFont="1" applyAlignment="1">
      <alignment vertical="center"/>
    </xf>
    <xf numFmtId="164" fontId="0" fillId="0" borderId="24" xfId="1" applyNumberFormat="1" applyFont="1" applyBorder="1" applyAlignment="1">
      <alignment horizontal="center"/>
    </xf>
    <xf numFmtId="2" fontId="0" fillId="0" borderId="24" xfId="1" applyNumberFormat="1" applyFont="1" applyBorder="1" applyAlignment="1">
      <alignment horizontal="center"/>
    </xf>
    <xf numFmtId="2" fontId="33" fillId="0" borderId="24" xfId="1" applyNumberFormat="1" applyFont="1" applyBorder="1" applyAlignment="1">
      <alignment horizontal="center"/>
    </xf>
    <xf numFmtId="0" fontId="29" fillId="39" borderId="12" xfId="0" applyFont="1" applyFill="1" applyBorder="1" applyAlignment="1">
      <alignment vertical="center"/>
    </xf>
    <xf numFmtId="0" fontId="29" fillId="39" borderId="13" xfId="0" applyFont="1" applyFill="1" applyBorder="1" applyAlignment="1">
      <alignment vertical="center"/>
    </xf>
    <xf numFmtId="0" fontId="29" fillId="39" borderId="14" xfId="0" applyFont="1" applyFill="1" applyBorder="1" applyAlignment="1">
      <alignment vertical="center"/>
    </xf>
    <xf numFmtId="1" fontId="0" fillId="0" borderId="24" xfId="1" applyNumberFormat="1" applyFont="1" applyBorder="1" applyAlignment="1">
      <alignment horizontal="center"/>
    </xf>
    <xf numFmtId="164" fontId="0" fillId="0" borderId="40" xfId="1" applyNumberFormat="1" applyFont="1" applyBorder="1" applyAlignment="1">
      <alignment horizontal="center"/>
    </xf>
    <xf numFmtId="1" fontId="0" fillId="0" borderId="40" xfId="1" applyNumberFormat="1" applyFont="1" applyBorder="1" applyAlignment="1">
      <alignment horizontal="center"/>
    </xf>
    <xf numFmtId="2" fontId="0" fillId="0" borderId="32" xfId="1" applyNumberFormat="1" applyFont="1" applyBorder="1" applyAlignment="1">
      <alignment horizontal="center"/>
    </xf>
    <xf numFmtId="2" fontId="33" fillId="0" borderId="32" xfId="1" applyNumberFormat="1" applyFont="1" applyBorder="1" applyAlignment="1">
      <alignment horizontal="center"/>
    </xf>
    <xf numFmtId="164" fontId="0" fillId="0" borderId="51" xfId="1" applyNumberFormat="1" applyFont="1" applyBorder="1" applyAlignment="1">
      <alignment horizontal="center"/>
    </xf>
    <xf numFmtId="164" fontId="0" fillId="0" borderId="52" xfId="1" applyNumberFormat="1" applyFont="1" applyBorder="1" applyAlignment="1">
      <alignment horizontal="center"/>
    </xf>
    <xf numFmtId="1" fontId="0" fillId="0" borderId="52" xfId="1" applyNumberFormat="1" applyFont="1" applyBorder="1" applyAlignment="1">
      <alignment horizontal="center"/>
    </xf>
    <xf numFmtId="1" fontId="33" fillId="0" borderId="52" xfId="1" applyNumberFormat="1" applyFon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165" fontId="0" fillId="0" borderId="23" xfId="0" applyNumberFormat="1" applyBorder="1" applyAlignment="1">
      <alignment horizontal="center"/>
    </xf>
    <xf numFmtId="165" fontId="0" fillId="0" borderId="25" xfId="1" applyNumberFormat="1" applyFont="1" applyBorder="1" applyAlignment="1">
      <alignment horizontal="center"/>
    </xf>
    <xf numFmtId="0" fontId="0" fillId="0" borderId="25" xfId="0" applyBorder="1"/>
    <xf numFmtId="1" fontId="18" fillId="0" borderId="0" xfId="0" applyNumberFormat="1" applyFont="1" applyAlignment="1">
      <alignment horizontal="center"/>
    </xf>
    <xf numFmtId="14" fontId="0" fillId="0" borderId="44" xfId="0" applyNumberFormat="1" applyBorder="1"/>
    <xf numFmtId="19" fontId="0" fillId="0" borderId="44" xfId="0" applyNumberFormat="1" applyBorder="1"/>
    <xf numFmtId="0" fontId="0" fillId="0" borderId="44" xfId="0" applyBorder="1" applyAlignment="1">
      <alignment horizontal="center"/>
    </xf>
    <xf numFmtId="164" fontId="0" fillId="0" borderId="44" xfId="0" applyNumberFormat="1" applyBorder="1" applyAlignment="1">
      <alignment horizontal="center"/>
    </xf>
    <xf numFmtId="1" fontId="0" fillId="0" borderId="44" xfId="0" applyNumberForma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3" fillId="43" borderId="49" xfId="0" applyFont="1" applyFill="1" applyBorder="1" applyAlignment="1">
      <alignment horizontal="center"/>
    </xf>
    <xf numFmtId="0" fontId="13" fillId="43" borderId="50" xfId="0" applyFont="1" applyFill="1" applyBorder="1" applyAlignment="1">
      <alignment horizontal="center"/>
    </xf>
    <xf numFmtId="0" fontId="23" fillId="40" borderId="50" xfId="0" applyFont="1" applyFill="1" applyBorder="1" applyAlignment="1">
      <alignment horizontal="center"/>
    </xf>
    <xf numFmtId="0" fontId="13" fillId="41" borderId="50" xfId="0" applyFont="1" applyFill="1" applyBorder="1" applyAlignment="1">
      <alignment horizontal="center"/>
    </xf>
    <xf numFmtId="0" fontId="13" fillId="44" borderId="50" xfId="0" applyFont="1" applyFill="1" applyBorder="1" applyAlignment="1">
      <alignment horizontal="center"/>
    </xf>
    <xf numFmtId="0" fontId="13" fillId="44" borderId="38" xfId="0" applyFont="1" applyFill="1" applyBorder="1" applyAlignment="1">
      <alignment horizontal="center"/>
    </xf>
    <xf numFmtId="0" fontId="18" fillId="0" borderId="44" xfId="0" applyFont="1" applyBorder="1" applyAlignment="1">
      <alignment horizontal="center"/>
    </xf>
    <xf numFmtId="0" fontId="18" fillId="0" borderId="35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4" fillId="0" borderId="35" xfId="0" applyFont="1" applyBorder="1" applyAlignment="1">
      <alignment horizontal="center"/>
    </xf>
    <xf numFmtId="165" fontId="0" fillId="0" borderId="0" xfId="1" applyNumberFormat="1" applyFont="1" applyBorder="1"/>
    <xf numFmtId="165" fontId="0" fillId="0" borderId="0" xfId="1" applyNumberFormat="1" applyFont="1" applyBorder="1" applyAlignment="1">
      <alignment vertical="center"/>
    </xf>
    <xf numFmtId="165" fontId="0" fillId="0" borderId="44" xfId="1" applyNumberFormat="1" applyFont="1" applyBorder="1" applyAlignment="1">
      <alignment horizontal="center"/>
    </xf>
    <xf numFmtId="164" fontId="0" fillId="0" borderId="0" xfId="1" applyNumberFormat="1" applyFont="1" applyBorder="1" applyAlignment="1">
      <alignment vertical="center"/>
    </xf>
    <xf numFmtId="165" fontId="0" fillId="0" borderId="0" xfId="1" applyNumberFormat="1" applyFont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4" fontId="33" fillId="0" borderId="0" xfId="0" applyNumberFormat="1" applyFont="1" applyAlignment="1">
      <alignment vertical="center"/>
    </xf>
    <xf numFmtId="164" fontId="33" fillId="0" borderId="0" xfId="1" applyNumberFormat="1" applyFont="1" applyBorder="1" applyAlignment="1">
      <alignment vertical="center"/>
    </xf>
    <xf numFmtId="1" fontId="19" fillId="0" borderId="44" xfId="0" applyNumberFormat="1" applyFont="1" applyBorder="1" applyAlignment="1">
      <alignment horizontal="center"/>
    </xf>
    <xf numFmtId="164" fontId="0" fillId="0" borderId="53" xfId="1" applyNumberFormat="1" applyFont="1" applyBorder="1" applyAlignment="1">
      <alignment horizontal="center"/>
    </xf>
    <xf numFmtId="165" fontId="19" fillId="0" borderId="44" xfId="1" applyNumberFormat="1" applyFont="1" applyBorder="1" applyAlignment="1">
      <alignment horizontal="center"/>
    </xf>
    <xf numFmtId="164" fontId="33" fillId="0" borderId="16" xfId="0" applyNumberFormat="1" applyFont="1" applyBorder="1" applyAlignment="1">
      <alignment horizontal="center"/>
    </xf>
    <xf numFmtId="0" fontId="37" fillId="0" borderId="0" xfId="0" applyFont="1"/>
    <xf numFmtId="164" fontId="37" fillId="0" borderId="0" xfId="0" applyNumberFormat="1" applyFont="1"/>
    <xf numFmtId="164" fontId="0" fillId="0" borderId="23" xfId="0" applyNumberFormat="1" applyBorder="1"/>
    <xf numFmtId="165" fontId="0" fillId="0" borderId="23" xfId="0" applyNumberFormat="1" applyBorder="1"/>
    <xf numFmtId="1" fontId="0" fillId="0" borderId="54" xfId="1" applyNumberFormat="1" applyFont="1" applyBorder="1" applyAlignment="1">
      <alignment horizontal="center"/>
    </xf>
    <xf numFmtId="1" fontId="33" fillId="0" borderId="54" xfId="1" applyNumberFormat="1" applyFon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0" fontId="13" fillId="45" borderId="50" xfId="0" applyFont="1" applyFill="1" applyBorder="1" applyAlignment="1">
      <alignment horizontal="center"/>
    </xf>
    <xf numFmtId="0" fontId="13" fillId="42" borderId="50" xfId="0" applyFont="1" applyFill="1" applyBorder="1" applyAlignment="1">
      <alignment horizontal="center"/>
    </xf>
    <xf numFmtId="0" fontId="38" fillId="40" borderId="50" xfId="0" applyFont="1" applyFill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3" fillId="43" borderId="55" xfId="0" applyFont="1" applyFill="1" applyBorder="1" applyAlignment="1">
      <alignment horizontal="center"/>
    </xf>
    <xf numFmtId="164" fontId="0" fillId="0" borderId="39" xfId="1" applyNumberFormat="1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34" fillId="0" borderId="29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36" fillId="45" borderId="0" xfId="0" applyFont="1" applyFill="1" applyAlignment="1">
      <alignment horizontal="center"/>
    </xf>
    <xf numFmtId="1" fontId="33" fillId="0" borderId="10" xfId="0" applyNumberFormat="1" applyFont="1" applyBorder="1" applyAlignment="1">
      <alignment horizontal="center"/>
    </xf>
    <xf numFmtId="164" fontId="35" fillId="0" borderId="19" xfId="0" applyNumberFormat="1" applyFont="1" applyBorder="1" applyAlignment="1">
      <alignment horizontal="center" vertical="center"/>
    </xf>
    <xf numFmtId="165" fontId="31" fillId="0" borderId="0" xfId="1" applyNumberFormat="1" applyFont="1" applyFill="1" applyAlignment="1">
      <alignment horizontal="center" vertical="center"/>
    </xf>
    <xf numFmtId="165" fontId="35" fillId="0" borderId="19" xfId="1" applyNumberFormat="1" applyFont="1" applyFill="1" applyBorder="1" applyAlignment="1">
      <alignment horizontal="center" vertical="center"/>
    </xf>
    <xf numFmtId="0" fontId="34" fillId="0" borderId="44" xfId="0" applyFont="1" applyBorder="1" applyAlignment="1">
      <alignment horizontal="center"/>
    </xf>
    <xf numFmtId="2" fontId="35" fillId="0" borderId="19" xfId="0" applyNumberFormat="1" applyFont="1" applyBorder="1" applyAlignment="1">
      <alignment horizontal="center" vertical="center"/>
    </xf>
    <xf numFmtId="165" fontId="35" fillId="0" borderId="19" xfId="1" applyNumberFormat="1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1" fillId="33" borderId="12" xfId="0" applyFont="1" applyFill="1" applyBorder="1" applyAlignment="1">
      <alignment horizontal="center" vertical="center"/>
    </xf>
    <xf numFmtId="0" fontId="21" fillId="33" borderId="13" xfId="0" applyFont="1" applyFill="1" applyBorder="1" applyAlignment="1">
      <alignment horizontal="center" vertical="center"/>
    </xf>
    <xf numFmtId="0" fontId="21" fillId="33" borderId="14" xfId="0" applyFont="1" applyFill="1" applyBorder="1" applyAlignment="1">
      <alignment horizontal="center" vertical="center"/>
    </xf>
    <xf numFmtId="0" fontId="22" fillId="0" borderId="21" xfId="0" applyFont="1" applyBorder="1" applyAlignment="1">
      <alignment horizontal="center" vertical="center" textRotation="90"/>
    </xf>
    <xf numFmtId="0" fontId="22" fillId="0" borderId="23" xfId="0" applyFont="1" applyBorder="1" applyAlignment="1">
      <alignment horizontal="center" vertical="center" textRotation="90"/>
    </xf>
    <xf numFmtId="0" fontId="22" fillId="0" borderId="25" xfId="0" applyFont="1" applyBorder="1" applyAlignment="1">
      <alignment horizontal="center" vertical="center" textRotation="90"/>
    </xf>
    <xf numFmtId="164" fontId="28" fillId="0" borderId="21" xfId="0" applyNumberFormat="1" applyFont="1" applyBorder="1" applyAlignment="1">
      <alignment horizontal="center" vertical="center"/>
    </xf>
    <xf numFmtId="164" fontId="28" fillId="0" borderId="31" xfId="0" applyNumberFormat="1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 textRotation="90"/>
    </xf>
    <xf numFmtId="0" fontId="35" fillId="0" borderId="23" xfId="0" applyFont="1" applyBorder="1" applyAlignment="1">
      <alignment horizontal="center" vertical="center" textRotation="90"/>
    </xf>
    <xf numFmtId="0" fontId="35" fillId="0" borderId="25" xfId="0" applyFont="1" applyBorder="1" applyAlignment="1">
      <alignment horizontal="center" vertical="center" textRotation="90"/>
    </xf>
    <xf numFmtId="0" fontId="29" fillId="39" borderId="12" xfId="0" applyFont="1" applyFill="1" applyBorder="1" applyAlignment="1">
      <alignment horizontal="left" vertical="center"/>
    </xf>
    <xf numFmtId="0" fontId="29" fillId="39" borderId="13" xfId="0" applyFont="1" applyFill="1" applyBorder="1" applyAlignment="1">
      <alignment horizontal="left" vertical="center"/>
    </xf>
    <xf numFmtId="0" fontId="29" fillId="39" borderId="14" xfId="0" applyFont="1" applyFill="1" applyBorder="1" applyAlignment="1">
      <alignment horizontal="left" vertical="center"/>
    </xf>
    <xf numFmtId="0" fontId="22" fillId="0" borderId="18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14" fontId="22" fillId="0" borderId="0" xfId="0" applyNumberFormat="1" applyFont="1" applyAlignment="1">
      <alignment horizontal="center"/>
    </xf>
    <xf numFmtId="0" fontId="27" fillId="37" borderId="33" xfId="0" applyFont="1" applyFill="1" applyBorder="1" applyAlignment="1">
      <alignment horizontal="center" vertical="center"/>
    </xf>
    <xf numFmtId="0" fontId="27" fillId="37" borderId="22" xfId="0" applyFont="1" applyFill="1" applyBorder="1" applyAlignment="1">
      <alignment horizontal="center" vertical="center"/>
    </xf>
    <xf numFmtId="0" fontId="24" fillId="0" borderId="12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24" fillId="0" borderId="28" xfId="0" applyFont="1" applyBorder="1" applyAlignment="1">
      <alignment horizontal="center"/>
    </xf>
    <xf numFmtId="0" fontId="25" fillId="35" borderId="12" xfId="0" applyFont="1" applyFill="1" applyBorder="1" applyAlignment="1">
      <alignment horizontal="center" vertical="center"/>
    </xf>
    <xf numFmtId="0" fontId="25" fillId="35" borderId="13" xfId="0" applyFont="1" applyFill="1" applyBorder="1" applyAlignment="1">
      <alignment horizontal="center" vertical="center"/>
    </xf>
    <xf numFmtId="0" fontId="25" fillId="35" borderId="28" xfId="0" applyFont="1" applyFill="1" applyBorder="1" applyAlignment="1">
      <alignment horizontal="center" vertical="center"/>
    </xf>
    <xf numFmtId="0" fontId="26" fillId="0" borderId="21" xfId="0" applyFont="1" applyBorder="1" applyAlignment="1">
      <alignment horizontal="center" vertical="center" textRotation="90"/>
    </xf>
    <xf numFmtId="0" fontId="26" fillId="0" borderId="23" xfId="0" applyFont="1" applyBorder="1" applyAlignment="1">
      <alignment horizontal="center" vertical="center" textRotation="90"/>
    </xf>
    <xf numFmtId="0" fontId="26" fillId="0" borderId="31" xfId="0" applyFont="1" applyBorder="1" applyAlignment="1">
      <alignment horizontal="center" vertical="center" textRotation="90"/>
    </xf>
    <xf numFmtId="0" fontId="26" fillId="0" borderId="34" xfId="0" applyFont="1" applyBorder="1" applyAlignment="1">
      <alignment horizontal="center" vertical="center" textRotation="90"/>
    </xf>
    <xf numFmtId="0" fontId="23" fillId="0" borderId="21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1" fontId="27" fillId="37" borderId="33" xfId="0" applyNumberFormat="1" applyFont="1" applyFill="1" applyBorder="1" applyAlignment="1">
      <alignment horizontal="center" vertical="center"/>
    </xf>
    <xf numFmtId="1" fontId="27" fillId="37" borderId="22" xfId="0" applyNumberFormat="1" applyFont="1" applyFill="1" applyBorder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88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030A0"/>
      </font>
      <fill>
        <patternFill>
          <bgColor theme="8" tint="0.59996337778862885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17766D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1" tint="0.49998474074526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17766D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1" tint="0.49998474074526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17766D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1" tint="0.49998474074526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17766D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1" tint="0.49998474074526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 tint="0.499984740745262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17766D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3" tint="0.749961851863155"/>
        </patternFill>
      </fill>
    </dxf>
    <dxf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 tint="0.499984740745262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17766D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rgb="FF7030A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34998626667073579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7030A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u val="none"/>
        <color theme="0"/>
      </font>
      <fill>
        <patternFill>
          <bgColor rgb="FFC00000"/>
        </patternFill>
      </fill>
    </dxf>
    <dxf>
      <font>
        <b/>
        <i val="0"/>
        <u val="none"/>
        <color theme="1"/>
      </font>
      <fill>
        <patternFill>
          <bgColor rgb="FFFFFF00"/>
        </patternFill>
      </fill>
    </dxf>
    <dxf>
      <font>
        <b/>
        <i val="0"/>
        <u val="none"/>
        <color theme="0"/>
      </font>
      <fill>
        <patternFill>
          <bgColor rgb="FF00B050"/>
        </patternFill>
      </fill>
    </dxf>
    <dxf>
      <font>
        <b/>
        <i val="0"/>
        <u val="none"/>
        <color theme="0"/>
      </font>
      <fill>
        <patternFill>
          <bgColor rgb="FFC00000"/>
        </patternFill>
      </fill>
    </dxf>
    <dxf>
      <font>
        <b/>
        <i val="0"/>
        <u val="none"/>
        <color theme="1"/>
      </font>
      <fill>
        <patternFill>
          <bgColor rgb="FFFFFF00"/>
        </patternFill>
      </fill>
    </dxf>
    <dxf>
      <font>
        <b/>
        <i val="0"/>
        <u val="none"/>
        <color theme="0"/>
      </font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F0"/>
        </patternFill>
      </fill>
    </dxf>
    <dxf>
      <font>
        <b/>
        <i val="0"/>
        <u val="none"/>
        <color theme="1"/>
      </font>
      <fill>
        <patternFill>
          <bgColor rgb="FFFFFF00"/>
        </patternFill>
      </fill>
    </dxf>
    <dxf>
      <font>
        <b/>
        <i val="0"/>
        <u val="none"/>
        <color theme="0"/>
      </font>
      <fill>
        <patternFill>
          <bgColor rgb="FF00B050"/>
        </patternFill>
      </fill>
    </dxf>
    <dxf>
      <font>
        <b/>
        <i val="0"/>
        <u val="none"/>
        <color theme="0"/>
      </font>
      <fill>
        <patternFill>
          <bgColor rgb="FFC0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7030A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F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3" tint="0.749961851863155"/>
        </patternFill>
      </fill>
    </dxf>
    <dxf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7030A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1" tint="0.3499862666707357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7030A0"/>
      </font>
      <fill>
        <patternFill>
          <bgColor theme="8" tint="0.59996337778862885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4996185186315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u val="none"/>
        <color theme="0"/>
      </font>
      <fill>
        <patternFill>
          <bgColor theme="5" tint="-0.499984740745262"/>
        </patternFill>
      </fill>
    </dxf>
    <dxf>
      <font>
        <b/>
        <i val="0"/>
        <u val="none"/>
        <color theme="0"/>
      </font>
      <fill>
        <patternFill>
          <bgColor rgb="FF00B0F0"/>
        </patternFill>
      </fill>
    </dxf>
    <dxf>
      <font>
        <b/>
        <i val="0"/>
        <u val="none"/>
        <color theme="0"/>
      </font>
      <fill>
        <patternFill>
          <bgColor rgb="FF17766D"/>
        </patternFill>
      </fill>
    </dxf>
    <dxf>
      <font>
        <b/>
        <i val="0"/>
        <u val="none"/>
        <color theme="0"/>
      </font>
      <fill>
        <patternFill>
          <bgColor rgb="FF00B050"/>
        </patternFill>
      </fill>
    </dxf>
    <dxf>
      <font>
        <b/>
        <i val="0"/>
        <u val="none"/>
        <color theme="1"/>
      </font>
      <fill>
        <patternFill>
          <bgColor rgb="FFFFFF00"/>
        </patternFill>
      </fill>
    </dxf>
    <dxf>
      <font>
        <b/>
        <i val="0"/>
        <u val="none"/>
        <color theme="0"/>
      </font>
      <fill>
        <patternFill>
          <bgColor rgb="FFC0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7030A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776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4B2EC-9C25-1847-A5A4-D9EF23D68F46}">
  <dimension ref="A1:Y1411"/>
  <sheetViews>
    <sheetView tabSelected="1" zoomScale="159" workbookViewId="0">
      <selection sqref="A1:A1048576"/>
    </sheetView>
  </sheetViews>
  <sheetFormatPr baseColWidth="10" defaultRowHeight="16" x14ac:dyDescent="0.2"/>
  <cols>
    <col min="1" max="1" width="8.83203125" bestFit="1" customWidth="1"/>
    <col min="2" max="2" width="7.5" bestFit="1" customWidth="1"/>
    <col min="3" max="3" width="11" bestFit="1" customWidth="1"/>
    <col min="4" max="4" width="16.33203125" bestFit="1" customWidth="1"/>
    <col min="5" max="5" width="11" style="10" bestFit="1" customWidth="1"/>
    <col min="6" max="6" width="9" style="11" bestFit="1" customWidth="1"/>
    <col min="7" max="7" width="9.83203125" style="4" bestFit="1" customWidth="1"/>
    <col min="8" max="8" width="11.6640625" style="20" bestFit="1" customWidth="1"/>
    <col min="9" max="9" width="16.6640625" style="17" bestFit="1" customWidth="1"/>
    <col min="10" max="10" width="15" bestFit="1" customWidth="1"/>
    <col min="11" max="11" width="10.6640625" style="11" bestFit="1" customWidth="1"/>
    <col min="12" max="12" width="6.5" style="11" bestFit="1" customWidth="1"/>
    <col min="13" max="13" width="10.1640625" style="11" bestFit="1" customWidth="1"/>
    <col min="14" max="14" width="10.33203125" style="11" bestFit="1" customWidth="1"/>
    <col min="15" max="15" width="12.6640625" style="11" bestFit="1" customWidth="1"/>
    <col min="16" max="16" width="9.6640625" style="11" bestFit="1" customWidth="1"/>
    <col min="17" max="17" width="13.83203125" style="11" bestFit="1" customWidth="1"/>
    <col min="18" max="18" width="17.1640625" style="11" bestFit="1" customWidth="1"/>
    <col min="19" max="19" width="13.83203125" style="11" bestFit="1" customWidth="1"/>
    <col min="20" max="20" width="11.83203125" style="11" bestFit="1" customWidth="1"/>
  </cols>
  <sheetData>
    <row r="1" spans="1:20" s="6" customFormat="1" x14ac:dyDescent="0.2">
      <c r="A1" s="6" t="s">
        <v>0</v>
      </c>
      <c r="B1" s="6" t="s">
        <v>1</v>
      </c>
      <c r="C1" s="6" t="s">
        <v>2</v>
      </c>
      <c r="D1" s="6" t="s">
        <v>3</v>
      </c>
      <c r="E1" s="12" t="s">
        <v>31</v>
      </c>
      <c r="F1" s="15" t="s">
        <v>30</v>
      </c>
      <c r="G1" s="202" t="s">
        <v>5</v>
      </c>
      <c r="H1" s="21" t="s">
        <v>32</v>
      </c>
      <c r="I1" s="18" t="s">
        <v>60</v>
      </c>
      <c r="J1" s="6" t="s">
        <v>4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23" t="s">
        <v>15</v>
      </c>
    </row>
    <row r="2" spans="1:20" x14ac:dyDescent="0.2">
      <c r="A2">
        <v>14</v>
      </c>
      <c r="B2" s="1">
        <v>46193</v>
      </c>
      <c r="C2" s="2">
        <v>0.80300925925925926</v>
      </c>
      <c r="D2" t="s">
        <v>18</v>
      </c>
      <c r="E2" s="10" t="s">
        <v>37</v>
      </c>
      <c r="F2" s="11">
        <v>75.826954130000004</v>
      </c>
      <c r="G2" s="4">
        <v>2359.8290999999999</v>
      </c>
      <c r="H2" s="20">
        <v>1</v>
      </c>
      <c r="I2" s="17" t="s">
        <v>39</v>
      </c>
      <c r="J2" t="s">
        <v>17</v>
      </c>
      <c r="N2" s="11">
        <v>70.690122525999996</v>
      </c>
    </row>
    <row r="3" spans="1:20" x14ac:dyDescent="0.2">
      <c r="A3">
        <v>15</v>
      </c>
      <c r="B3" s="1">
        <v>46193</v>
      </c>
      <c r="C3" s="2">
        <v>0.80321759259259262</v>
      </c>
      <c r="D3" t="s">
        <v>18</v>
      </c>
      <c r="E3" s="10" t="s">
        <v>33</v>
      </c>
      <c r="F3" s="11">
        <v>83.131752075999998</v>
      </c>
      <c r="G3" s="4">
        <v>2265.6591800000001</v>
      </c>
      <c r="H3" s="20">
        <v>0</v>
      </c>
      <c r="J3" t="s">
        <v>17</v>
      </c>
    </row>
    <row r="4" spans="1:20" x14ac:dyDescent="0.2">
      <c r="A4">
        <v>16</v>
      </c>
      <c r="B4" s="1">
        <v>46193</v>
      </c>
      <c r="C4" s="2">
        <v>0.80343750000000003</v>
      </c>
      <c r="D4" t="s">
        <v>18</v>
      </c>
      <c r="E4" s="10" t="s">
        <v>33</v>
      </c>
      <c r="F4" s="11">
        <v>85.116756961999997</v>
      </c>
      <c r="G4" s="4">
        <v>2263.6328100000001</v>
      </c>
      <c r="H4" s="20">
        <v>0</v>
      </c>
      <c r="J4" t="s">
        <v>17</v>
      </c>
    </row>
    <row r="5" spans="1:20" x14ac:dyDescent="0.2">
      <c r="A5">
        <v>17</v>
      </c>
      <c r="B5" s="1">
        <v>46193</v>
      </c>
      <c r="C5" s="2">
        <v>0.80373842592592593</v>
      </c>
      <c r="D5" t="s">
        <v>18</v>
      </c>
      <c r="E5" s="10" t="s">
        <v>33</v>
      </c>
      <c r="F5" s="11">
        <v>87.721070105999999</v>
      </c>
      <c r="G5" s="4">
        <v>1157.3105499999999</v>
      </c>
      <c r="H5" s="20">
        <v>1</v>
      </c>
      <c r="I5" s="17" t="s">
        <v>38</v>
      </c>
      <c r="J5" t="s">
        <v>17</v>
      </c>
      <c r="N5" s="11">
        <v>67.093803874000002</v>
      </c>
    </row>
    <row r="6" spans="1:20" x14ac:dyDescent="0.2">
      <c r="A6">
        <v>18</v>
      </c>
      <c r="B6" s="1">
        <v>46193</v>
      </c>
      <c r="C6" s="2">
        <v>0.8040046296296296</v>
      </c>
      <c r="D6" t="s">
        <v>18</v>
      </c>
      <c r="E6" s="10" t="s">
        <v>37</v>
      </c>
      <c r="F6" s="11">
        <v>73.857842227000006</v>
      </c>
      <c r="G6" s="4">
        <v>2109.9846200000002</v>
      </c>
      <c r="H6" s="20">
        <v>1</v>
      </c>
      <c r="I6" s="17" t="s">
        <v>42</v>
      </c>
      <c r="J6" t="s">
        <v>17</v>
      </c>
    </row>
    <row r="7" spans="1:20" x14ac:dyDescent="0.2">
      <c r="A7">
        <v>56</v>
      </c>
      <c r="B7" s="1">
        <v>46193</v>
      </c>
      <c r="C7" s="2">
        <v>0.81756944444444446</v>
      </c>
      <c r="D7" t="s">
        <v>18</v>
      </c>
      <c r="E7" s="10" t="s">
        <v>33</v>
      </c>
      <c r="F7" s="11">
        <v>80.575075826000003</v>
      </c>
      <c r="G7" s="4">
        <v>2106.9887699999999</v>
      </c>
      <c r="H7" s="20">
        <v>1</v>
      </c>
      <c r="J7" t="s">
        <v>17</v>
      </c>
    </row>
    <row r="8" spans="1:20" x14ac:dyDescent="0.2">
      <c r="A8">
        <v>57</v>
      </c>
      <c r="B8" s="1">
        <v>46193</v>
      </c>
      <c r="C8" s="2">
        <v>0.8177430555555556</v>
      </c>
      <c r="D8" t="s">
        <v>18</v>
      </c>
      <c r="E8" s="10" t="s">
        <v>33</v>
      </c>
      <c r="F8" s="11">
        <v>82.702991170999994</v>
      </c>
      <c r="G8" s="4">
        <v>1916.3033399999999</v>
      </c>
      <c r="H8" s="20">
        <v>0</v>
      </c>
      <c r="J8" t="s">
        <v>17</v>
      </c>
    </row>
    <row r="9" spans="1:20" x14ac:dyDescent="0.2">
      <c r="A9">
        <v>58</v>
      </c>
      <c r="B9" s="1">
        <v>46193</v>
      </c>
      <c r="C9" s="2">
        <v>0.81795138888888885</v>
      </c>
      <c r="D9" t="s">
        <v>18</v>
      </c>
      <c r="E9" s="10" t="s">
        <v>33</v>
      </c>
      <c r="F9" s="11">
        <v>83.274675062</v>
      </c>
      <c r="G9" s="4">
        <v>2153.85034</v>
      </c>
      <c r="H9" s="20">
        <v>1</v>
      </c>
      <c r="I9" s="17" t="s">
        <v>40</v>
      </c>
      <c r="J9" t="s">
        <v>17</v>
      </c>
      <c r="K9" s="11">
        <v>96.404829933000002</v>
      </c>
      <c r="L9" s="11">
        <v>-10.9518852</v>
      </c>
      <c r="M9" s="11">
        <v>-8.89981461</v>
      </c>
      <c r="N9" s="11">
        <v>69.622465633000004</v>
      </c>
      <c r="O9" s="11">
        <v>1112.8253199999999</v>
      </c>
      <c r="P9" s="11">
        <v>15</v>
      </c>
      <c r="Q9" s="11">
        <v>1.38467991</v>
      </c>
      <c r="R9" s="11">
        <v>1.4863823700000001</v>
      </c>
      <c r="S9" s="11">
        <v>103.485604778</v>
      </c>
      <c r="T9" s="11">
        <v>0.93157722499999995</v>
      </c>
    </row>
    <row r="10" spans="1:20" x14ac:dyDescent="0.2">
      <c r="A10">
        <v>70</v>
      </c>
      <c r="B10" s="1">
        <v>46193</v>
      </c>
      <c r="C10" s="2">
        <v>0.83362268518518523</v>
      </c>
      <c r="D10" t="s">
        <v>21</v>
      </c>
      <c r="E10" s="10" t="s">
        <v>37</v>
      </c>
      <c r="F10" s="11">
        <v>74.874158979000001</v>
      </c>
      <c r="G10" s="4">
        <v>1164.78943</v>
      </c>
      <c r="H10" s="20">
        <v>0</v>
      </c>
      <c r="J10" t="s">
        <v>17</v>
      </c>
    </row>
    <row r="11" spans="1:20" x14ac:dyDescent="0.2">
      <c r="A11">
        <v>71</v>
      </c>
      <c r="B11" s="1">
        <v>46193</v>
      </c>
      <c r="C11" s="2">
        <v>0.83384259259259264</v>
      </c>
      <c r="D11" t="s">
        <v>21</v>
      </c>
      <c r="E11" s="10" t="s">
        <v>46</v>
      </c>
      <c r="F11" s="11">
        <v>71.888721824000001</v>
      </c>
      <c r="G11" s="4">
        <v>372.69415299999997</v>
      </c>
      <c r="H11" s="20">
        <v>1</v>
      </c>
      <c r="I11" s="17" t="s">
        <v>39</v>
      </c>
      <c r="J11" t="s">
        <v>17</v>
      </c>
      <c r="N11" s="11">
        <v>69.453891478000003</v>
      </c>
    </row>
    <row r="12" spans="1:20" x14ac:dyDescent="0.2">
      <c r="A12">
        <v>72</v>
      </c>
      <c r="B12" s="1">
        <v>46193</v>
      </c>
      <c r="C12" s="2">
        <v>0.83410879629629631</v>
      </c>
      <c r="D12" t="s">
        <v>21</v>
      </c>
      <c r="E12" s="10" t="s">
        <v>37</v>
      </c>
      <c r="F12" s="11">
        <v>73.174995815000003</v>
      </c>
      <c r="G12" s="4">
        <v>2152.7905300000002</v>
      </c>
      <c r="H12" s="20">
        <v>1</v>
      </c>
      <c r="I12" s="17" t="s">
        <v>40</v>
      </c>
      <c r="J12" t="s">
        <v>17</v>
      </c>
      <c r="K12" s="11">
        <v>84.835360926000007</v>
      </c>
      <c r="L12" s="11">
        <v>-7.1139535900000004</v>
      </c>
      <c r="M12" s="11">
        <v>-28.276945099999999</v>
      </c>
      <c r="N12" s="11">
        <v>67.824308431999995</v>
      </c>
      <c r="O12" s="11">
        <v>2291.5283199999999</v>
      </c>
      <c r="P12" s="11">
        <v>20</v>
      </c>
      <c r="Q12" s="11">
        <v>1.2508105</v>
      </c>
      <c r="R12" s="11">
        <v>1.45612633</v>
      </c>
      <c r="S12" s="11">
        <v>98.760761981000002</v>
      </c>
      <c r="T12" s="11">
        <v>0.85899864199999998</v>
      </c>
    </row>
    <row r="13" spans="1:20" x14ac:dyDescent="0.2">
      <c r="A13">
        <v>106</v>
      </c>
      <c r="B13" s="1">
        <v>46193</v>
      </c>
      <c r="C13" s="2">
        <v>0.8497569444444445</v>
      </c>
      <c r="D13" t="s">
        <v>34</v>
      </c>
      <c r="F13" s="11">
        <v>72.523918590999997</v>
      </c>
      <c r="G13" s="4">
        <v>1249.9953599999999</v>
      </c>
      <c r="J13" t="s">
        <v>17</v>
      </c>
    </row>
    <row r="14" spans="1:20" x14ac:dyDescent="0.2">
      <c r="A14">
        <v>107</v>
      </c>
      <c r="B14" s="1">
        <v>46193</v>
      </c>
      <c r="C14" s="2">
        <v>0.85002314814814817</v>
      </c>
      <c r="D14" t="s">
        <v>34</v>
      </c>
      <c r="F14" s="11">
        <v>71.078841158000003</v>
      </c>
      <c r="G14" s="4">
        <v>1245.33862</v>
      </c>
      <c r="J14" t="s">
        <v>17</v>
      </c>
    </row>
    <row r="15" spans="1:20" x14ac:dyDescent="0.2">
      <c r="A15">
        <v>108</v>
      </c>
      <c r="B15" s="1">
        <v>46193</v>
      </c>
      <c r="C15" s="2">
        <v>0.85023148148148153</v>
      </c>
      <c r="D15" t="s">
        <v>34</v>
      </c>
      <c r="F15" s="11">
        <v>70.729481863000004</v>
      </c>
      <c r="G15" s="4">
        <v>2371.0532199999998</v>
      </c>
      <c r="J15" t="s">
        <v>17</v>
      </c>
    </row>
    <row r="16" spans="1:20" x14ac:dyDescent="0.2">
      <c r="A16">
        <v>109</v>
      </c>
      <c r="B16" s="1">
        <v>46193</v>
      </c>
      <c r="C16" s="2">
        <v>0.85041666666666671</v>
      </c>
      <c r="D16" t="s">
        <v>34</v>
      </c>
      <c r="F16" s="11">
        <v>70.253080037000004</v>
      </c>
      <c r="G16" s="4">
        <v>2393.1137699999999</v>
      </c>
      <c r="I16" s="17" t="s">
        <v>45</v>
      </c>
      <c r="J16" t="s">
        <v>17</v>
      </c>
      <c r="N16" s="11">
        <v>43.830122678000002</v>
      </c>
    </row>
    <row r="17" spans="1:20" x14ac:dyDescent="0.2">
      <c r="A17">
        <v>110</v>
      </c>
      <c r="B17" s="1">
        <v>46193</v>
      </c>
      <c r="C17" s="2">
        <v>0.85069444444444442</v>
      </c>
      <c r="D17" t="s">
        <v>34</v>
      </c>
      <c r="E17" s="10" t="s">
        <v>33</v>
      </c>
      <c r="F17" s="11">
        <v>83.084110930999998</v>
      </c>
      <c r="G17" s="4">
        <v>1158.9976799999999</v>
      </c>
      <c r="J17" t="s">
        <v>17</v>
      </c>
    </row>
    <row r="18" spans="1:20" x14ac:dyDescent="0.2">
      <c r="A18">
        <v>139</v>
      </c>
      <c r="B18" s="1">
        <v>46193</v>
      </c>
      <c r="C18" s="2">
        <v>0.86023148148148143</v>
      </c>
      <c r="D18" t="s">
        <v>34</v>
      </c>
      <c r="E18" s="10" t="s">
        <v>33</v>
      </c>
      <c r="F18" s="11">
        <v>85.497872696000002</v>
      </c>
      <c r="G18" s="4">
        <v>1094.5211200000001</v>
      </c>
      <c r="H18" s="20">
        <v>1</v>
      </c>
      <c r="J18" t="s">
        <v>17</v>
      </c>
    </row>
    <row r="19" spans="1:20" x14ac:dyDescent="0.2">
      <c r="A19">
        <v>140</v>
      </c>
      <c r="B19" s="1">
        <v>46193</v>
      </c>
      <c r="C19" s="2">
        <v>0.86041666666666672</v>
      </c>
      <c r="D19" t="s">
        <v>34</v>
      </c>
      <c r="E19" s="10" t="s">
        <v>37</v>
      </c>
      <c r="F19" s="11">
        <v>77.367313851999995</v>
      </c>
      <c r="G19" s="4">
        <v>1724.58923</v>
      </c>
      <c r="H19" s="20">
        <v>0</v>
      </c>
      <c r="J19" t="s">
        <v>17</v>
      </c>
    </row>
    <row r="20" spans="1:20" x14ac:dyDescent="0.2">
      <c r="A20">
        <v>141</v>
      </c>
      <c r="B20" s="1">
        <v>46193</v>
      </c>
      <c r="C20" s="2">
        <v>0.8606018518518519</v>
      </c>
      <c r="D20" t="s">
        <v>34</v>
      </c>
      <c r="E20" s="10" t="s">
        <v>49</v>
      </c>
      <c r="F20" s="11">
        <v>72.730363178000005</v>
      </c>
      <c r="G20" s="4">
        <v>2419.2543900000001</v>
      </c>
      <c r="H20" s="20">
        <v>1</v>
      </c>
      <c r="J20" t="s">
        <v>17</v>
      </c>
    </row>
    <row r="21" spans="1:20" x14ac:dyDescent="0.2">
      <c r="A21">
        <v>142</v>
      </c>
      <c r="B21" s="1">
        <v>46193</v>
      </c>
      <c r="C21" s="2">
        <v>0.86078703703703707</v>
      </c>
      <c r="D21" t="s">
        <v>34</v>
      </c>
      <c r="E21" s="10" t="s">
        <v>37</v>
      </c>
      <c r="F21" s="11">
        <v>74.890039211000001</v>
      </c>
      <c r="G21" s="4">
        <v>1105.98242</v>
      </c>
      <c r="H21" s="20">
        <v>0</v>
      </c>
      <c r="J21" t="s">
        <v>17</v>
      </c>
    </row>
    <row r="22" spans="1:20" x14ac:dyDescent="0.2">
      <c r="A22">
        <v>143</v>
      </c>
      <c r="B22" s="1">
        <v>46193</v>
      </c>
      <c r="C22" s="2">
        <v>0.86100694444444448</v>
      </c>
      <c r="D22" t="s">
        <v>34</v>
      </c>
      <c r="E22" s="10" t="s">
        <v>33</v>
      </c>
      <c r="F22" s="11">
        <v>85.545513615999994</v>
      </c>
      <c r="G22" s="4">
        <v>2125.25</v>
      </c>
      <c r="H22" s="20">
        <v>1</v>
      </c>
      <c r="I22" s="17" t="s">
        <v>42</v>
      </c>
      <c r="J22" t="s">
        <v>17</v>
      </c>
    </row>
    <row r="23" spans="1:20" x14ac:dyDescent="0.2">
      <c r="A23">
        <v>178</v>
      </c>
      <c r="B23" s="1">
        <v>46193</v>
      </c>
      <c r="C23" s="2">
        <v>0.88253472222222218</v>
      </c>
      <c r="D23" t="s">
        <v>28</v>
      </c>
      <c r="E23" s="10" t="s">
        <v>33</v>
      </c>
      <c r="F23" s="11">
        <v>76.779758005000005</v>
      </c>
      <c r="G23" s="4">
        <v>2150.97192</v>
      </c>
      <c r="H23" s="20">
        <v>0</v>
      </c>
      <c r="J23" t="s">
        <v>17</v>
      </c>
    </row>
    <row r="24" spans="1:20" x14ac:dyDescent="0.2">
      <c r="A24">
        <v>179</v>
      </c>
      <c r="B24" s="1">
        <v>46193</v>
      </c>
      <c r="C24" s="2">
        <v>0.88269675925925928</v>
      </c>
      <c r="D24" t="s">
        <v>28</v>
      </c>
      <c r="E24" s="10" t="s">
        <v>37</v>
      </c>
      <c r="F24" s="11">
        <v>73.047961561999998</v>
      </c>
      <c r="G24" s="4">
        <v>2337.05908</v>
      </c>
      <c r="H24" s="20">
        <v>0</v>
      </c>
      <c r="J24" t="s">
        <v>17</v>
      </c>
    </row>
    <row r="25" spans="1:20" x14ac:dyDescent="0.2">
      <c r="A25">
        <v>180</v>
      </c>
      <c r="B25" s="1">
        <v>46193</v>
      </c>
      <c r="C25" s="2">
        <v>0.88296296296296295</v>
      </c>
      <c r="D25" t="s">
        <v>28</v>
      </c>
      <c r="E25" s="10" t="s">
        <v>33</v>
      </c>
      <c r="F25" s="11">
        <v>76.414518477000001</v>
      </c>
      <c r="G25" s="4">
        <v>2101.2841800000001</v>
      </c>
      <c r="H25" s="20">
        <v>1</v>
      </c>
      <c r="I25" s="17" t="s">
        <v>38</v>
      </c>
      <c r="J25" t="s">
        <v>17</v>
      </c>
      <c r="K25" s="11">
        <v>86.997759087000006</v>
      </c>
      <c r="L25" s="11">
        <v>20.655521400000001</v>
      </c>
      <c r="M25" s="11">
        <v>-42.9856148</v>
      </c>
      <c r="N25" s="11">
        <v>66.925229943000005</v>
      </c>
      <c r="O25" s="11">
        <v>2953.14111</v>
      </c>
      <c r="P25" s="11">
        <v>254</v>
      </c>
      <c r="Q25" s="11">
        <v>1.2999247300000001</v>
      </c>
      <c r="R25" s="11">
        <v>1.4723643099999999</v>
      </c>
      <c r="S25" s="11">
        <v>98.538326209999994</v>
      </c>
      <c r="T25" s="11">
        <v>0.88288246199999998</v>
      </c>
    </row>
    <row r="26" spans="1:20" x14ac:dyDescent="0.2">
      <c r="A26">
        <v>181</v>
      </c>
      <c r="B26" s="1">
        <v>46193</v>
      </c>
      <c r="C26" s="2">
        <v>0.88321759259259258</v>
      </c>
      <c r="D26" t="s">
        <v>28</v>
      </c>
      <c r="E26" s="10" t="s">
        <v>37</v>
      </c>
      <c r="F26" s="11">
        <v>70.475400605000004</v>
      </c>
      <c r="G26" s="4">
        <v>1212.64075</v>
      </c>
      <c r="H26" s="20">
        <v>1</v>
      </c>
      <c r="J26" t="s">
        <v>17</v>
      </c>
    </row>
    <row r="27" spans="1:20" x14ac:dyDescent="0.2">
      <c r="A27">
        <v>182</v>
      </c>
      <c r="B27" s="1">
        <v>46193</v>
      </c>
      <c r="C27" s="2">
        <v>0.88350694444444444</v>
      </c>
      <c r="D27" t="s">
        <v>28</v>
      </c>
      <c r="E27" s="10" t="s">
        <v>33</v>
      </c>
      <c r="F27" s="11">
        <v>78.002519120000002</v>
      </c>
      <c r="G27" s="4">
        <v>2182.9226100000001</v>
      </c>
      <c r="H27" s="20">
        <v>0</v>
      </c>
      <c r="J27" t="s">
        <v>17</v>
      </c>
    </row>
    <row r="28" spans="1:20" x14ac:dyDescent="0.2">
      <c r="A28">
        <v>183</v>
      </c>
      <c r="B28" s="1">
        <v>46193</v>
      </c>
      <c r="C28" s="2">
        <v>0.88376157407407407</v>
      </c>
      <c r="D28" t="s">
        <v>28</v>
      </c>
      <c r="E28" s="10" t="s">
        <v>37</v>
      </c>
      <c r="F28" s="11">
        <v>72.666841801000004</v>
      </c>
      <c r="G28" s="4">
        <v>1280.44031</v>
      </c>
      <c r="H28" s="20">
        <v>0</v>
      </c>
      <c r="I28" s="17" t="s">
        <v>48</v>
      </c>
      <c r="J28" t="s">
        <v>17</v>
      </c>
    </row>
    <row r="29" spans="1:20" x14ac:dyDescent="0.2">
      <c r="A29">
        <v>198</v>
      </c>
      <c r="B29" s="1">
        <v>46197</v>
      </c>
      <c r="C29" s="2">
        <v>0.57978009259259256</v>
      </c>
      <c r="D29" t="s">
        <v>25</v>
      </c>
      <c r="E29" s="10" t="s">
        <v>33</v>
      </c>
      <c r="F29" s="11">
        <v>87.085873337999999</v>
      </c>
      <c r="G29" s="4">
        <v>1085.98486</v>
      </c>
      <c r="H29" s="20">
        <v>1</v>
      </c>
      <c r="I29" s="17" t="s">
        <v>38</v>
      </c>
      <c r="J29" t="s">
        <v>17</v>
      </c>
      <c r="K29" s="11">
        <v>80.177930431999997</v>
      </c>
      <c r="L29" s="11">
        <v>41.2450142</v>
      </c>
      <c r="M29" s="11">
        <v>42.189346299999997</v>
      </c>
      <c r="N29" s="11">
        <v>65.576607847999995</v>
      </c>
      <c r="P29" s="11">
        <v>291</v>
      </c>
      <c r="Q29" s="11">
        <v>1.2226605399999999</v>
      </c>
      <c r="R29" s="11">
        <v>1.5126283199999999</v>
      </c>
      <c r="S29" s="11">
        <v>99.193038454000003</v>
      </c>
      <c r="T29" s="11">
        <v>0.80830199999999996</v>
      </c>
    </row>
    <row r="30" spans="1:20" x14ac:dyDescent="0.2">
      <c r="A30">
        <v>199</v>
      </c>
      <c r="B30" s="1">
        <v>46197</v>
      </c>
      <c r="C30" s="2">
        <v>0.58012731481481483</v>
      </c>
      <c r="D30" t="s">
        <v>25</v>
      </c>
      <c r="E30" s="10" t="s">
        <v>33</v>
      </c>
      <c r="F30" s="11">
        <v>86.768274954999995</v>
      </c>
      <c r="G30" s="4">
        <v>1793.8012699999999</v>
      </c>
      <c r="H30" s="20">
        <v>1</v>
      </c>
      <c r="J30" t="s">
        <v>17</v>
      </c>
    </row>
    <row r="31" spans="1:20" x14ac:dyDescent="0.2">
      <c r="A31">
        <v>200</v>
      </c>
      <c r="B31" s="1">
        <v>46197</v>
      </c>
      <c r="C31" s="2">
        <v>0.58037037037037043</v>
      </c>
      <c r="D31" t="s">
        <v>25</v>
      </c>
      <c r="E31" s="10" t="s">
        <v>37</v>
      </c>
      <c r="F31" s="11">
        <v>77.796074532999995</v>
      </c>
      <c r="G31" s="4">
        <v>2209.9841299999998</v>
      </c>
      <c r="H31" s="20">
        <v>0</v>
      </c>
      <c r="J31" t="s">
        <v>17</v>
      </c>
    </row>
    <row r="32" spans="1:20" x14ac:dyDescent="0.2">
      <c r="A32">
        <v>201</v>
      </c>
      <c r="B32" s="1">
        <v>46197</v>
      </c>
      <c r="C32" s="2">
        <v>0.5806365740740741</v>
      </c>
      <c r="D32" t="s">
        <v>25</v>
      </c>
      <c r="E32" s="10" t="s">
        <v>33</v>
      </c>
      <c r="F32" s="11">
        <v>84.910316848999997</v>
      </c>
      <c r="G32" s="4">
        <v>1925.6491699999999</v>
      </c>
      <c r="H32" s="20">
        <v>1</v>
      </c>
      <c r="I32" s="17" t="s">
        <v>38</v>
      </c>
      <c r="J32" t="s">
        <v>17</v>
      </c>
      <c r="N32" s="11">
        <v>66.756651538</v>
      </c>
    </row>
    <row r="33" spans="1:16" x14ac:dyDescent="0.2">
      <c r="A33">
        <v>202</v>
      </c>
      <c r="B33" s="1">
        <v>46197</v>
      </c>
      <c r="C33" s="2">
        <v>0.58096064814814818</v>
      </c>
      <c r="D33" t="s">
        <v>25</v>
      </c>
      <c r="E33" s="10" t="s">
        <v>37</v>
      </c>
      <c r="F33" s="11">
        <v>75.906355962999996</v>
      </c>
      <c r="G33" s="4">
        <v>2114.1</v>
      </c>
      <c r="H33" s="20">
        <v>1</v>
      </c>
      <c r="I33" s="17" t="s">
        <v>45</v>
      </c>
      <c r="J33" t="s">
        <v>17</v>
      </c>
      <c r="N33" s="11">
        <v>37.143220364999998</v>
      </c>
    </row>
    <row r="34" spans="1:16" x14ac:dyDescent="0.2">
      <c r="A34">
        <v>236</v>
      </c>
      <c r="B34" s="1">
        <v>46197</v>
      </c>
      <c r="C34" s="2">
        <v>0.59570601851851857</v>
      </c>
      <c r="D34" t="s">
        <v>25</v>
      </c>
      <c r="E34" s="10" t="s">
        <v>33</v>
      </c>
      <c r="F34" s="11">
        <v>83.639914590000004</v>
      </c>
      <c r="G34" s="4">
        <v>1955.8720699999999</v>
      </c>
      <c r="H34" s="20">
        <v>0</v>
      </c>
      <c r="J34" t="s">
        <v>17</v>
      </c>
    </row>
    <row r="35" spans="1:16" x14ac:dyDescent="0.2">
      <c r="A35">
        <v>237</v>
      </c>
      <c r="B35" s="1">
        <v>46197</v>
      </c>
      <c r="C35" s="2">
        <v>0.59594907407407405</v>
      </c>
      <c r="D35" t="s">
        <v>25</v>
      </c>
      <c r="E35" s="10" t="s">
        <v>33</v>
      </c>
      <c r="F35" s="11">
        <v>83.465227112999997</v>
      </c>
      <c r="G35" s="4">
        <v>2013.8984399999999</v>
      </c>
      <c r="H35" s="20">
        <v>0</v>
      </c>
      <c r="J35" t="s">
        <v>17</v>
      </c>
    </row>
    <row r="36" spans="1:16" x14ac:dyDescent="0.2">
      <c r="A36">
        <v>238</v>
      </c>
      <c r="B36" s="1">
        <v>46197</v>
      </c>
      <c r="C36" s="2">
        <v>0.59616898148148145</v>
      </c>
      <c r="D36" t="s">
        <v>25</v>
      </c>
      <c r="E36" s="10" t="s">
        <v>37</v>
      </c>
      <c r="F36" s="11">
        <v>73.873722459999996</v>
      </c>
      <c r="G36" s="4">
        <v>1104.5194100000001</v>
      </c>
      <c r="H36" s="20">
        <v>0</v>
      </c>
      <c r="J36" t="s">
        <v>17</v>
      </c>
    </row>
    <row r="37" spans="1:16" x14ac:dyDescent="0.2">
      <c r="A37">
        <v>239</v>
      </c>
      <c r="B37" s="1">
        <v>46197</v>
      </c>
      <c r="C37" s="2">
        <v>0.59638888888888886</v>
      </c>
      <c r="D37" t="s">
        <v>25</v>
      </c>
      <c r="E37" s="10" t="s">
        <v>33</v>
      </c>
      <c r="F37" s="11">
        <v>83.576393213000003</v>
      </c>
      <c r="G37" s="4">
        <v>1928.0399199999999</v>
      </c>
      <c r="H37" s="20">
        <v>0</v>
      </c>
      <c r="J37" t="s">
        <v>17</v>
      </c>
    </row>
    <row r="38" spans="1:16" x14ac:dyDescent="0.2">
      <c r="A38">
        <v>240</v>
      </c>
      <c r="B38" s="1">
        <v>46197</v>
      </c>
      <c r="C38" s="2">
        <v>0.59659722222222222</v>
      </c>
      <c r="D38" t="s">
        <v>25</v>
      </c>
      <c r="E38" s="10" t="s">
        <v>33</v>
      </c>
      <c r="F38" s="11">
        <v>83.338196439000001</v>
      </c>
      <c r="G38" s="4">
        <v>1889.46326</v>
      </c>
      <c r="H38" s="20">
        <v>1</v>
      </c>
      <c r="I38" s="17" t="s">
        <v>39</v>
      </c>
      <c r="J38" t="s">
        <v>17</v>
      </c>
      <c r="L38" s="11">
        <v>-59.8207436</v>
      </c>
      <c r="M38" s="11">
        <v>-6.48222685</v>
      </c>
      <c r="N38" s="11">
        <v>60.406901785999999</v>
      </c>
      <c r="P38" s="11">
        <v>7</v>
      </c>
    </row>
    <row r="39" spans="1:16" x14ac:dyDescent="0.2">
      <c r="A39">
        <v>241</v>
      </c>
      <c r="B39" s="1">
        <v>46197</v>
      </c>
      <c r="C39" s="2">
        <v>0.59688657407407408</v>
      </c>
      <c r="D39" t="s">
        <v>25</v>
      </c>
      <c r="E39" s="10" t="s">
        <v>33</v>
      </c>
      <c r="F39" s="11">
        <v>87.085873337999999</v>
      </c>
      <c r="G39" s="4">
        <v>1861.23621</v>
      </c>
      <c r="H39" s="20">
        <v>1</v>
      </c>
      <c r="J39" t="s">
        <v>17</v>
      </c>
    </row>
    <row r="40" spans="1:16" x14ac:dyDescent="0.2">
      <c r="A40">
        <v>242</v>
      </c>
      <c r="B40" s="1">
        <v>46197</v>
      </c>
      <c r="C40" s="2">
        <v>0.59706018518518522</v>
      </c>
      <c r="D40" t="s">
        <v>25</v>
      </c>
      <c r="E40" s="10" t="s">
        <v>33</v>
      </c>
      <c r="F40" s="11">
        <v>84.084555726999994</v>
      </c>
      <c r="G40" s="4">
        <v>2056.9067399999999</v>
      </c>
      <c r="H40" s="20">
        <v>0</v>
      </c>
      <c r="J40" t="s">
        <v>17</v>
      </c>
    </row>
    <row r="41" spans="1:16" x14ac:dyDescent="0.2">
      <c r="A41">
        <v>272</v>
      </c>
      <c r="B41" s="1">
        <v>46197</v>
      </c>
      <c r="C41" s="2">
        <v>0.60796296296296293</v>
      </c>
      <c r="D41" t="s">
        <v>28</v>
      </c>
      <c r="E41" s="10" t="s">
        <v>33</v>
      </c>
      <c r="F41" s="11">
        <v>78.193074749999994</v>
      </c>
      <c r="G41" s="4">
        <v>2122.5668900000001</v>
      </c>
      <c r="H41" s="20">
        <v>0</v>
      </c>
      <c r="J41" t="s">
        <v>17</v>
      </c>
    </row>
    <row r="42" spans="1:16" x14ac:dyDescent="0.2">
      <c r="A42">
        <v>273</v>
      </c>
      <c r="B42" s="1">
        <v>46197</v>
      </c>
      <c r="C42" s="2">
        <v>0.60817129629629629</v>
      </c>
      <c r="D42" t="s">
        <v>28</v>
      </c>
      <c r="E42" s="10" t="s">
        <v>33</v>
      </c>
      <c r="F42" s="11">
        <v>76.478039854000002</v>
      </c>
      <c r="G42" s="4">
        <v>2051.8474099999999</v>
      </c>
      <c r="H42" s="20">
        <v>0</v>
      </c>
      <c r="J42" t="s">
        <v>17</v>
      </c>
    </row>
    <row r="43" spans="1:16" x14ac:dyDescent="0.2">
      <c r="A43">
        <v>274</v>
      </c>
      <c r="B43" s="1">
        <v>46197</v>
      </c>
      <c r="C43" s="2">
        <v>0.61148148148148151</v>
      </c>
      <c r="D43" t="s">
        <v>28</v>
      </c>
      <c r="E43" s="10" t="s">
        <v>33</v>
      </c>
      <c r="F43" s="11">
        <v>78.320117503999995</v>
      </c>
      <c r="G43" s="4">
        <v>1056.7506100000001</v>
      </c>
      <c r="H43" s="20">
        <v>0</v>
      </c>
      <c r="J43" t="s">
        <v>17</v>
      </c>
    </row>
    <row r="44" spans="1:16" x14ac:dyDescent="0.2">
      <c r="A44">
        <v>275</v>
      </c>
      <c r="B44" s="1">
        <v>46197</v>
      </c>
      <c r="C44" s="2">
        <v>0.6116435185185185</v>
      </c>
      <c r="D44" t="s">
        <v>28</v>
      </c>
      <c r="E44" s="10" t="s">
        <v>33</v>
      </c>
      <c r="F44" s="11">
        <v>78.002519120000002</v>
      </c>
      <c r="G44" s="4">
        <v>2137.8645000000001</v>
      </c>
      <c r="H44" s="20">
        <v>1</v>
      </c>
      <c r="I44" s="17" t="s">
        <v>38</v>
      </c>
      <c r="J44" t="s">
        <v>17</v>
      </c>
      <c r="N44" s="11">
        <v>61.025019323000002</v>
      </c>
    </row>
    <row r="45" spans="1:16" x14ac:dyDescent="0.2">
      <c r="A45">
        <v>276</v>
      </c>
      <c r="B45" s="1">
        <v>46197</v>
      </c>
      <c r="C45" s="2">
        <v>0.61207175925925927</v>
      </c>
      <c r="D45" t="s">
        <v>28</v>
      </c>
      <c r="E45" s="10" t="s">
        <v>37</v>
      </c>
      <c r="F45" s="11">
        <v>74.191321067000004</v>
      </c>
      <c r="G45" s="4">
        <v>2522.86816</v>
      </c>
      <c r="H45" s="20">
        <v>0</v>
      </c>
      <c r="J45" t="s">
        <v>17</v>
      </c>
    </row>
    <row r="46" spans="1:16" x14ac:dyDescent="0.2">
      <c r="A46">
        <v>277</v>
      </c>
      <c r="B46" s="1">
        <v>46197</v>
      </c>
      <c r="C46" s="2">
        <v>0.61246527777777782</v>
      </c>
      <c r="D46" t="s">
        <v>28</v>
      </c>
      <c r="E46" s="10" t="s">
        <v>37</v>
      </c>
      <c r="F46" s="11">
        <v>75.207637594999994</v>
      </c>
      <c r="G46" s="4">
        <v>872.09515399999998</v>
      </c>
      <c r="H46" s="20">
        <v>1</v>
      </c>
      <c r="I46" s="17" t="s">
        <v>39</v>
      </c>
      <c r="J46" t="s">
        <v>17</v>
      </c>
      <c r="N46" s="11">
        <v>63.385102676000002</v>
      </c>
    </row>
    <row r="47" spans="1:16" x14ac:dyDescent="0.2">
      <c r="A47">
        <v>278</v>
      </c>
      <c r="B47" s="1">
        <v>46197</v>
      </c>
      <c r="C47" s="2">
        <v>0.61265046296296299</v>
      </c>
      <c r="D47" t="s">
        <v>28</v>
      </c>
      <c r="E47" s="10" t="s">
        <v>37</v>
      </c>
      <c r="F47" s="11">
        <v>74.191321067000004</v>
      </c>
      <c r="G47" s="4">
        <v>2638.6835900000001</v>
      </c>
      <c r="H47" s="20">
        <v>1</v>
      </c>
      <c r="I47" s="17" t="s">
        <v>38</v>
      </c>
      <c r="J47" t="s">
        <v>17</v>
      </c>
      <c r="N47" s="11">
        <v>59.451631912000003</v>
      </c>
    </row>
    <row r="48" spans="1:16" x14ac:dyDescent="0.2">
      <c r="A48">
        <v>279</v>
      </c>
      <c r="B48" s="1">
        <v>46197</v>
      </c>
      <c r="C48" s="2">
        <v>0.61296296296296293</v>
      </c>
      <c r="D48" t="s">
        <v>28</v>
      </c>
      <c r="E48" s="10" t="s">
        <v>33</v>
      </c>
      <c r="F48" s="11">
        <v>78.891792894000005</v>
      </c>
      <c r="G48" s="4">
        <v>2113.5625</v>
      </c>
      <c r="H48" s="20">
        <v>0</v>
      </c>
      <c r="J48" t="s">
        <v>17</v>
      </c>
    </row>
    <row r="49" spans="1:20" x14ac:dyDescent="0.2">
      <c r="A49">
        <v>280</v>
      </c>
      <c r="B49" s="1">
        <v>46197</v>
      </c>
      <c r="C49" s="2">
        <v>0.61318287037037034</v>
      </c>
      <c r="D49" t="s">
        <v>28</v>
      </c>
      <c r="E49" s="10" t="s">
        <v>37</v>
      </c>
      <c r="F49" s="11">
        <v>74.762996458000003</v>
      </c>
      <c r="G49" s="4">
        <v>266.304596</v>
      </c>
      <c r="H49" s="20">
        <v>1</v>
      </c>
      <c r="I49" s="17" t="s">
        <v>38</v>
      </c>
      <c r="J49" t="s">
        <v>17</v>
      </c>
      <c r="N49" s="11">
        <v>58.777318739999998</v>
      </c>
    </row>
    <row r="50" spans="1:20" x14ac:dyDescent="0.2">
      <c r="A50">
        <v>281</v>
      </c>
      <c r="B50" s="1">
        <v>46197</v>
      </c>
      <c r="C50" s="2">
        <v>0.6134722222222222</v>
      </c>
      <c r="D50" t="s">
        <v>28</v>
      </c>
      <c r="E50" s="10" t="s">
        <v>33</v>
      </c>
      <c r="F50" s="11">
        <v>77.811954989</v>
      </c>
      <c r="G50" s="4">
        <v>2071.80566</v>
      </c>
      <c r="H50" s="20">
        <v>0</v>
      </c>
      <c r="J50" t="s">
        <v>17</v>
      </c>
    </row>
    <row r="51" spans="1:20" x14ac:dyDescent="0.2">
      <c r="A51">
        <v>282</v>
      </c>
      <c r="B51" s="1">
        <v>46197</v>
      </c>
      <c r="C51" s="2">
        <v>0.61365740740740737</v>
      </c>
      <c r="D51" t="s">
        <v>28</v>
      </c>
      <c r="E51" s="10" t="s">
        <v>33</v>
      </c>
      <c r="F51" s="11">
        <v>76.970313634999997</v>
      </c>
      <c r="G51" s="4">
        <v>2171.4694800000002</v>
      </c>
      <c r="H51" s="20">
        <v>0</v>
      </c>
      <c r="J51" t="s">
        <v>17</v>
      </c>
    </row>
    <row r="52" spans="1:20" x14ac:dyDescent="0.2">
      <c r="A52">
        <v>490</v>
      </c>
      <c r="B52" s="8">
        <v>46203</v>
      </c>
      <c r="C52" s="9">
        <v>0.78437500000000004</v>
      </c>
      <c r="D52" s="7" t="s">
        <v>28</v>
      </c>
      <c r="E52" s="13" t="s">
        <v>33</v>
      </c>
      <c r="F52" s="16">
        <v>78.002519100000001</v>
      </c>
      <c r="G52" s="129">
        <v>2128.68921</v>
      </c>
      <c r="H52" s="22">
        <v>1</v>
      </c>
      <c r="I52" s="19" t="s">
        <v>38</v>
      </c>
      <c r="J52" s="7" t="s">
        <v>17</v>
      </c>
      <c r="K52" s="16">
        <v>61.838850899999997</v>
      </c>
      <c r="L52" s="16">
        <v>-23.239725</v>
      </c>
      <c r="M52" s="16"/>
      <c r="N52" s="16">
        <v>63.834642000000002</v>
      </c>
      <c r="O52" s="16"/>
      <c r="P52" s="16">
        <v>8</v>
      </c>
      <c r="Q52" s="16">
        <v>0.96873500000000001</v>
      </c>
      <c r="R52" s="16">
        <v>1.4930577300000001</v>
      </c>
      <c r="S52" s="16">
        <v>95.3088044</v>
      </c>
      <c r="T52" s="16">
        <v>0.64882622000000001</v>
      </c>
    </row>
    <row r="53" spans="1:20" x14ac:dyDescent="0.2">
      <c r="A53">
        <v>491</v>
      </c>
      <c r="B53" s="8">
        <v>46203</v>
      </c>
      <c r="C53" s="9">
        <v>0.78459490740740745</v>
      </c>
      <c r="D53" s="7" t="s">
        <v>28</v>
      </c>
      <c r="E53" s="13" t="s">
        <v>37</v>
      </c>
      <c r="F53" s="16">
        <v>73.9213551</v>
      </c>
      <c r="G53" s="129">
        <v>1582.8161600000001</v>
      </c>
      <c r="H53" s="22">
        <v>0</v>
      </c>
      <c r="I53" s="19" t="s">
        <v>41</v>
      </c>
      <c r="J53" s="7" t="s">
        <v>17</v>
      </c>
      <c r="K53" s="16"/>
      <c r="L53" s="16"/>
      <c r="M53" s="16"/>
      <c r="N53" s="16"/>
      <c r="O53" s="16"/>
      <c r="P53" s="16"/>
      <c r="Q53" s="16"/>
      <c r="R53" s="16"/>
      <c r="S53" s="16"/>
      <c r="T53" s="16"/>
    </row>
    <row r="54" spans="1:20" x14ac:dyDescent="0.2">
      <c r="A54">
        <v>492</v>
      </c>
      <c r="B54" s="8">
        <v>46203</v>
      </c>
      <c r="C54" s="9">
        <v>0.78497685185185184</v>
      </c>
      <c r="D54" s="7" t="s">
        <v>28</v>
      </c>
      <c r="E54" s="13" t="s">
        <v>33</v>
      </c>
      <c r="F54" s="16">
        <v>76.970313599999997</v>
      </c>
      <c r="G54" s="129">
        <v>2159.7490200000002</v>
      </c>
      <c r="H54" s="22">
        <v>0</v>
      </c>
      <c r="I54" s="19"/>
      <c r="J54" s="7" t="s">
        <v>17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</row>
    <row r="55" spans="1:20" x14ac:dyDescent="0.2">
      <c r="A55">
        <v>493</v>
      </c>
      <c r="B55" s="8">
        <v>46203</v>
      </c>
      <c r="C55" s="9">
        <v>0.78519675925925925</v>
      </c>
      <c r="D55" s="7" t="s">
        <v>28</v>
      </c>
      <c r="E55" s="13" t="s">
        <v>33</v>
      </c>
      <c r="F55" s="16">
        <v>75.525236000000007</v>
      </c>
      <c r="G55" s="129">
        <v>2083.73828</v>
      </c>
      <c r="H55" s="22">
        <v>1</v>
      </c>
      <c r="I55" s="19" t="s">
        <v>40</v>
      </c>
      <c r="J55" s="7" t="s">
        <v>17</v>
      </c>
      <c r="K55" s="16">
        <v>99.463883300000006</v>
      </c>
      <c r="L55" s="16">
        <v>10.3057289</v>
      </c>
      <c r="M55" s="16">
        <v>-11.79813</v>
      </c>
      <c r="N55" s="16">
        <v>65.127068499999993</v>
      </c>
      <c r="O55" s="16">
        <v>503.97842400000002</v>
      </c>
      <c r="P55" s="16">
        <v>207</v>
      </c>
      <c r="Q55" s="16">
        <v>1.527228</v>
      </c>
      <c r="R55" s="16">
        <v>1.4769777100000001</v>
      </c>
      <c r="S55" s="16">
        <v>96.191234499999993</v>
      </c>
      <c r="T55" s="16">
        <v>1</v>
      </c>
    </row>
    <row r="56" spans="1:20" x14ac:dyDescent="0.2">
      <c r="A56">
        <v>537</v>
      </c>
      <c r="B56" s="8">
        <v>46203</v>
      </c>
      <c r="C56" s="9">
        <v>0.80138888888888893</v>
      </c>
      <c r="D56" s="7" t="s">
        <v>28</v>
      </c>
      <c r="E56" s="13" t="s">
        <v>37</v>
      </c>
      <c r="F56" s="16">
        <v>70.681840899999997</v>
      </c>
      <c r="G56" s="129">
        <v>2282.77441</v>
      </c>
      <c r="H56" s="22">
        <v>0</v>
      </c>
      <c r="I56" s="19"/>
      <c r="J56" s="7" t="s">
        <v>17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</row>
    <row r="57" spans="1:20" x14ac:dyDescent="0.2">
      <c r="A57">
        <v>538</v>
      </c>
      <c r="B57" s="8">
        <v>46203</v>
      </c>
      <c r="C57" s="9">
        <v>0.80159722222222218</v>
      </c>
      <c r="D57" s="7" t="s">
        <v>28</v>
      </c>
      <c r="E57" s="13" t="s">
        <v>33</v>
      </c>
      <c r="F57" s="16">
        <v>73.984876499999999</v>
      </c>
      <c r="G57" s="129">
        <v>2076.22363</v>
      </c>
      <c r="H57" s="22">
        <v>0</v>
      </c>
      <c r="I57" s="19"/>
      <c r="J57" s="7" t="s">
        <v>17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</row>
    <row r="58" spans="1:20" x14ac:dyDescent="0.2">
      <c r="A58">
        <v>539</v>
      </c>
      <c r="B58" s="8">
        <v>46203</v>
      </c>
      <c r="C58" s="9">
        <v>0.80184027777777778</v>
      </c>
      <c r="D58" s="7" t="s">
        <v>28</v>
      </c>
      <c r="E58" s="13" t="s">
        <v>37</v>
      </c>
      <c r="F58" s="16">
        <v>72.031636300000002</v>
      </c>
      <c r="G58" s="129">
        <v>831.87341300000003</v>
      </c>
      <c r="H58" s="22">
        <v>1</v>
      </c>
      <c r="I58" s="19"/>
      <c r="J58" s="7" t="s">
        <v>17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</row>
    <row r="59" spans="1:20" x14ac:dyDescent="0.2">
      <c r="A59">
        <v>540</v>
      </c>
      <c r="B59" s="8">
        <v>46203</v>
      </c>
      <c r="C59" s="9">
        <v>0.80214120370370368</v>
      </c>
      <c r="D59" s="7" t="s">
        <v>28</v>
      </c>
      <c r="E59" s="13" t="s">
        <v>37</v>
      </c>
      <c r="F59" s="16">
        <v>73.302038600000003</v>
      </c>
      <c r="G59" s="129">
        <v>828.29846199999997</v>
      </c>
      <c r="H59" s="22">
        <v>1</v>
      </c>
      <c r="I59" s="19"/>
      <c r="J59" s="7" t="s">
        <v>17</v>
      </c>
      <c r="K59" s="16"/>
      <c r="L59" s="16"/>
      <c r="M59" s="16"/>
      <c r="N59" s="16"/>
      <c r="O59" s="16"/>
      <c r="P59" s="16"/>
      <c r="Q59" s="16"/>
      <c r="R59" s="16"/>
      <c r="S59" s="16"/>
      <c r="T59" s="16"/>
    </row>
    <row r="60" spans="1:20" x14ac:dyDescent="0.2">
      <c r="A60">
        <v>541</v>
      </c>
      <c r="B60" s="8">
        <v>46203</v>
      </c>
      <c r="C60" s="9">
        <v>0.80236111111111108</v>
      </c>
      <c r="D60" s="7" t="s">
        <v>28</v>
      </c>
      <c r="E60" s="13" t="s">
        <v>33</v>
      </c>
      <c r="F60" s="16">
        <v>75.001201699999996</v>
      </c>
      <c r="G60" s="129">
        <v>2108.1862799999999</v>
      </c>
      <c r="H60" s="22">
        <v>0</v>
      </c>
      <c r="I60" s="19"/>
      <c r="J60" s="7" t="s">
        <v>17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</row>
    <row r="61" spans="1:20" x14ac:dyDescent="0.2">
      <c r="A61">
        <v>542</v>
      </c>
      <c r="B61" s="8">
        <v>46203</v>
      </c>
      <c r="C61" s="9">
        <v>0.8026388888888889</v>
      </c>
      <c r="D61" s="7" t="s">
        <v>28</v>
      </c>
      <c r="E61" s="13" t="s">
        <v>37</v>
      </c>
      <c r="F61" s="16">
        <v>72.984440199999995</v>
      </c>
      <c r="G61" s="129">
        <v>2499.8012699999999</v>
      </c>
      <c r="H61" s="22">
        <v>1</v>
      </c>
      <c r="I61" s="19" t="s">
        <v>40</v>
      </c>
      <c r="J61" s="7" t="s">
        <v>17</v>
      </c>
      <c r="K61" s="16">
        <v>85.532116400000007</v>
      </c>
      <c r="L61" s="16">
        <v>25.807251000000001</v>
      </c>
      <c r="M61" s="16">
        <v>6.9241414099999998</v>
      </c>
      <c r="N61" s="16">
        <v>58.468262099999997</v>
      </c>
      <c r="O61" s="16">
        <v>1551.96</v>
      </c>
      <c r="P61" s="16">
        <v>280</v>
      </c>
      <c r="Q61" s="16">
        <v>1.46288109</v>
      </c>
      <c r="R61" s="16">
        <v>1.5030001399999999</v>
      </c>
      <c r="S61" s="16">
        <v>87.877807099999998</v>
      </c>
      <c r="T61" s="16">
        <v>0.97330733999999997</v>
      </c>
    </row>
    <row r="62" spans="1:20" x14ac:dyDescent="0.2">
      <c r="A62">
        <v>586</v>
      </c>
      <c r="B62" s="8">
        <v>46203</v>
      </c>
      <c r="C62" s="9">
        <v>0.82387731481481485</v>
      </c>
      <c r="D62" s="7" t="s">
        <v>25</v>
      </c>
      <c r="E62" s="13" t="s">
        <v>37</v>
      </c>
      <c r="F62" s="16">
        <v>71.205879699999997</v>
      </c>
      <c r="G62" s="129">
        <v>2188.6169399999999</v>
      </c>
      <c r="H62" s="22">
        <v>0</v>
      </c>
      <c r="I62" s="19"/>
      <c r="J62" s="7" t="s">
        <v>17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</row>
    <row r="63" spans="1:20" x14ac:dyDescent="0.2">
      <c r="A63">
        <v>587</v>
      </c>
      <c r="B63" s="8">
        <v>46203</v>
      </c>
      <c r="C63" s="9">
        <v>0.82412037037037034</v>
      </c>
      <c r="D63" s="7" t="s">
        <v>25</v>
      </c>
      <c r="E63" s="13" t="s">
        <v>33</v>
      </c>
      <c r="F63" s="16">
        <v>82.178956700000001</v>
      </c>
      <c r="G63" s="129">
        <v>2052.1660200000001</v>
      </c>
      <c r="H63" s="22">
        <v>1</v>
      </c>
      <c r="I63" s="19"/>
      <c r="J63" s="7" t="s">
        <v>17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spans="1:20" x14ac:dyDescent="0.2">
      <c r="A64">
        <v>588</v>
      </c>
      <c r="B64" s="8">
        <v>46203</v>
      </c>
      <c r="C64" s="9">
        <v>0.82443287037037039</v>
      </c>
      <c r="D64" s="7" t="s">
        <v>25</v>
      </c>
      <c r="E64" s="13" t="s">
        <v>35</v>
      </c>
      <c r="F64" s="16">
        <v>72.222200400000006</v>
      </c>
      <c r="G64" s="129">
        <v>1512.57007</v>
      </c>
      <c r="H64" s="22">
        <v>1</v>
      </c>
      <c r="I64" s="19" t="s">
        <v>40</v>
      </c>
      <c r="J64" s="7" t="s">
        <v>17</v>
      </c>
      <c r="K64" s="16">
        <v>88.520847399999994</v>
      </c>
      <c r="L64" s="16">
        <v>24.796432500000002</v>
      </c>
      <c r="M64" s="16">
        <v>-2.6977571999999999</v>
      </c>
      <c r="N64" s="16">
        <v>61.193597699999998</v>
      </c>
      <c r="O64" s="16">
        <v>3951.2336399999999</v>
      </c>
      <c r="P64" s="16">
        <v>281</v>
      </c>
      <c r="Q64" s="16">
        <v>1.4465703999999999</v>
      </c>
      <c r="R64" s="16">
        <v>1.4783213100000001</v>
      </c>
      <c r="S64" s="16">
        <v>90.463796599999995</v>
      </c>
      <c r="T64" s="16">
        <v>0.97852234000000005</v>
      </c>
    </row>
    <row r="65" spans="1:20" x14ac:dyDescent="0.2">
      <c r="A65">
        <v>627</v>
      </c>
      <c r="B65" s="8">
        <v>46214</v>
      </c>
      <c r="C65" s="9">
        <v>0.47179398148148149</v>
      </c>
      <c r="D65" s="7" t="s">
        <v>21</v>
      </c>
      <c r="E65" s="13" t="s">
        <v>33</v>
      </c>
      <c r="F65" s="16">
        <v>82.750632100000004</v>
      </c>
      <c r="G65" s="129">
        <v>1054.1666299999999</v>
      </c>
      <c r="H65" s="22">
        <v>1</v>
      </c>
      <c r="I65" s="19"/>
      <c r="J65" s="7" t="s">
        <v>17</v>
      </c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1:20" x14ac:dyDescent="0.2">
      <c r="A66">
        <v>628</v>
      </c>
      <c r="B66" s="8">
        <v>46214</v>
      </c>
      <c r="C66" s="9">
        <v>0.47193287037037035</v>
      </c>
      <c r="D66" s="7" t="s">
        <v>21</v>
      </c>
      <c r="E66" s="13" t="s">
        <v>37</v>
      </c>
      <c r="F66" s="16">
        <v>71.459960899999999</v>
      </c>
      <c r="G66" s="129">
        <v>2115.6674800000001</v>
      </c>
      <c r="H66" s="22">
        <v>0</v>
      </c>
      <c r="I66" s="19"/>
      <c r="J66" s="7" t="s">
        <v>17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</row>
    <row r="67" spans="1:20" x14ac:dyDescent="0.2">
      <c r="A67">
        <v>629</v>
      </c>
      <c r="B67" s="8">
        <v>46214</v>
      </c>
      <c r="C67" s="9">
        <v>0.47211805555555558</v>
      </c>
      <c r="D67" s="7" t="s">
        <v>21</v>
      </c>
      <c r="E67" s="13" t="s">
        <v>33</v>
      </c>
      <c r="F67" s="16">
        <v>83.004717799999995</v>
      </c>
      <c r="G67" s="129">
        <v>1093.1718800000001</v>
      </c>
      <c r="H67" s="22">
        <v>1</v>
      </c>
      <c r="I67" s="19" t="s">
        <v>40</v>
      </c>
      <c r="J67" s="7" t="s">
        <v>17</v>
      </c>
      <c r="K67" s="16">
        <v>86.554013800000007</v>
      </c>
      <c r="L67" s="16">
        <v>41.8201714</v>
      </c>
      <c r="M67" s="16">
        <v>12.8547049</v>
      </c>
      <c r="N67" s="16">
        <v>63.177395300000001</v>
      </c>
      <c r="O67" s="16">
        <v>4747.34</v>
      </c>
      <c r="P67" s="16">
        <v>321</v>
      </c>
      <c r="Q67" s="16">
        <v>1.3700155000000001</v>
      </c>
      <c r="R67" s="16">
        <v>1.62625861</v>
      </c>
      <c r="S67" s="16">
        <v>102.742778</v>
      </c>
      <c r="T67" s="16">
        <v>0.84243400000000002</v>
      </c>
    </row>
    <row r="68" spans="1:20" x14ac:dyDescent="0.2">
      <c r="A68">
        <v>657</v>
      </c>
      <c r="B68" s="8">
        <v>46214</v>
      </c>
      <c r="C68" s="9">
        <v>0.4823263888888889</v>
      </c>
      <c r="D68" s="7" t="s">
        <v>18</v>
      </c>
      <c r="E68" s="13" t="s">
        <v>37</v>
      </c>
      <c r="F68" s="16">
        <v>74.572440799999995</v>
      </c>
      <c r="G68" s="129">
        <v>2271.60718</v>
      </c>
      <c r="H68" s="22">
        <v>0</v>
      </c>
      <c r="I68" s="19"/>
      <c r="J68" s="7" t="s">
        <v>17</v>
      </c>
      <c r="K68" s="16"/>
      <c r="L68" s="16"/>
      <c r="M68" s="16"/>
      <c r="N68" s="16"/>
      <c r="O68" s="16"/>
      <c r="P68" s="16"/>
      <c r="Q68" s="16"/>
      <c r="R68" s="16"/>
      <c r="S68" s="16"/>
      <c r="T68" s="16"/>
    </row>
    <row r="69" spans="1:20" x14ac:dyDescent="0.2">
      <c r="A69">
        <v>658</v>
      </c>
      <c r="B69" s="8">
        <v>46214</v>
      </c>
      <c r="C69" s="9">
        <v>0.48254629629629631</v>
      </c>
      <c r="D69" s="7" t="s">
        <v>18</v>
      </c>
      <c r="E69" s="13" t="s">
        <v>33</v>
      </c>
      <c r="F69" s="16">
        <v>84.465675700000006</v>
      </c>
      <c r="G69" s="129">
        <v>2243.02612</v>
      </c>
      <c r="H69" s="22">
        <v>1</v>
      </c>
      <c r="I69" s="19" t="s">
        <v>38</v>
      </c>
      <c r="J69" s="7" t="s">
        <v>17</v>
      </c>
      <c r="K69" s="16"/>
      <c r="L69" s="16"/>
      <c r="M69" s="16"/>
      <c r="N69" s="16">
        <v>67.224345400000004</v>
      </c>
      <c r="O69" s="16"/>
      <c r="P69" s="16"/>
      <c r="Q69" s="16"/>
      <c r="R69" s="16"/>
      <c r="S69" s="16"/>
      <c r="T69" s="16"/>
    </row>
    <row r="70" spans="1:20" x14ac:dyDescent="0.2">
      <c r="A70">
        <v>659</v>
      </c>
      <c r="B70" s="8">
        <v>46214</v>
      </c>
      <c r="C70" s="9">
        <v>0.48292824074074076</v>
      </c>
      <c r="D70" s="7" t="s">
        <v>18</v>
      </c>
      <c r="E70" s="13" t="s">
        <v>37</v>
      </c>
      <c r="F70" s="16">
        <v>73.174995800000005</v>
      </c>
      <c r="G70" s="129">
        <v>2184.4677700000002</v>
      </c>
      <c r="H70" s="22">
        <v>1</v>
      </c>
      <c r="I70" s="19"/>
      <c r="J70" s="7" t="s">
        <v>17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</row>
    <row r="71" spans="1:20" x14ac:dyDescent="0.2">
      <c r="A71">
        <v>660</v>
      </c>
      <c r="B71" s="8">
        <v>46214</v>
      </c>
      <c r="C71" s="9">
        <v>0.48312500000000003</v>
      </c>
      <c r="D71" s="7" t="s">
        <v>18</v>
      </c>
      <c r="E71" s="13" t="s">
        <v>33</v>
      </c>
      <c r="F71" s="16">
        <v>82.575956899999994</v>
      </c>
      <c r="G71" s="129">
        <v>2070.94922</v>
      </c>
      <c r="H71" s="22">
        <v>1</v>
      </c>
      <c r="I71" s="19" t="s">
        <v>42</v>
      </c>
      <c r="J71" s="7" t="s">
        <v>17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</row>
    <row r="72" spans="1:20" x14ac:dyDescent="0.2">
      <c r="A72">
        <v>691</v>
      </c>
      <c r="B72" s="8">
        <v>46214</v>
      </c>
      <c r="C72" s="9">
        <v>0.49611111111111111</v>
      </c>
      <c r="D72" s="7" t="s">
        <v>18</v>
      </c>
      <c r="E72" s="13" t="s">
        <v>33</v>
      </c>
      <c r="F72" s="16">
        <v>83.147632299999998</v>
      </c>
      <c r="G72" s="129">
        <v>2168.4565400000001</v>
      </c>
      <c r="H72" s="22">
        <v>1</v>
      </c>
      <c r="I72" s="19" t="s">
        <v>39</v>
      </c>
      <c r="J72" s="7" t="s">
        <v>17</v>
      </c>
      <c r="K72" s="16"/>
      <c r="L72" s="16"/>
      <c r="M72" s="16"/>
      <c r="N72" s="16">
        <v>57.950085700000002</v>
      </c>
      <c r="O72" s="16"/>
      <c r="P72" s="16"/>
      <c r="Q72" s="16"/>
      <c r="R72" s="16"/>
      <c r="S72" s="16"/>
      <c r="T72" s="16"/>
    </row>
    <row r="73" spans="1:20" x14ac:dyDescent="0.2">
      <c r="A73">
        <v>692</v>
      </c>
      <c r="B73" s="8">
        <v>46214</v>
      </c>
      <c r="C73" s="9">
        <v>0.49629629629629629</v>
      </c>
      <c r="D73" s="7" t="s">
        <v>18</v>
      </c>
      <c r="E73" s="13" t="s">
        <v>37</v>
      </c>
      <c r="F73" s="16">
        <v>74.7629965</v>
      </c>
      <c r="G73" s="129">
        <v>2263.2710000000002</v>
      </c>
      <c r="H73" s="22">
        <v>1</v>
      </c>
      <c r="I73" s="19" t="s">
        <v>39</v>
      </c>
      <c r="J73" s="7" t="s">
        <v>17</v>
      </c>
      <c r="K73" s="16"/>
      <c r="L73" s="16"/>
      <c r="M73" s="16"/>
      <c r="N73" s="16">
        <v>61.547372699999997</v>
      </c>
      <c r="O73" s="16"/>
      <c r="P73" s="16"/>
      <c r="Q73" s="16"/>
      <c r="R73" s="16"/>
      <c r="S73" s="16"/>
      <c r="T73" s="16"/>
    </row>
    <row r="74" spans="1:20" x14ac:dyDescent="0.2">
      <c r="A74">
        <v>693</v>
      </c>
      <c r="B74" s="8">
        <v>46214</v>
      </c>
      <c r="C74" s="9">
        <v>0.49660879629629628</v>
      </c>
      <c r="D74" s="7" t="s">
        <v>18</v>
      </c>
      <c r="E74" s="13" t="s">
        <v>37</v>
      </c>
      <c r="F74" s="16">
        <v>74.318355299999993</v>
      </c>
      <c r="G74" s="129">
        <v>2226.5109900000002</v>
      </c>
      <c r="H74" s="22">
        <v>0</v>
      </c>
      <c r="I74" s="19"/>
      <c r="J74" s="7" t="s">
        <v>17</v>
      </c>
      <c r="K74" s="16"/>
      <c r="L74" s="16"/>
      <c r="M74" s="16"/>
      <c r="N74" s="16"/>
      <c r="O74" s="16"/>
      <c r="P74" s="16"/>
      <c r="Q74" s="16"/>
      <c r="R74" s="16"/>
      <c r="S74" s="16"/>
      <c r="T74" s="16"/>
    </row>
    <row r="75" spans="1:20" x14ac:dyDescent="0.2">
      <c r="A75">
        <v>694</v>
      </c>
      <c r="B75" s="8">
        <v>46214</v>
      </c>
      <c r="C75" s="9">
        <v>0.49694444444444447</v>
      </c>
      <c r="D75" s="7" t="s">
        <v>18</v>
      </c>
      <c r="E75" s="13" t="s">
        <v>33</v>
      </c>
      <c r="F75" s="16">
        <v>84.148077099999995</v>
      </c>
      <c r="G75" s="129">
        <v>2210.0041500000002</v>
      </c>
      <c r="H75" s="22">
        <v>1</v>
      </c>
      <c r="I75" s="19" t="s">
        <v>40</v>
      </c>
      <c r="J75" s="7" t="s">
        <v>17</v>
      </c>
      <c r="K75" s="16">
        <v>78.600050400000001</v>
      </c>
      <c r="L75" s="16">
        <v>41.745902999999998</v>
      </c>
      <c r="M75" s="16">
        <v>4.7559628500000004</v>
      </c>
      <c r="N75" s="16">
        <v>59.580103800000003</v>
      </c>
      <c r="O75" s="16">
        <v>1779.76025</v>
      </c>
      <c r="P75" s="16">
        <v>283</v>
      </c>
      <c r="Q75" s="16">
        <v>1.3192331799999999</v>
      </c>
      <c r="R75" s="16">
        <v>1.6707563400000001</v>
      </c>
      <c r="S75" s="16">
        <v>99.5438312</v>
      </c>
      <c r="T75" s="16">
        <v>0.78960242999999997</v>
      </c>
    </row>
    <row r="76" spans="1:20" x14ac:dyDescent="0.2">
      <c r="A76">
        <v>732</v>
      </c>
      <c r="B76" s="8">
        <v>46214</v>
      </c>
      <c r="C76" s="9">
        <v>0.51034722222222217</v>
      </c>
      <c r="D76" s="7" t="s">
        <v>21</v>
      </c>
      <c r="E76" s="13" t="s">
        <v>37</v>
      </c>
      <c r="F76" s="16">
        <v>71.650516499999995</v>
      </c>
      <c r="G76" s="129">
        <v>2220.0720200000001</v>
      </c>
      <c r="H76" s="22">
        <v>0</v>
      </c>
      <c r="I76" s="19"/>
      <c r="J76" s="7" t="s">
        <v>17</v>
      </c>
      <c r="K76" s="16"/>
      <c r="L76" s="16"/>
      <c r="M76" s="16"/>
      <c r="N76" s="16"/>
      <c r="O76" s="16"/>
      <c r="P76" s="16"/>
      <c r="Q76" s="16"/>
      <c r="R76" s="16"/>
      <c r="S76" s="16"/>
      <c r="T76" s="16"/>
    </row>
    <row r="77" spans="1:20" x14ac:dyDescent="0.2">
      <c r="A77">
        <v>733</v>
      </c>
      <c r="B77" s="8">
        <v>46214</v>
      </c>
      <c r="C77" s="9">
        <v>0.5105439814814815</v>
      </c>
      <c r="D77" s="7" t="s">
        <v>21</v>
      </c>
      <c r="E77" s="13" t="s">
        <v>54</v>
      </c>
      <c r="F77" s="16">
        <v>76.541561200000004</v>
      </c>
      <c r="G77" s="129">
        <v>1895.53979</v>
      </c>
      <c r="H77" s="22">
        <v>1</v>
      </c>
      <c r="I77" s="19" t="s">
        <v>38</v>
      </c>
      <c r="J77" s="7" t="s">
        <v>17</v>
      </c>
      <c r="K77" s="16"/>
      <c r="L77" s="16"/>
      <c r="M77" s="16"/>
      <c r="N77" s="16">
        <v>68.292292200000006</v>
      </c>
      <c r="O77" s="16"/>
      <c r="P77" s="16"/>
      <c r="Q77" s="16"/>
      <c r="R77" s="16"/>
      <c r="S77" s="16"/>
      <c r="T77" s="16"/>
    </row>
    <row r="78" spans="1:20" x14ac:dyDescent="0.2">
      <c r="A78">
        <v>734</v>
      </c>
      <c r="B78" s="8">
        <v>46214</v>
      </c>
      <c r="C78" s="9">
        <v>0.51089120370370367</v>
      </c>
      <c r="D78" s="7" t="s">
        <v>21</v>
      </c>
      <c r="E78" s="13" t="s">
        <v>33</v>
      </c>
      <c r="F78" s="16">
        <v>85.370829900000004</v>
      </c>
      <c r="G78" s="129">
        <v>2193.24316</v>
      </c>
      <c r="H78" s="22">
        <v>1</v>
      </c>
      <c r="I78" s="19"/>
      <c r="J78" s="7" t="s">
        <v>17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</row>
    <row r="79" spans="1:20" x14ac:dyDescent="0.2">
      <c r="A79">
        <v>735</v>
      </c>
      <c r="B79" s="8">
        <v>46214</v>
      </c>
      <c r="C79" s="9">
        <v>0.51105324074074077</v>
      </c>
      <c r="D79" s="7" t="s">
        <v>21</v>
      </c>
      <c r="E79" s="13" t="s">
        <v>53</v>
      </c>
      <c r="F79" s="16">
        <v>71.0153198</v>
      </c>
      <c r="G79" s="129">
        <v>2015.1921400000001</v>
      </c>
      <c r="H79" s="22">
        <v>1</v>
      </c>
      <c r="I79" s="19" t="s">
        <v>45</v>
      </c>
      <c r="J79" s="7" t="s">
        <v>17</v>
      </c>
      <c r="K79" s="16"/>
      <c r="L79" s="16"/>
      <c r="M79" s="16"/>
      <c r="N79" s="16">
        <v>55.083495200000002</v>
      </c>
      <c r="O79" s="16"/>
      <c r="P79" s="16"/>
      <c r="Q79" s="16"/>
      <c r="R79" s="16"/>
      <c r="S79" s="16"/>
      <c r="T79" s="16"/>
    </row>
    <row r="80" spans="1:20" x14ac:dyDescent="0.2">
      <c r="A80">
        <v>758</v>
      </c>
      <c r="B80" s="8">
        <v>46214</v>
      </c>
      <c r="C80" s="9">
        <v>0.52620370370370373</v>
      </c>
      <c r="D80" s="7" t="s">
        <v>25</v>
      </c>
      <c r="E80" s="13" t="s">
        <v>33</v>
      </c>
      <c r="F80" s="16">
        <v>82.941196399999995</v>
      </c>
      <c r="G80" s="129">
        <v>1990.0167200000001</v>
      </c>
      <c r="H80" s="22">
        <v>1</v>
      </c>
      <c r="I80" s="19" t="s">
        <v>40</v>
      </c>
      <c r="J80" s="7" t="s">
        <v>17</v>
      </c>
      <c r="K80" s="16">
        <v>90.441464999999994</v>
      </c>
      <c r="L80" s="16">
        <v>20.070630999999999</v>
      </c>
      <c r="M80" s="16">
        <v>15.449937800000001</v>
      </c>
      <c r="N80" s="16">
        <v>62.783940700000002</v>
      </c>
      <c r="O80" s="16">
        <v>1677.1982399999999</v>
      </c>
      <c r="P80" s="16">
        <v>265</v>
      </c>
      <c r="Q80" s="16">
        <v>1.44051909</v>
      </c>
      <c r="R80" s="16">
        <v>1.63831222</v>
      </c>
      <c r="S80" s="16">
        <v>102.859692</v>
      </c>
      <c r="T80" s="16">
        <v>0.87927016999999996</v>
      </c>
    </row>
    <row r="81" spans="1:20" x14ac:dyDescent="0.2">
      <c r="A81">
        <v>780</v>
      </c>
      <c r="B81" s="8">
        <v>46214</v>
      </c>
      <c r="C81" s="9">
        <v>0.53843750000000001</v>
      </c>
      <c r="D81" s="7" t="s">
        <v>25</v>
      </c>
      <c r="E81" s="13" t="s">
        <v>33</v>
      </c>
      <c r="F81" s="16">
        <v>85.481992199999993</v>
      </c>
      <c r="G81" s="129">
        <v>2065.9626499999999</v>
      </c>
      <c r="H81" s="22">
        <v>1</v>
      </c>
      <c r="I81" s="19" t="s">
        <v>38</v>
      </c>
      <c r="J81" s="7" t="s">
        <v>17</v>
      </c>
      <c r="K81" s="16"/>
      <c r="L81" s="16"/>
      <c r="M81" s="16"/>
      <c r="N81" s="16">
        <v>64.470171699999995</v>
      </c>
      <c r="O81" s="16"/>
      <c r="P81" s="16"/>
      <c r="Q81" s="16"/>
      <c r="R81" s="16"/>
      <c r="S81" s="16"/>
      <c r="T81" s="16"/>
    </row>
    <row r="82" spans="1:20" x14ac:dyDescent="0.2">
      <c r="A82">
        <v>781</v>
      </c>
      <c r="B82" s="8">
        <v>46214</v>
      </c>
      <c r="C82" s="9">
        <v>0.53880787037037037</v>
      </c>
      <c r="D82" s="7" t="s">
        <v>25</v>
      </c>
      <c r="E82" s="13" t="s">
        <v>35</v>
      </c>
      <c r="F82" s="16">
        <v>74.953560600000003</v>
      </c>
      <c r="G82" s="129">
        <v>1568.5101299999999</v>
      </c>
      <c r="H82" s="22">
        <v>1</v>
      </c>
      <c r="I82" s="19" t="s">
        <v>38</v>
      </c>
      <c r="J82" s="7" t="s">
        <v>17</v>
      </c>
      <c r="K82" s="16"/>
      <c r="L82" s="16"/>
      <c r="M82" s="16"/>
      <c r="N82" s="16">
        <v>62.446694399999998</v>
      </c>
      <c r="O82" s="16"/>
      <c r="P82" s="16"/>
      <c r="Q82" s="16"/>
      <c r="R82" s="16"/>
      <c r="S82" s="16"/>
      <c r="T82" s="16"/>
    </row>
    <row r="83" spans="1:20" x14ac:dyDescent="0.2">
      <c r="A83">
        <v>782</v>
      </c>
      <c r="B83" s="8">
        <v>46214</v>
      </c>
      <c r="C83" s="9">
        <v>0.53914351851851849</v>
      </c>
      <c r="D83" s="7" t="s">
        <v>25</v>
      </c>
      <c r="E83" s="13" t="s">
        <v>37</v>
      </c>
      <c r="F83" s="16">
        <v>75.001201699999996</v>
      </c>
      <c r="G83" s="129">
        <v>2163.7126499999999</v>
      </c>
      <c r="H83" s="22">
        <v>1</v>
      </c>
      <c r="I83" s="19" t="s">
        <v>42</v>
      </c>
      <c r="J83" s="7" t="s">
        <v>17</v>
      </c>
      <c r="K83" s="16"/>
      <c r="L83" s="16"/>
      <c r="M83" s="16"/>
      <c r="N83" s="16"/>
      <c r="O83" s="16"/>
      <c r="P83" s="16"/>
      <c r="Q83" s="16"/>
      <c r="R83" s="16"/>
      <c r="S83" s="16"/>
      <c r="T83" s="16"/>
    </row>
    <row r="84" spans="1:20" x14ac:dyDescent="0.2">
      <c r="A84">
        <v>799</v>
      </c>
      <c r="B84" s="8">
        <v>46218</v>
      </c>
      <c r="C84" s="9">
        <v>0.44841435185185186</v>
      </c>
      <c r="D84" s="7" t="s">
        <v>28</v>
      </c>
      <c r="E84" s="13" t="s">
        <v>37</v>
      </c>
      <c r="F84" s="16">
        <v>72.539799000000002</v>
      </c>
      <c r="G84" s="129">
        <v>2318.2902800000002</v>
      </c>
      <c r="H84" s="22">
        <v>1</v>
      </c>
      <c r="I84" s="19"/>
      <c r="J84" s="7" t="s">
        <v>17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</row>
    <row r="85" spans="1:20" x14ac:dyDescent="0.2">
      <c r="A85">
        <v>800</v>
      </c>
      <c r="B85" s="8">
        <v>46218</v>
      </c>
      <c r="C85" s="9">
        <v>0.44861111111111113</v>
      </c>
      <c r="D85" s="7" t="s">
        <v>28</v>
      </c>
      <c r="E85" s="13" t="s">
        <v>33</v>
      </c>
      <c r="F85" s="16">
        <v>76.033398700000006</v>
      </c>
      <c r="G85" s="129">
        <v>1935.3021200000001</v>
      </c>
      <c r="H85" s="22">
        <v>0</v>
      </c>
      <c r="I85" s="19"/>
      <c r="J85" s="7" t="s">
        <v>17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</row>
    <row r="86" spans="1:20" x14ac:dyDescent="0.2">
      <c r="A86">
        <v>801</v>
      </c>
      <c r="B86" s="8">
        <v>46218</v>
      </c>
      <c r="C86" s="9">
        <v>0.44884259259259257</v>
      </c>
      <c r="D86" s="7" t="s">
        <v>28</v>
      </c>
      <c r="E86" s="13" t="s">
        <v>35</v>
      </c>
      <c r="F86" s="16">
        <v>74.937680400000005</v>
      </c>
      <c r="G86" s="129">
        <v>1805.43237</v>
      </c>
      <c r="H86" s="22">
        <v>0</v>
      </c>
      <c r="I86" s="19"/>
      <c r="J86" s="7" t="s">
        <v>17</v>
      </c>
      <c r="K86" s="16"/>
      <c r="L86" s="16"/>
      <c r="M86" s="16"/>
      <c r="N86" s="16"/>
      <c r="O86" s="16"/>
      <c r="P86" s="16"/>
      <c r="Q86" s="16"/>
      <c r="R86" s="16"/>
      <c r="S86" s="16"/>
      <c r="T86" s="16"/>
    </row>
    <row r="87" spans="1:20" x14ac:dyDescent="0.2">
      <c r="A87">
        <v>802</v>
      </c>
      <c r="B87" s="8">
        <v>46218</v>
      </c>
      <c r="C87" s="9">
        <v>0.44907407407407407</v>
      </c>
      <c r="D87" s="7" t="s">
        <v>28</v>
      </c>
      <c r="E87" s="13" t="s">
        <v>37</v>
      </c>
      <c r="F87" s="16">
        <v>71.332922400000001</v>
      </c>
      <c r="G87" s="129">
        <v>166.45335399999999</v>
      </c>
      <c r="H87" s="22">
        <v>1</v>
      </c>
      <c r="I87" s="19" t="s">
        <v>38</v>
      </c>
      <c r="J87" s="7" t="s">
        <v>17</v>
      </c>
      <c r="K87" s="16"/>
      <c r="L87" s="16"/>
      <c r="M87" s="16"/>
      <c r="N87" s="16">
        <v>58.397990800000002</v>
      </c>
      <c r="O87" s="16"/>
      <c r="P87" s="16"/>
      <c r="Q87" s="16"/>
      <c r="R87" s="16"/>
      <c r="S87" s="16"/>
      <c r="T87" s="16"/>
    </row>
    <row r="88" spans="1:20" x14ac:dyDescent="0.2">
      <c r="A88">
        <v>803</v>
      </c>
      <c r="B88" s="8">
        <v>46218</v>
      </c>
      <c r="C88" s="9">
        <v>0.44960648148148147</v>
      </c>
      <c r="D88" s="7" t="s">
        <v>28</v>
      </c>
      <c r="E88" s="13" t="s">
        <v>37</v>
      </c>
      <c r="F88" s="16">
        <v>71.968123399999996</v>
      </c>
      <c r="G88" s="129">
        <v>1159.2100800000001</v>
      </c>
      <c r="H88" s="22">
        <v>1</v>
      </c>
      <c r="I88" s="19" t="s">
        <v>45</v>
      </c>
      <c r="J88" s="7" t="s">
        <v>17</v>
      </c>
      <c r="K88" s="16"/>
      <c r="L88" s="16"/>
      <c r="M88" s="16"/>
      <c r="N88" s="16">
        <v>61.673698799999997</v>
      </c>
      <c r="O88" s="16"/>
      <c r="P88" s="16"/>
      <c r="Q88" s="16"/>
      <c r="R88" s="16"/>
      <c r="S88" s="16"/>
      <c r="T88" s="16"/>
    </row>
    <row r="89" spans="1:20" x14ac:dyDescent="0.2">
      <c r="A89">
        <v>835</v>
      </c>
      <c r="B89" s="8">
        <v>46218</v>
      </c>
      <c r="C89" s="9">
        <v>0.46195601851851853</v>
      </c>
      <c r="D89" s="7" t="s">
        <v>28</v>
      </c>
      <c r="E89" s="13" t="s">
        <v>37</v>
      </c>
      <c r="F89" s="16">
        <v>71.507601800000003</v>
      </c>
      <c r="G89" s="129">
        <v>2481.28638</v>
      </c>
      <c r="H89" s="22">
        <v>0</v>
      </c>
      <c r="I89" s="19" t="s">
        <v>41</v>
      </c>
      <c r="J89" s="7" t="s">
        <v>17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</row>
    <row r="90" spans="1:20" x14ac:dyDescent="0.2">
      <c r="A90">
        <v>836</v>
      </c>
      <c r="B90" s="8">
        <v>46218</v>
      </c>
      <c r="C90" s="9">
        <v>0.46232638888888888</v>
      </c>
      <c r="D90" s="7" t="s">
        <v>28</v>
      </c>
      <c r="E90" s="13" t="s">
        <v>33</v>
      </c>
      <c r="F90" s="16">
        <v>75.715800299999998</v>
      </c>
      <c r="G90" s="129">
        <v>1880.3387499999999</v>
      </c>
      <c r="H90" s="22">
        <v>1</v>
      </c>
      <c r="I90" s="19" t="s">
        <v>38</v>
      </c>
      <c r="J90" s="7" t="s">
        <v>17</v>
      </c>
      <c r="K90" s="16"/>
      <c r="L90" s="16"/>
      <c r="M90" s="16"/>
      <c r="N90" s="16">
        <v>62.803251500000002</v>
      </c>
      <c r="O90" s="16"/>
      <c r="P90" s="16"/>
      <c r="Q90" s="16"/>
      <c r="R90" s="16"/>
      <c r="S90" s="16"/>
      <c r="T90" s="16"/>
    </row>
    <row r="91" spans="1:20" x14ac:dyDescent="0.2">
      <c r="A91">
        <v>837</v>
      </c>
      <c r="B91" s="8">
        <v>46218</v>
      </c>
      <c r="C91" s="9">
        <v>0.4626736111111111</v>
      </c>
      <c r="D91" s="7" t="s">
        <v>28</v>
      </c>
      <c r="E91" s="13" t="s">
        <v>33</v>
      </c>
      <c r="F91" s="16">
        <v>76.541561200000004</v>
      </c>
      <c r="G91" s="129">
        <v>1000.8132900000001</v>
      </c>
      <c r="H91" s="22">
        <v>1</v>
      </c>
      <c r="I91" s="19" t="s">
        <v>38</v>
      </c>
      <c r="J91" s="7" t="s">
        <v>17</v>
      </c>
      <c r="K91" s="16"/>
      <c r="L91" s="16"/>
      <c r="M91" s="16"/>
      <c r="N91" s="16">
        <v>62.633819699999997</v>
      </c>
      <c r="O91" s="16"/>
      <c r="P91" s="16"/>
      <c r="Q91" s="16"/>
      <c r="R91" s="16"/>
      <c r="S91" s="16"/>
      <c r="T91" s="16"/>
    </row>
    <row r="92" spans="1:20" x14ac:dyDescent="0.2">
      <c r="A92">
        <v>838</v>
      </c>
      <c r="B92" s="8">
        <v>46218</v>
      </c>
      <c r="C92" s="9">
        <v>0.46304398148148146</v>
      </c>
      <c r="D92" s="7" t="s">
        <v>28</v>
      </c>
      <c r="E92" s="13" t="s">
        <v>37</v>
      </c>
      <c r="F92" s="16">
        <v>71.380559099999999</v>
      </c>
      <c r="G92" s="129">
        <v>2284.4108900000001</v>
      </c>
      <c r="H92" s="22">
        <v>1</v>
      </c>
      <c r="I92" s="19" t="s">
        <v>42</v>
      </c>
      <c r="J92" s="7" t="s">
        <v>17</v>
      </c>
      <c r="K92" s="16"/>
      <c r="L92" s="16"/>
      <c r="M92" s="16"/>
      <c r="N92" s="16"/>
      <c r="O92" s="16"/>
      <c r="P92" s="16"/>
      <c r="Q92" s="16"/>
      <c r="R92" s="16"/>
      <c r="S92" s="16"/>
      <c r="T92" s="16"/>
    </row>
    <row r="93" spans="1:20" x14ac:dyDescent="0.2">
      <c r="A93">
        <v>863</v>
      </c>
      <c r="B93" s="8">
        <v>46218</v>
      </c>
      <c r="C93" s="9">
        <v>0.47396990740740741</v>
      </c>
      <c r="D93" s="7" t="s">
        <v>28</v>
      </c>
      <c r="E93" s="13" t="s">
        <v>37</v>
      </c>
      <c r="F93" s="16">
        <v>70.634199800000005</v>
      </c>
      <c r="G93" s="129">
        <v>775.92138699999998</v>
      </c>
      <c r="H93" s="22">
        <v>1</v>
      </c>
      <c r="I93" s="19" t="s">
        <v>38</v>
      </c>
      <c r="J93" s="7" t="s">
        <v>17</v>
      </c>
      <c r="K93" s="16"/>
      <c r="L93" s="16"/>
      <c r="M93" s="16"/>
      <c r="N93" s="16">
        <v>64.949406600000003</v>
      </c>
      <c r="O93" s="16"/>
      <c r="P93" s="16"/>
      <c r="Q93" s="16"/>
      <c r="R93" s="16"/>
      <c r="S93" s="16"/>
      <c r="T93" s="16"/>
    </row>
    <row r="94" spans="1:20" x14ac:dyDescent="0.2">
      <c r="A94">
        <v>864</v>
      </c>
      <c r="B94" s="8">
        <v>46218</v>
      </c>
      <c r="C94" s="9">
        <v>0.47434027777777776</v>
      </c>
      <c r="D94" s="7" t="s">
        <v>28</v>
      </c>
      <c r="E94" s="13" t="s">
        <v>35</v>
      </c>
      <c r="F94" s="16">
        <v>72.714482700000005</v>
      </c>
      <c r="G94" s="129">
        <v>1586.1090099999999</v>
      </c>
      <c r="H94" s="22">
        <v>0</v>
      </c>
      <c r="I94" s="19"/>
      <c r="J94" s="7" t="s">
        <v>17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</row>
    <row r="95" spans="1:20" x14ac:dyDescent="0.2">
      <c r="A95">
        <v>865</v>
      </c>
      <c r="B95" s="8">
        <v>46218</v>
      </c>
      <c r="C95" s="9">
        <v>0.4745949074074074</v>
      </c>
      <c r="D95" s="7" t="s">
        <v>28</v>
      </c>
      <c r="E95" s="13" t="s">
        <v>37</v>
      </c>
      <c r="F95" s="16">
        <v>69.236763499999995</v>
      </c>
      <c r="G95" s="129">
        <v>2328.5563999999999</v>
      </c>
      <c r="H95" s="22">
        <v>0</v>
      </c>
      <c r="I95" s="19"/>
      <c r="J95" s="7" t="s">
        <v>17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</row>
    <row r="96" spans="1:20" x14ac:dyDescent="0.2">
      <c r="A96">
        <v>866</v>
      </c>
      <c r="B96" s="8">
        <v>46218</v>
      </c>
      <c r="C96" s="9">
        <v>0.47554398148148147</v>
      </c>
      <c r="D96" s="7" t="s">
        <v>28</v>
      </c>
      <c r="E96" s="13" t="s">
        <v>37</v>
      </c>
      <c r="F96" s="16">
        <v>70.0466397</v>
      </c>
      <c r="G96" s="129">
        <v>752.48644999999999</v>
      </c>
      <c r="H96" s="22">
        <v>1</v>
      </c>
      <c r="I96" s="19" t="s">
        <v>40</v>
      </c>
      <c r="J96" s="7" t="s">
        <v>17</v>
      </c>
      <c r="K96" s="16">
        <v>76.905128199999993</v>
      </c>
      <c r="L96" s="16">
        <v>50.228431700000002</v>
      </c>
      <c r="M96" s="16">
        <v>-7.3485303000000002</v>
      </c>
      <c r="N96" s="16">
        <v>63.537463500000001</v>
      </c>
      <c r="O96" s="16">
        <v>4228.2192400000004</v>
      </c>
      <c r="P96" s="16">
        <v>265</v>
      </c>
      <c r="Q96" s="16">
        <v>1.2103903300000001</v>
      </c>
      <c r="R96" s="16">
        <v>1.5688617199999999</v>
      </c>
      <c r="S96" s="16">
        <v>99.681489299999996</v>
      </c>
      <c r="T96" s="16">
        <v>0.77150856000000001</v>
      </c>
    </row>
    <row r="97" spans="1:20" x14ac:dyDescent="0.2">
      <c r="A97">
        <v>886</v>
      </c>
      <c r="B97" s="8">
        <v>46221</v>
      </c>
      <c r="C97" s="9">
        <v>0.42637731481481483</v>
      </c>
      <c r="D97" s="7" t="s">
        <v>18</v>
      </c>
      <c r="E97" s="13" t="s">
        <v>36</v>
      </c>
      <c r="F97" s="16">
        <v>76.716236600000002</v>
      </c>
      <c r="G97" s="129">
        <v>2217.14014</v>
      </c>
      <c r="H97" s="22">
        <v>0</v>
      </c>
      <c r="I97" s="19"/>
      <c r="J97" s="7" t="s">
        <v>17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</row>
    <row r="98" spans="1:20" x14ac:dyDescent="0.2">
      <c r="A98">
        <v>887</v>
      </c>
      <c r="B98" s="8">
        <v>46221</v>
      </c>
      <c r="C98" s="9">
        <v>0.42656250000000001</v>
      </c>
      <c r="D98" s="7" t="s">
        <v>18</v>
      </c>
      <c r="E98" s="13" t="s">
        <v>37</v>
      </c>
      <c r="F98" s="16">
        <v>71.714037899999994</v>
      </c>
      <c r="G98" s="129">
        <v>2176.4567900000002</v>
      </c>
      <c r="H98" s="22">
        <v>0</v>
      </c>
      <c r="I98" s="19"/>
      <c r="J98" s="7" t="s">
        <v>17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</row>
    <row r="99" spans="1:20" x14ac:dyDescent="0.2">
      <c r="A99">
        <v>888</v>
      </c>
      <c r="B99" s="8">
        <v>46221</v>
      </c>
      <c r="C99" s="9">
        <v>0.42674768518518519</v>
      </c>
      <c r="D99" s="7" t="s">
        <v>18</v>
      </c>
      <c r="E99" s="13" t="s">
        <v>33</v>
      </c>
      <c r="F99" s="16">
        <v>82.639478299999993</v>
      </c>
      <c r="G99" s="129">
        <v>2277.4321300000001</v>
      </c>
      <c r="H99" s="22">
        <v>1</v>
      </c>
      <c r="I99" s="19" t="s">
        <v>38</v>
      </c>
      <c r="J99" s="7" t="s">
        <v>17</v>
      </c>
      <c r="K99" s="16"/>
      <c r="L99" s="16"/>
      <c r="M99" s="16"/>
      <c r="N99" s="16">
        <v>64.388602500000005</v>
      </c>
      <c r="O99" s="16"/>
      <c r="P99" s="16"/>
      <c r="Q99" s="16"/>
      <c r="R99" s="16"/>
      <c r="S99" s="16"/>
      <c r="T99" s="16"/>
    </row>
    <row r="100" spans="1:20" x14ac:dyDescent="0.2">
      <c r="A100">
        <v>889</v>
      </c>
      <c r="B100" s="8">
        <v>46221</v>
      </c>
      <c r="C100" s="9">
        <v>0.42706018518518518</v>
      </c>
      <c r="D100" s="7" t="s">
        <v>18</v>
      </c>
      <c r="E100" s="13" t="s">
        <v>33</v>
      </c>
      <c r="F100" s="16">
        <v>83.465227100000007</v>
      </c>
      <c r="G100" s="129">
        <v>2245.4516600000002</v>
      </c>
      <c r="H100" s="22">
        <v>0</v>
      </c>
      <c r="I100" s="19"/>
      <c r="J100" s="7" t="s">
        <v>17</v>
      </c>
      <c r="K100" s="16"/>
      <c r="L100" s="16"/>
      <c r="M100" s="16"/>
      <c r="N100" s="16"/>
      <c r="O100" s="16"/>
      <c r="P100" s="16"/>
      <c r="Q100" s="16"/>
      <c r="R100" s="16"/>
      <c r="S100" s="16"/>
      <c r="T100" s="16"/>
    </row>
    <row r="101" spans="1:20" x14ac:dyDescent="0.2">
      <c r="A101">
        <v>890</v>
      </c>
      <c r="B101" s="8">
        <v>46221</v>
      </c>
      <c r="C101" s="9">
        <v>0.42725694444444445</v>
      </c>
      <c r="D101" s="7" t="s">
        <v>18</v>
      </c>
      <c r="E101" s="13" t="s">
        <v>33</v>
      </c>
      <c r="F101" s="16">
        <v>84.100436200000004</v>
      </c>
      <c r="G101" s="129">
        <v>1143.7387699999999</v>
      </c>
      <c r="H101" s="22">
        <v>1</v>
      </c>
      <c r="I101" s="19" t="s">
        <v>40</v>
      </c>
      <c r="J101" s="7" t="s">
        <v>17</v>
      </c>
      <c r="K101" s="16">
        <v>92.928177300000002</v>
      </c>
      <c r="L101" s="16">
        <v>10.6344519</v>
      </c>
      <c r="M101" s="16">
        <v>-6.0390968000000003</v>
      </c>
      <c r="N101" s="16">
        <v>63.8842541</v>
      </c>
      <c r="O101" s="16">
        <v>669.43969700000002</v>
      </c>
      <c r="P101" s="16">
        <v>192</v>
      </c>
      <c r="Q101" s="16">
        <v>1.4546334700000001</v>
      </c>
      <c r="R101" s="16">
        <v>1.6261823200000001</v>
      </c>
      <c r="S101" s="16">
        <v>103.887443</v>
      </c>
      <c r="T101" s="16">
        <v>0.89450828999999998</v>
      </c>
    </row>
    <row r="102" spans="1:20" x14ac:dyDescent="0.2">
      <c r="A102">
        <v>917</v>
      </c>
      <c r="B102" s="8">
        <v>46221</v>
      </c>
      <c r="C102" s="9">
        <v>0.43675925925925924</v>
      </c>
      <c r="D102" s="7" t="s">
        <v>24</v>
      </c>
      <c r="E102" s="13" t="s">
        <v>33</v>
      </c>
      <c r="F102" s="16">
        <v>82.163076500000003</v>
      </c>
      <c r="G102" s="129">
        <v>2191.9245599999999</v>
      </c>
      <c r="H102" s="22">
        <v>0</v>
      </c>
      <c r="I102" s="19"/>
      <c r="J102" s="7" t="s">
        <v>17</v>
      </c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 spans="1:20" x14ac:dyDescent="0.2">
      <c r="A103">
        <v>918</v>
      </c>
      <c r="B103" s="8">
        <v>46221</v>
      </c>
      <c r="C103" s="9">
        <v>0.43689814814814815</v>
      </c>
      <c r="D103" s="7" t="s">
        <v>24</v>
      </c>
      <c r="E103" s="13" t="s">
        <v>33</v>
      </c>
      <c r="F103" s="16">
        <v>81.686674400000001</v>
      </c>
      <c r="G103" s="129">
        <v>2218.5461399999999</v>
      </c>
      <c r="H103" s="22">
        <v>0</v>
      </c>
      <c r="I103" s="19"/>
      <c r="J103" s="7" t="s">
        <v>17</v>
      </c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spans="1:20" x14ac:dyDescent="0.2">
      <c r="A104">
        <v>919</v>
      </c>
      <c r="B104" s="8">
        <v>46221</v>
      </c>
      <c r="C104" s="9">
        <v>0.43708333333333332</v>
      </c>
      <c r="D104" s="7" t="s">
        <v>24</v>
      </c>
      <c r="E104" s="13" t="s">
        <v>49</v>
      </c>
      <c r="F104" s="16">
        <v>66.314843499999995</v>
      </c>
      <c r="G104" s="129">
        <v>2019.64563</v>
      </c>
      <c r="H104" s="22">
        <v>0</v>
      </c>
      <c r="I104" s="19"/>
      <c r="J104" s="7" t="s">
        <v>17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  <row r="105" spans="1:20" x14ac:dyDescent="0.2">
      <c r="A105">
        <v>920</v>
      </c>
      <c r="B105" s="8">
        <v>46221</v>
      </c>
      <c r="C105" s="9">
        <v>0.4372800925925926</v>
      </c>
      <c r="D105" s="7" t="s">
        <v>24</v>
      </c>
      <c r="E105" s="13" t="s">
        <v>33</v>
      </c>
      <c r="F105" s="16">
        <v>82.575956899999994</v>
      </c>
      <c r="G105" s="129">
        <v>2247.9018599999999</v>
      </c>
      <c r="H105" s="22">
        <v>0</v>
      </c>
      <c r="I105" s="19" t="s">
        <v>48</v>
      </c>
      <c r="J105" s="7" t="s">
        <v>17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16"/>
    </row>
    <row r="106" spans="1:20" x14ac:dyDescent="0.2">
      <c r="A106">
        <v>921</v>
      </c>
      <c r="B106" s="8">
        <v>46221</v>
      </c>
      <c r="C106" s="9">
        <v>0.43744212962962964</v>
      </c>
      <c r="D106" s="7" t="s">
        <v>24</v>
      </c>
      <c r="E106" s="13" t="s">
        <v>33</v>
      </c>
      <c r="F106" s="16">
        <v>83.925752299999999</v>
      </c>
      <c r="G106" s="129">
        <v>1109.0682400000001</v>
      </c>
      <c r="H106" s="22">
        <v>1</v>
      </c>
      <c r="I106" s="19" t="s">
        <v>38</v>
      </c>
      <c r="J106" s="7" t="s">
        <v>17</v>
      </c>
      <c r="K106" s="16"/>
      <c r="L106" s="16"/>
      <c r="M106" s="16"/>
      <c r="N106" s="16">
        <v>64.500682100000006</v>
      </c>
      <c r="O106" s="16"/>
      <c r="P106" s="16"/>
      <c r="Q106" s="16"/>
      <c r="R106" s="16"/>
      <c r="S106" s="16"/>
      <c r="T106" s="16"/>
    </row>
    <row r="107" spans="1:20" x14ac:dyDescent="0.2">
      <c r="A107">
        <v>954</v>
      </c>
      <c r="B107" s="8">
        <v>46221</v>
      </c>
      <c r="C107" s="9">
        <v>0.45111111111111113</v>
      </c>
      <c r="D107" s="7" t="s">
        <v>24</v>
      </c>
      <c r="E107" s="13" t="s">
        <v>37</v>
      </c>
      <c r="F107" s="16">
        <v>68.156921100000005</v>
      </c>
      <c r="G107" s="129">
        <v>1786.47595</v>
      </c>
      <c r="H107" s="22">
        <v>0</v>
      </c>
      <c r="I107" s="19"/>
      <c r="J107" s="7" t="s">
        <v>17</v>
      </c>
      <c r="K107" s="16"/>
      <c r="L107" s="16"/>
      <c r="M107" s="16"/>
      <c r="N107" s="16"/>
      <c r="O107" s="16"/>
      <c r="P107" s="16"/>
      <c r="Q107" s="16"/>
      <c r="R107" s="16"/>
      <c r="S107" s="16"/>
      <c r="T107" s="16"/>
    </row>
    <row r="108" spans="1:20" x14ac:dyDescent="0.2">
      <c r="A108">
        <v>955</v>
      </c>
      <c r="B108" s="8">
        <v>46221</v>
      </c>
      <c r="C108" s="9">
        <v>0.4513773148148148</v>
      </c>
      <c r="D108" s="7" t="s">
        <v>24</v>
      </c>
      <c r="E108" s="13" t="s">
        <v>33</v>
      </c>
      <c r="F108" s="16">
        <v>81.7501958</v>
      </c>
      <c r="G108" s="129">
        <v>2274.4846200000002</v>
      </c>
      <c r="H108" s="22">
        <v>1</v>
      </c>
      <c r="I108" s="19" t="s">
        <v>38</v>
      </c>
      <c r="J108" s="7" t="s">
        <v>17</v>
      </c>
      <c r="K108" s="16"/>
      <c r="L108" s="16"/>
      <c r="M108" s="16"/>
      <c r="N108" s="16">
        <v>66.910352099999997</v>
      </c>
      <c r="O108" s="16"/>
      <c r="P108" s="16"/>
      <c r="Q108" s="16"/>
      <c r="R108" s="16"/>
      <c r="S108" s="16"/>
      <c r="T108" s="16"/>
    </row>
    <row r="109" spans="1:20" x14ac:dyDescent="0.2">
      <c r="A109">
        <v>956</v>
      </c>
      <c r="B109" s="8">
        <v>46221</v>
      </c>
      <c r="C109" s="9">
        <v>0.45171296296296298</v>
      </c>
      <c r="D109" s="7" t="s">
        <v>24</v>
      </c>
      <c r="E109" s="13" t="s">
        <v>35</v>
      </c>
      <c r="F109" s="16">
        <v>76.033398700000006</v>
      </c>
      <c r="G109" s="129">
        <v>1524.9176</v>
      </c>
      <c r="H109" s="22">
        <v>0</v>
      </c>
      <c r="I109" s="19"/>
      <c r="J109" s="7" t="s">
        <v>17</v>
      </c>
      <c r="K109" s="16"/>
      <c r="L109" s="16"/>
      <c r="M109" s="16"/>
      <c r="N109" s="16"/>
      <c r="O109" s="16"/>
      <c r="P109" s="16"/>
      <c r="Q109" s="16"/>
      <c r="R109" s="16"/>
      <c r="S109" s="16"/>
      <c r="T109" s="16"/>
    </row>
    <row r="110" spans="1:20" x14ac:dyDescent="0.2">
      <c r="A110">
        <v>957</v>
      </c>
      <c r="B110" s="8">
        <v>46221</v>
      </c>
      <c r="C110" s="9">
        <v>0.45193287037037039</v>
      </c>
      <c r="D110" s="7" t="s">
        <v>24</v>
      </c>
      <c r="E110" s="13" t="s">
        <v>33</v>
      </c>
      <c r="F110" s="16">
        <v>82.766512500000005</v>
      </c>
      <c r="G110" s="129">
        <v>2181.5913099999998</v>
      </c>
      <c r="H110" s="22">
        <v>1</v>
      </c>
      <c r="I110" s="19" t="s">
        <v>38</v>
      </c>
      <c r="J110" s="7" t="s">
        <v>17</v>
      </c>
      <c r="K110" s="16"/>
      <c r="L110" s="16"/>
      <c r="M110" s="16"/>
      <c r="N110" s="16">
        <v>65.173147999999998</v>
      </c>
      <c r="O110" s="16"/>
      <c r="P110" s="16"/>
      <c r="Q110" s="16"/>
      <c r="R110" s="16"/>
      <c r="S110" s="16"/>
      <c r="T110" s="16"/>
    </row>
    <row r="111" spans="1:20" x14ac:dyDescent="0.2">
      <c r="A111">
        <v>958</v>
      </c>
      <c r="B111" s="8">
        <v>46221</v>
      </c>
      <c r="C111" s="9">
        <v>0.45221064814814815</v>
      </c>
      <c r="D111" s="7" t="s">
        <v>24</v>
      </c>
      <c r="E111" s="13" t="s">
        <v>33</v>
      </c>
      <c r="F111" s="16">
        <v>83.147632299999998</v>
      </c>
      <c r="G111" s="129">
        <v>2282.2897899999998</v>
      </c>
      <c r="H111" s="22">
        <v>1</v>
      </c>
      <c r="I111" s="19" t="s">
        <v>40</v>
      </c>
      <c r="J111" s="7" t="s">
        <v>17</v>
      </c>
      <c r="K111" s="16">
        <v>64.292266600000005</v>
      </c>
      <c r="L111" s="16">
        <v>-15.047236</v>
      </c>
      <c r="M111" s="16">
        <v>5.2399563799999997</v>
      </c>
      <c r="N111" s="16">
        <v>62.539322800000001</v>
      </c>
      <c r="O111" s="16">
        <v>3421.2075199999999</v>
      </c>
      <c r="P111" s="16"/>
      <c r="Q111" s="16">
        <v>1.0280294400000001</v>
      </c>
      <c r="R111" s="16">
        <v>1.6441205699999999</v>
      </c>
      <c r="S111" s="16">
        <v>102.82218</v>
      </c>
      <c r="T111" s="16">
        <v>0.62527622000000005</v>
      </c>
    </row>
    <row r="112" spans="1:20" x14ac:dyDescent="0.2">
      <c r="A112">
        <v>977</v>
      </c>
      <c r="B112" s="8">
        <v>46221</v>
      </c>
      <c r="C112" s="9">
        <v>0.46015046296296297</v>
      </c>
      <c r="D112" s="7" t="s">
        <v>18</v>
      </c>
      <c r="E112" s="13" t="s">
        <v>37</v>
      </c>
      <c r="F112" s="16">
        <v>71.380559099999999</v>
      </c>
      <c r="G112" s="129">
        <v>2079.7976100000001</v>
      </c>
      <c r="H112" s="22">
        <v>0</v>
      </c>
      <c r="I112" s="19"/>
      <c r="J112" s="7" t="s">
        <v>17</v>
      </c>
      <c r="K112" s="16"/>
      <c r="L112" s="16"/>
      <c r="M112" s="16"/>
      <c r="N112" s="16"/>
      <c r="O112" s="16"/>
      <c r="P112" s="16"/>
      <c r="Q112" s="16"/>
      <c r="R112" s="16"/>
      <c r="S112" s="16"/>
      <c r="T112" s="16"/>
    </row>
    <row r="113" spans="1:20" x14ac:dyDescent="0.2">
      <c r="A113">
        <v>978</v>
      </c>
      <c r="B113" s="8">
        <v>46221</v>
      </c>
      <c r="C113" s="9">
        <v>0.46054398148148146</v>
      </c>
      <c r="D113" s="7" t="s">
        <v>18</v>
      </c>
      <c r="E113" s="13" t="s">
        <v>36</v>
      </c>
      <c r="F113" s="16">
        <v>78.113672899999997</v>
      </c>
      <c r="G113" s="129">
        <v>1080.01208</v>
      </c>
      <c r="H113" s="22">
        <v>0</v>
      </c>
      <c r="I113" s="19"/>
      <c r="J113" s="7" t="s">
        <v>17</v>
      </c>
      <c r="K113" s="16"/>
      <c r="L113" s="16"/>
      <c r="M113" s="16"/>
      <c r="N113" s="16"/>
      <c r="O113" s="16"/>
      <c r="P113" s="16"/>
      <c r="Q113" s="16"/>
      <c r="R113" s="16"/>
      <c r="S113" s="16"/>
      <c r="T113" s="16"/>
    </row>
    <row r="114" spans="1:20" x14ac:dyDescent="0.2">
      <c r="A114">
        <v>979</v>
      </c>
      <c r="B114" s="8">
        <v>46221</v>
      </c>
      <c r="C114" s="9">
        <v>0.46072916666666669</v>
      </c>
      <c r="D114" s="7" t="s">
        <v>18</v>
      </c>
      <c r="E114" s="13" t="s">
        <v>33</v>
      </c>
      <c r="F114" s="16">
        <v>82.512435499999995</v>
      </c>
      <c r="G114" s="129">
        <v>2010.1252400000001</v>
      </c>
      <c r="H114" s="22">
        <v>1</v>
      </c>
      <c r="I114" s="19" t="s">
        <v>38</v>
      </c>
      <c r="J114" s="7" t="s">
        <v>17</v>
      </c>
      <c r="K114" s="16"/>
      <c r="L114" s="16"/>
      <c r="M114" s="16"/>
      <c r="N114" s="16">
        <v>67.526775799999996</v>
      </c>
      <c r="O114" s="16"/>
      <c r="P114" s="16"/>
      <c r="Q114" s="16"/>
      <c r="R114" s="16"/>
      <c r="S114" s="16"/>
      <c r="T114" s="16"/>
    </row>
    <row r="115" spans="1:20" x14ac:dyDescent="0.2">
      <c r="A115">
        <v>980</v>
      </c>
      <c r="B115" s="8">
        <v>46221</v>
      </c>
      <c r="C115" s="9">
        <v>0.46108796296296295</v>
      </c>
      <c r="D115" s="7" t="s">
        <v>18</v>
      </c>
      <c r="E115" s="13" t="s">
        <v>33</v>
      </c>
      <c r="F115" s="16">
        <v>83.576393199999998</v>
      </c>
      <c r="G115" s="129">
        <v>2348.87842</v>
      </c>
      <c r="H115" s="22">
        <v>0</v>
      </c>
      <c r="I115" s="19"/>
      <c r="J115" s="7" t="s">
        <v>17</v>
      </c>
      <c r="K115" s="16"/>
      <c r="L115" s="16"/>
      <c r="M115" s="16"/>
      <c r="N115" s="16"/>
      <c r="O115" s="16"/>
      <c r="P115" s="16"/>
      <c r="Q115" s="16"/>
      <c r="R115" s="16"/>
      <c r="S115" s="16"/>
      <c r="T115" s="16"/>
    </row>
    <row r="116" spans="1:20" x14ac:dyDescent="0.2">
      <c r="A116">
        <v>981</v>
      </c>
      <c r="B116" s="8">
        <v>46221</v>
      </c>
      <c r="C116" s="9">
        <v>0.46128472222222222</v>
      </c>
      <c r="D116" s="7" t="s">
        <v>18</v>
      </c>
      <c r="E116" s="13" t="s">
        <v>33</v>
      </c>
      <c r="F116" s="16">
        <v>84.2909918</v>
      </c>
      <c r="G116" s="129">
        <v>1149.31104</v>
      </c>
      <c r="H116" s="22">
        <v>1</v>
      </c>
      <c r="I116" s="19" t="s">
        <v>39</v>
      </c>
      <c r="J116" s="7" t="s">
        <v>17</v>
      </c>
      <c r="K116" s="16"/>
      <c r="L116" s="16"/>
      <c r="M116" s="16"/>
      <c r="N116" s="16">
        <v>66.069768999999994</v>
      </c>
      <c r="O116" s="16"/>
      <c r="P116" s="16"/>
      <c r="Q116" s="16"/>
      <c r="R116" s="16"/>
      <c r="S116" s="16"/>
      <c r="T116" s="16"/>
    </row>
    <row r="117" spans="1:20" x14ac:dyDescent="0.2">
      <c r="A117">
        <v>982</v>
      </c>
      <c r="B117" s="8">
        <v>46221</v>
      </c>
      <c r="C117" s="9">
        <v>0.46150462962962963</v>
      </c>
      <c r="D117" s="7" t="s">
        <v>18</v>
      </c>
      <c r="E117" s="13" t="s">
        <v>37</v>
      </c>
      <c r="F117" s="16">
        <v>73.8737225</v>
      </c>
      <c r="G117" s="129">
        <v>1094.0849599999999</v>
      </c>
      <c r="H117" s="22">
        <v>1</v>
      </c>
      <c r="I117" s="19" t="s">
        <v>45</v>
      </c>
      <c r="J117" s="7" t="s">
        <v>17</v>
      </c>
      <c r="K117" s="16"/>
      <c r="L117" s="16"/>
      <c r="M117" s="16"/>
      <c r="N117" s="16">
        <v>56.2629758</v>
      </c>
      <c r="O117" s="16"/>
      <c r="P117" s="16"/>
      <c r="Q117" s="16"/>
      <c r="R117" s="16"/>
      <c r="S117" s="16"/>
      <c r="T117" s="16"/>
    </row>
    <row r="118" spans="1:20" x14ac:dyDescent="0.2">
      <c r="A118">
        <v>993</v>
      </c>
      <c r="B118" s="8">
        <v>46221</v>
      </c>
      <c r="C118" s="9">
        <v>0.46680555555555553</v>
      </c>
      <c r="D118" s="7" t="s">
        <v>21</v>
      </c>
      <c r="E118" s="13" t="s">
        <v>33</v>
      </c>
      <c r="F118" s="16">
        <v>82.448914200000004</v>
      </c>
      <c r="G118" s="129">
        <v>2129.3085900000001</v>
      </c>
      <c r="H118" s="22">
        <v>1</v>
      </c>
      <c r="I118" s="19"/>
      <c r="J118" s="7" t="s">
        <v>17</v>
      </c>
      <c r="K118" s="16"/>
      <c r="L118" s="16"/>
      <c r="M118" s="16"/>
      <c r="N118" s="16"/>
      <c r="O118" s="16"/>
      <c r="P118" s="16"/>
      <c r="Q118" s="16"/>
      <c r="R118" s="16"/>
      <c r="S118" s="16"/>
      <c r="T118" s="16"/>
    </row>
    <row r="119" spans="1:20" x14ac:dyDescent="0.2">
      <c r="A119">
        <v>994</v>
      </c>
      <c r="B119" s="8">
        <v>46221</v>
      </c>
      <c r="C119" s="9">
        <v>0.46696759259259257</v>
      </c>
      <c r="D119" s="7" t="s">
        <v>21</v>
      </c>
      <c r="E119" s="13" t="s">
        <v>37</v>
      </c>
      <c r="F119" s="16">
        <v>71.078841199999999</v>
      </c>
      <c r="G119" s="129">
        <v>2249.3022500000002</v>
      </c>
      <c r="H119" s="22">
        <v>1</v>
      </c>
      <c r="I119" s="19" t="s">
        <v>38</v>
      </c>
      <c r="J119" s="7" t="s">
        <v>17</v>
      </c>
      <c r="K119" s="16"/>
      <c r="L119" s="16"/>
      <c r="M119" s="16"/>
      <c r="N119" s="16">
        <v>65.0610681</v>
      </c>
      <c r="O119" s="16"/>
      <c r="P119" s="16"/>
      <c r="Q119" s="16"/>
      <c r="R119" s="16"/>
      <c r="S119" s="16"/>
      <c r="T119" s="16"/>
    </row>
    <row r="120" spans="1:20" x14ac:dyDescent="0.2">
      <c r="A120">
        <v>995</v>
      </c>
      <c r="B120" s="8">
        <v>46221</v>
      </c>
      <c r="C120" s="9">
        <v>0.46716435185185184</v>
      </c>
      <c r="D120" s="7" t="s">
        <v>21</v>
      </c>
      <c r="E120" s="13" t="s">
        <v>33</v>
      </c>
      <c r="F120" s="16">
        <v>84.418034599999999</v>
      </c>
      <c r="G120" s="129">
        <v>2188.8044399999999</v>
      </c>
      <c r="H120" s="22">
        <v>1</v>
      </c>
      <c r="I120" s="19" t="s">
        <v>42</v>
      </c>
      <c r="J120" s="7" t="s">
        <v>17</v>
      </c>
      <c r="K120" s="16"/>
      <c r="L120" s="16"/>
      <c r="M120" s="16"/>
      <c r="N120" s="16"/>
      <c r="O120" s="16"/>
      <c r="P120" s="16"/>
      <c r="Q120" s="16"/>
      <c r="R120" s="16"/>
      <c r="S120" s="16"/>
      <c r="T120" s="16"/>
    </row>
    <row r="121" spans="1:20" x14ac:dyDescent="0.2">
      <c r="A121">
        <v>1013</v>
      </c>
      <c r="B121" s="8">
        <v>46221</v>
      </c>
      <c r="C121" s="9">
        <v>0.47270833333333334</v>
      </c>
      <c r="D121" s="7" t="s">
        <v>18</v>
      </c>
      <c r="E121" s="13" t="s">
        <v>36</v>
      </c>
      <c r="F121" s="16">
        <v>78.574194500000004</v>
      </c>
      <c r="G121" s="129">
        <v>1561.1862799999999</v>
      </c>
      <c r="H121" s="22">
        <v>1</v>
      </c>
      <c r="I121" s="19" t="s">
        <v>40</v>
      </c>
      <c r="J121" s="7" t="s">
        <v>17</v>
      </c>
      <c r="K121" s="16">
        <v>85.057925499999996</v>
      </c>
      <c r="L121" s="16">
        <v>11.196491200000001</v>
      </c>
      <c r="M121" s="16">
        <v>-18.107143000000001</v>
      </c>
      <c r="N121" s="16">
        <v>68.0311284</v>
      </c>
      <c r="O121" s="16">
        <v>687.94805899999994</v>
      </c>
      <c r="P121" s="16">
        <v>169</v>
      </c>
      <c r="Q121" s="16">
        <v>1.2502795499999999</v>
      </c>
      <c r="R121" s="16">
        <v>1.5822546500000001</v>
      </c>
      <c r="S121" s="16">
        <v>107.64257000000001</v>
      </c>
      <c r="T121" s="16">
        <v>0.79018860000000002</v>
      </c>
    </row>
    <row r="122" spans="1:20" x14ac:dyDescent="0.2">
      <c r="A122">
        <v>1019</v>
      </c>
      <c r="B122" s="8">
        <v>46221</v>
      </c>
      <c r="C122" s="9">
        <v>0.47553240740740743</v>
      </c>
      <c r="D122" s="7" t="s">
        <v>21</v>
      </c>
      <c r="E122" s="13" t="s">
        <v>37</v>
      </c>
      <c r="F122" s="16">
        <v>71.523482299999998</v>
      </c>
      <c r="G122" s="129">
        <v>1109.73621</v>
      </c>
      <c r="H122" s="22">
        <v>1</v>
      </c>
      <c r="I122" s="19" t="s">
        <v>38</v>
      </c>
      <c r="J122" s="7" t="s">
        <v>17</v>
      </c>
      <c r="K122" s="16"/>
      <c r="L122" s="16"/>
      <c r="M122" s="16"/>
      <c r="N122" s="16">
        <v>64.612757799999997</v>
      </c>
      <c r="O122" s="16"/>
      <c r="P122" s="16"/>
      <c r="Q122" s="16"/>
      <c r="R122" s="16"/>
      <c r="S122" s="16"/>
      <c r="T122" s="16"/>
    </row>
    <row r="123" spans="1:20" x14ac:dyDescent="0.2">
      <c r="A123">
        <v>1020</v>
      </c>
      <c r="B123" s="8">
        <v>46221</v>
      </c>
      <c r="C123" s="9">
        <v>0.47578703703703706</v>
      </c>
      <c r="D123" s="7" t="s">
        <v>21</v>
      </c>
      <c r="E123" s="13" t="s">
        <v>54</v>
      </c>
      <c r="F123" s="16">
        <v>77.097356399999995</v>
      </c>
      <c r="G123" s="129">
        <v>1984.1330599999999</v>
      </c>
      <c r="H123" s="22">
        <v>0</v>
      </c>
      <c r="I123" s="19"/>
      <c r="J123" s="7" t="s">
        <v>17</v>
      </c>
      <c r="K123" s="16"/>
      <c r="L123" s="16"/>
      <c r="M123" s="16"/>
      <c r="N123" s="16"/>
      <c r="O123" s="16"/>
      <c r="P123" s="16"/>
      <c r="Q123" s="16"/>
      <c r="R123" s="16"/>
      <c r="S123" s="16"/>
      <c r="T123" s="16"/>
    </row>
    <row r="124" spans="1:20" x14ac:dyDescent="0.2">
      <c r="A124">
        <v>1021</v>
      </c>
      <c r="B124" s="8">
        <v>46221</v>
      </c>
      <c r="C124" s="9">
        <v>0.47592592592592592</v>
      </c>
      <c r="D124" s="7" t="s">
        <v>21</v>
      </c>
      <c r="E124" s="13" t="s">
        <v>35</v>
      </c>
      <c r="F124" s="16">
        <v>72.539799000000002</v>
      </c>
      <c r="G124" s="129">
        <v>1604.42029</v>
      </c>
      <c r="H124" s="22">
        <v>1</v>
      </c>
      <c r="I124" s="19" t="s">
        <v>38</v>
      </c>
      <c r="J124" s="7" t="s">
        <v>17</v>
      </c>
      <c r="K124" s="16">
        <v>56.925841699999999</v>
      </c>
      <c r="L124" s="16">
        <v>-18.248049000000002</v>
      </c>
      <c r="M124" s="16"/>
      <c r="N124" s="16">
        <v>67.358662699999996</v>
      </c>
      <c r="O124" s="16"/>
      <c r="P124" s="16">
        <v>9</v>
      </c>
      <c r="Q124" s="16">
        <v>0.84511535999999998</v>
      </c>
      <c r="R124" s="16">
        <v>1.5641808500000001</v>
      </c>
      <c r="S124" s="16">
        <v>105.361133</v>
      </c>
      <c r="T124" s="16">
        <v>0.54029258999999996</v>
      </c>
    </row>
    <row r="125" spans="1:20" x14ac:dyDescent="0.2">
      <c r="A125">
        <v>1022</v>
      </c>
      <c r="B125" s="8">
        <v>46221</v>
      </c>
      <c r="C125" s="9">
        <v>0.47615740740740742</v>
      </c>
      <c r="D125" s="7" t="s">
        <v>21</v>
      </c>
      <c r="E125" s="13" t="s">
        <v>53</v>
      </c>
      <c r="F125" s="16">
        <v>70.300721199999998</v>
      </c>
      <c r="G125" s="129">
        <v>1977.07727</v>
      </c>
      <c r="H125" s="22">
        <v>0</v>
      </c>
      <c r="I125" s="19"/>
      <c r="J125" s="7" t="s">
        <v>17</v>
      </c>
      <c r="K125" s="16"/>
      <c r="L125" s="16"/>
      <c r="M125" s="16"/>
      <c r="N125" s="16"/>
      <c r="O125" s="16"/>
      <c r="P125" s="16"/>
      <c r="Q125" s="16"/>
      <c r="R125" s="16"/>
      <c r="S125" s="16"/>
      <c r="T125" s="16"/>
    </row>
    <row r="126" spans="1:20" x14ac:dyDescent="0.2">
      <c r="A126">
        <v>1023</v>
      </c>
      <c r="B126" s="8">
        <v>46221</v>
      </c>
      <c r="C126" s="9">
        <v>0.4763425925925926</v>
      </c>
      <c r="D126" s="7" t="s">
        <v>21</v>
      </c>
      <c r="E126" s="13" t="s">
        <v>37</v>
      </c>
      <c r="F126" s="16">
        <v>72.523918600000002</v>
      </c>
      <c r="G126" s="129">
        <v>2278.32861</v>
      </c>
      <c r="H126" s="22">
        <v>0</v>
      </c>
      <c r="I126" s="19"/>
      <c r="J126" s="7" t="s">
        <v>17</v>
      </c>
      <c r="K126" s="16"/>
      <c r="L126" s="16"/>
      <c r="M126" s="16"/>
      <c r="N126" s="16"/>
      <c r="O126" s="16"/>
      <c r="P126" s="16"/>
      <c r="Q126" s="16"/>
      <c r="R126" s="16"/>
      <c r="S126" s="16"/>
      <c r="T126" s="16"/>
    </row>
    <row r="127" spans="1:20" x14ac:dyDescent="0.2">
      <c r="A127">
        <v>1024</v>
      </c>
      <c r="B127" s="8">
        <v>46221</v>
      </c>
      <c r="C127" s="9">
        <v>0.47650462962962964</v>
      </c>
      <c r="D127" s="7" t="s">
        <v>21</v>
      </c>
      <c r="E127" s="13" t="s">
        <v>53</v>
      </c>
      <c r="F127" s="16">
        <v>70.316601399999996</v>
      </c>
      <c r="G127" s="129">
        <v>1908.25793</v>
      </c>
      <c r="H127" s="22">
        <v>1</v>
      </c>
      <c r="I127" s="19" t="s">
        <v>40</v>
      </c>
      <c r="J127" s="7" t="s">
        <v>17</v>
      </c>
      <c r="K127" s="16">
        <v>89.593850399999994</v>
      </c>
      <c r="L127" s="16">
        <v>-1.9705193999999999</v>
      </c>
      <c r="M127" s="16">
        <v>-25.069544</v>
      </c>
      <c r="N127" s="16">
        <v>63.323868099999999</v>
      </c>
      <c r="O127" s="16">
        <v>2172.0007300000002</v>
      </c>
      <c r="P127" s="16">
        <v>34</v>
      </c>
      <c r="Q127" s="16">
        <v>1.41485119</v>
      </c>
      <c r="R127" s="16">
        <v>1.5832552900000001</v>
      </c>
      <c r="S127" s="16">
        <v>100.25785</v>
      </c>
      <c r="T127" s="16">
        <v>0.89363426000000001</v>
      </c>
    </row>
    <row r="128" spans="1:20" x14ac:dyDescent="0.2">
      <c r="A128">
        <v>1042</v>
      </c>
      <c r="B128" s="8">
        <v>46221</v>
      </c>
      <c r="C128" s="9">
        <v>0.48369212962962965</v>
      </c>
      <c r="D128" s="7" t="s">
        <v>27</v>
      </c>
      <c r="E128" s="13" t="s">
        <v>33</v>
      </c>
      <c r="F128" s="16">
        <v>78.113672899999997</v>
      </c>
      <c r="G128" s="129">
        <v>1978.3866</v>
      </c>
      <c r="H128" s="22">
        <v>0</v>
      </c>
      <c r="I128" s="19"/>
      <c r="J128" s="7" t="s">
        <v>17</v>
      </c>
      <c r="K128" s="16"/>
      <c r="L128" s="16"/>
      <c r="M128" s="16"/>
      <c r="N128" s="16"/>
      <c r="O128" s="16"/>
      <c r="P128" s="16"/>
      <c r="Q128" s="16"/>
      <c r="R128" s="16"/>
      <c r="S128" s="16"/>
      <c r="T128" s="16"/>
    </row>
    <row r="129" spans="1:20" x14ac:dyDescent="0.2">
      <c r="A129">
        <v>1043</v>
      </c>
      <c r="B129" s="8">
        <v>46221</v>
      </c>
      <c r="C129" s="9">
        <v>0.48393518518518519</v>
      </c>
      <c r="D129" s="7" t="s">
        <v>27</v>
      </c>
      <c r="E129" s="13" t="s">
        <v>33</v>
      </c>
      <c r="F129" s="16">
        <v>78.193074800000005</v>
      </c>
      <c r="G129" s="129">
        <v>2086.7085000000002</v>
      </c>
      <c r="H129" s="22">
        <v>0</v>
      </c>
      <c r="I129" s="19"/>
      <c r="J129" s="7" t="s">
        <v>17</v>
      </c>
      <c r="K129" s="16"/>
      <c r="L129" s="16"/>
      <c r="M129" s="16"/>
      <c r="N129" s="16"/>
      <c r="O129" s="16"/>
      <c r="P129" s="16"/>
      <c r="Q129" s="16"/>
      <c r="R129" s="16"/>
      <c r="S129" s="16"/>
      <c r="T129" s="16"/>
    </row>
    <row r="130" spans="1:20" x14ac:dyDescent="0.2">
      <c r="A130">
        <v>1044</v>
      </c>
      <c r="B130" s="8">
        <v>46221</v>
      </c>
      <c r="C130" s="9">
        <v>0.48418981481481482</v>
      </c>
      <c r="D130" s="7" t="s">
        <v>27</v>
      </c>
      <c r="E130" s="13" t="s">
        <v>33</v>
      </c>
      <c r="F130" s="16">
        <v>77.414954800000004</v>
      </c>
      <c r="G130" s="129">
        <v>2057.3752399999998</v>
      </c>
      <c r="H130" s="22">
        <v>1</v>
      </c>
      <c r="I130" s="19" t="s">
        <v>38</v>
      </c>
      <c r="J130" s="7" t="s">
        <v>17</v>
      </c>
      <c r="K130" s="16"/>
      <c r="L130" s="16"/>
      <c r="M130" s="16"/>
      <c r="N130" s="16">
        <v>62.819515799999998</v>
      </c>
      <c r="O130" s="16"/>
      <c r="P130" s="16"/>
      <c r="Q130" s="16"/>
      <c r="R130" s="16"/>
      <c r="S130" s="16"/>
      <c r="T130" s="16"/>
    </row>
    <row r="131" spans="1:20" x14ac:dyDescent="0.2">
      <c r="A131">
        <v>1045</v>
      </c>
      <c r="B131" s="8">
        <v>46221</v>
      </c>
      <c r="C131" s="9">
        <v>0.48445601851851849</v>
      </c>
      <c r="D131" s="7" t="s">
        <v>27</v>
      </c>
      <c r="E131" s="13"/>
      <c r="F131" s="16">
        <v>69.935481699999997</v>
      </c>
      <c r="G131" s="129">
        <v>2080.3361799999998</v>
      </c>
      <c r="H131" s="22">
        <v>0</v>
      </c>
      <c r="I131" s="19"/>
      <c r="J131" s="7" t="s">
        <v>17</v>
      </c>
      <c r="K131" s="16"/>
      <c r="L131" s="16"/>
      <c r="M131" s="16"/>
      <c r="N131" s="16"/>
      <c r="O131" s="16"/>
      <c r="P131" s="16"/>
      <c r="Q131" s="16"/>
      <c r="R131" s="16"/>
      <c r="S131" s="16"/>
      <c r="T131" s="16"/>
    </row>
    <row r="132" spans="1:20" x14ac:dyDescent="0.2">
      <c r="A132">
        <v>1046</v>
      </c>
      <c r="B132" s="8">
        <v>46221</v>
      </c>
      <c r="C132" s="9">
        <v>0.48475694444444445</v>
      </c>
      <c r="D132" s="7" t="s">
        <v>27</v>
      </c>
      <c r="E132" s="13" t="s">
        <v>33</v>
      </c>
      <c r="F132" s="16">
        <v>75.652280700000006</v>
      </c>
      <c r="G132" s="129">
        <v>2001.24353</v>
      </c>
      <c r="H132" s="22">
        <v>1</v>
      </c>
      <c r="I132" s="19" t="s">
        <v>38</v>
      </c>
      <c r="J132" s="7" t="s">
        <v>17</v>
      </c>
      <c r="K132" s="16"/>
      <c r="L132" s="16"/>
      <c r="M132" s="16"/>
      <c r="N132" s="16">
        <v>66.405999699999995</v>
      </c>
      <c r="O132" s="16"/>
      <c r="P132" s="16"/>
      <c r="Q132" s="16"/>
      <c r="R132" s="16"/>
      <c r="S132" s="16"/>
      <c r="T132" s="16"/>
    </row>
    <row r="133" spans="1:20" x14ac:dyDescent="0.2">
      <c r="A133">
        <v>1047</v>
      </c>
      <c r="B133" s="8">
        <v>46221</v>
      </c>
      <c r="C133" s="9">
        <v>0.48508101851851854</v>
      </c>
      <c r="D133" s="7" t="s">
        <v>27</v>
      </c>
      <c r="E133" s="13" t="s">
        <v>33</v>
      </c>
      <c r="F133" s="16">
        <v>76.033398700000006</v>
      </c>
      <c r="G133" s="129">
        <v>2013.0208700000001</v>
      </c>
      <c r="H133" s="22">
        <v>1</v>
      </c>
      <c r="I133" s="19" t="s">
        <v>40</v>
      </c>
      <c r="J133" s="7" t="s">
        <v>17</v>
      </c>
      <c r="K133" s="16">
        <v>80.569094000000007</v>
      </c>
      <c r="L133" s="16">
        <v>-1.3777686</v>
      </c>
      <c r="M133" s="16">
        <v>-23.506079</v>
      </c>
      <c r="N133" s="16">
        <v>67.022427699999994</v>
      </c>
      <c r="O133" s="16"/>
      <c r="P133" s="16">
        <v>32</v>
      </c>
      <c r="Q133" s="16">
        <v>1.2021213799999999</v>
      </c>
      <c r="R133" s="16">
        <v>1.5832932</v>
      </c>
      <c r="S133" s="16">
        <v>106.116153</v>
      </c>
      <c r="T133" s="16">
        <v>0.75925377000000005</v>
      </c>
    </row>
    <row r="134" spans="1:20" x14ac:dyDescent="0.2">
      <c r="A134">
        <v>1060</v>
      </c>
      <c r="B134" s="8">
        <v>46221</v>
      </c>
      <c r="C134" s="9">
        <v>0.4896064814814815</v>
      </c>
      <c r="D134" s="7" t="s">
        <v>21</v>
      </c>
      <c r="E134" s="13" t="s">
        <v>33</v>
      </c>
      <c r="F134" s="16">
        <v>84.989710000000002</v>
      </c>
      <c r="G134" s="129">
        <v>2234.0947299999998</v>
      </c>
      <c r="H134" s="22">
        <v>0</v>
      </c>
      <c r="I134" s="19"/>
      <c r="J134" s="7" t="s">
        <v>17</v>
      </c>
      <c r="K134" s="16"/>
      <c r="L134" s="16"/>
      <c r="M134" s="16"/>
      <c r="N134" s="16"/>
      <c r="O134" s="16"/>
      <c r="P134" s="16"/>
      <c r="Q134" s="16"/>
      <c r="R134" s="16"/>
      <c r="S134" s="16"/>
      <c r="T134" s="16"/>
    </row>
    <row r="135" spans="1:20" x14ac:dyDescent="0.2">
      <c r="A135">
        <v>1061</v>
      </c>
      <c r="B135" s="8">
        <v>46221</v>
      </c>
      <c r="C135" s="9">
        <v>0.48982638888888891</v>
      </c>
      <c r="D135" s="7" t="s">
        <v>21</v>
      </c>
      <c r="E135" s="13" t="s">
        <v>37</v>
      </c>
      <c r="F135" s="16">
        <v>71.444080499999998</v>
      </c>
      <c r="G135" s="129">
        <v>735.95764199999996</v>
      </c>
      <c r="H135" s="22">
        <v>1</v>
      </c>
      <c r="I135" s="19" t="s">
        <v>38</v>
      </c>
      <c r="J135" s="7" t="s">
        <v>17</v>
      </c>
      <c r="K135" s="16"/>
      <c r="L135" s="16"/>
      <c r="M135" s="16"/>
      <c r="N135" s="16">
        <v>68.815669700000001</v>
      </c>
      <c r="O135" s="16"/>
      <c r="P135" s="16"/>
      <c r="Q135" s="16"/>
      <c r="R135" s="16"/>
      <c r="S135" s="16"/>
      <c r="T135" s="16"/>
    </row>
    <row r="136" spans="1:20" x14ac:dyDescent="0.2">
      <c r="A136">
        <v>1062</v>
      </c>
      <c r="B136" s="8">
        <v>46221</v>
      </c>
      <c r="C136" s="9">
        <v>0.49015046296296294</v>
      </c>
      <c r="D136" s="7" t="s">
        <v>21</v>
      </c>
      <c r="E136" s="13" t="s">
        <v>53</v>
      </c>
      <c r="F136" s="16">
        <v>71.444080499999998</v>
      </c>
      <c r="G136" s="129">
        <v>2033.81152</v>
      </c>
      <c r="H136" s="22">
        <v>1</v>
      </c>
      <c r="I136" s="19" t="s">
        <v>38</v>
      </c>
      <c r="J136" s="7" t="s">
        <v>17</v>
      </c>
      <c r="K136" s="16"/>
      <c r="L136" s="16"/>
      <c r="M136" s="16"/>
      <c r="N136" s="16">
        <v>64.780875100000003</v>
      </c>
      <c r="O136" s="16"/>
      <c r="P136" s="16"/>
      <c r="Q136" s="16"/>
      <c r="R136" s="16"/>
      <c r="S136" s="16"/>
      <c r="T136" s="16"/>
    </row>
    <row r="137" spans="1:20" x14ac:dyDescent="0.2">
      <c r="A137">
        <v>1063</v>
      </c>
      <c r="B137" s="8">
        <v>46221</v>
      </c>
      <c r="C137" s="9">
        <v>0.49040509259259257</v>
      </c>
      <c r="D137" s="7" t="s">
        <v>21</v>
      </c>
      <c r="E137" s="13" t="s">
        <v>37</v>
      </c>
      <c r="F137" s="16">
        <v>73.159115400000005</v>
      </c>
      <c r="G137" s="129">
        <v>1507.99109</v>
      </c>
      <c r="H137" s="22">
        <v>1</v>
      </c>
      <c r="I137" s="19" t="s">
        <v>45</v>
      </c>
      <c r="J137" s="7" t="s">
        <v>17</v>
      </c>
      <c r="K137" s="16"/>
      <c r="L137" s="16"/>
      <c r="M137" s="16"/>
      <c r="N137" s="16">
        <v>64.108409399999999</v>
      </c>
      <c r="O137" s="16"/>
      <c r="P137" s="16"/>
      <c r="Q137" s="16"/>
      <c r="R137" s="16"/>
      <c r="S137" s="16"/>
      <c r="T137" s="16"/>
    </row>
    <row r="138" spans="1:20" x14ac:dyDescent="0.2">
      <c r="A138">
        <v>1101</v>
      </c>
      <c r="B138" s="1">
        <v>46224</v>
      </c>
      <c r="C138" s="2">
        <v>0.7490162037037037</v>
      </c>
      <c r="D138" t="s">
        <v>28</v>
      </c>
      <c r="E138" s="10" t="s">
        <v>35</v>
      </c>
      <c r="F138" s="11">
        <v>72.575885970000002</v>
      </c>
      <c r="G138" s="4">
        <v>1572.58313</v>
      </c>
      <c r="H138" s="20">
        <v>0</v>
      </c>
      <c r="J138" t="s">
        <v>17</v>
      </c>
    </row>
    <row r="139" spans="1:20" x14ac:dyDescent="0.2">
      <c r="A139">
        <v>1102</v>
      </c>
      <c r="B139" s="1">
        <v>46224</v>
      </c>
      <c r="C139" s="2">
        <v>0.7492361111111111</v>
      </c>
      <c r="D139" t="s">
        <v>28</v>
      </c>
      <c r="E139" s="10" t="s">
        <v>37</v>
      </c>
      <c r="F139" s="11">
        <v>70.987095913000005</v>
      </c>
      <c r="G139" s="4">
        <v>2391.8217800000002</v>
      </c>
      <c r="H139" s="20">
        <v>1</v>
      </c>
      <c r="J139" t="s">
        <v>17</v>
      </c>
    </row>
    <row r="140" spans="1:20" x14ac:dyDescent="0.2">
      <c r="A140">
        <v>1103</v>
      </c>
      <c r="B140" s="1">
        <v>46224</v>
      </c>
      <c r="C140" s="2">
        <v>0.74942129629629628</v>
      </c>
      <c r="D140" t="s">
        <v>28</v>
      </c>
      <c r="E140" s="10" t="s">
        <v>37</v>
      </c>
      <c r="F140" s="11">
        <v>69.064660810999996</v>
      </c>
      <c r="G140" s="4">
        <v>2363.1193800000001</v>
      </c>
      <c r="H140" s="20">
        <v>1</v>
      </c>
      <c r="I140" s="17" t="s">
        <v>39</v>
      </c>
      <c r="J140" t="s">
        <v>17</v>
      </c>
      <c r="N140" s="11">
        <v>57.750053751999999</v>
      </c>
    </row>
    <row r="141" spans="1:20" x14ac:dyDescent="0.2">
      <c r="A141">
        <v>1104</v>
      </c>
      <c r="B141" s="1">
        <v>46224</v>
      </c>
      <c r="C141" s="2">
        <v>0.74966435185185187</v>
      </c>
      <c r="D141" t="s">
        <v>28</v>
      </c>
      <c r="E141" s="10" t="s">
        <v>37</v>
      </c>
      <c r="F141" s="11">
        <v>71.813262366999993</v>
      </c>
      <c r="G141" s="4">
        <v>2434.8120100000001</v>
      </c>
      <c r="H141" s="20">
        <v>1</v>
      </c>
      <c r="I141" s="17" t="s">
        <v>45</v>
      </c>
      <c r="J141" t="s">
        <v>17</v>
      </c>
      <c r="N141" s="11">
        <v>53.568543247999997</v>
      </c>
    </row>
    <row r="142" spans="1:20" x14ac:dyDescent="0.2">
      <c r="A142">
        <v>1141</v>
      </c>
      <c r="B142" s="1">
        <v>46224</v>
      </c>
      <c r="C142" s="2">
        <v>0.76414351851851847</v>
      </c>
      <c r="D142" t="s">
        <v>28</v>
      </c>
      <c r="E142" s="10" t="s">
        <v>33</v>
      </c>
      <c r="F142" s="11">
        <v>75.054397859999995</v>
      </c>
      <c r="G142" s="4">
        <v>1993.2110600000001</v>
      </c>
      <c r="H142" s="20">
        <v>0</v>
      </c>
      <c r="J142" t="s">
        <v>17</v>
      </c>
    </row>
    <row r="143" spans="1:20" x14ac:dyDescent="0.2">
      <c r="A143">
        <v>1142</v>
      </c>
      <c r="B143" s="1">
        <v>46224</v>
      </c>
      <c r="C143" s="2">
        <v>0.76495370370370375</v>
      </c>
      <c r="D143" t="s">
        <v>28</v>
      </c>
      <c r="E143" s="10" t="s">
        <v>33</v>
      </c>
      <c r="F143" s="11">
        <v>73.274954195000007</v>
      </c>
      <c r="G143" s="4">
        <v>1828.2680700000001</v>
      </c>
      <c r="H143" s="20">
        <v>1</v>
      </c>
      <c r="I143" s="17" t="s">
        <v>40</v>
      </c>
      <c r="J143" t="s">
        <v>17</v>
      </c>
      <c r="K143" s="11">
        <v>90.501496326999998</v>
      </c>
      <c r="L143" s="11">
        <v>32.325782799999999</v>
      </c>
      <c r="M143" s="11">
        <v>3.0994250800000001</v>
      </c>
      <c r="N143" s="11">
        <v>64.926430768000003</v>
      </c>
      <c r="O143" s="11">
        <v>1624.6035199999999</v>
      </c>
      <c r="P143" s="11">
        <v>327</v>
      </c>
      <c r="Q143" s="11">
        <v>1.3939083800000001</v>
      </c>
      <c r="R143" s="11">
        <v>1.58380151</v>
      </c>
      <c r="S143" s="11">
        <v>102.830576902</v>
      </c>
      <c r="T143" s="11">
        <v>0.88010292099999998</v>
      </c>
    </row>
    <row r="144" spans="1:20" x14ac:dyDescent="0.2">
      <c r="A144">
        <v>1181</v>
      </c>
      <c r="B144" s="1">
        <v>46224</v>
      </c>
      <c r="C144" s="2">
        <v>0.78045138888888888</v>
      </c>
      <c r="D144" t="s">
        <v>28</v>
      </c>
      <c r="E144" s="10" t="s">
        <v>33</v>
      </c>
      <c r="F144" s="11">
        <v>73.974022196000007</v>
      </c>
      <c r="G144" s="4">
        <v>2115.4880400000002</v>
      </c>
      <c r="H144" s="20">
        <v>1</v>
      </c>
      <c r="I144" s="17" t="s">
        <v>40</v>
      </c>
      <c r="J144" t="s">
        <v>17</v>
      </c>
      <c r="K144" s="11">
        <v>96.841979124000005</v>
      </c>
      <c r="L144" s="11">
        <v>4.7069478</v>
      </c>
      <c r="M144" s="11">
        <v>-7.7781424499999998</v>
      </c>
      <c r="N144" s="11">
        <v>63.739786551000002</v>
      </c>
      <c r="O144" s="11">
        <v>1672.6536900000001</v>
      </c>
      <c r="P144" s="11">
        <v>128</v>
      </c>
      <c r="Q144" s="11">
        <v>1.5193332399999999</v>
      </c>
      <c r="R144" s="11">
        <v>1.5971480600000001</v>
      </c>
      <c r="S144" s="11">
        <v>101.80187848600001</v>
      </c>
      <c r="T144" s="11">
        <v>0.95127891499999995</v>
      </c>
    </row>
    <row r="145" spans="1:20" x14ac:dyDescent="0.2">
      <c r="A145">
        <v>1236</v>
      </c>
      <c r="B145" s="1">
        <v>46228</v>
      </c>
      <c r="C145" s="2">
        <v>0.44243055555555555</v>
      </c>
      <c r="D145" t="s">
        <v>18</v>
      </c>
      <c r="E145" s="10" t="s">
        <v>33</v>
      </c>
      <c r="F145" s="11">
        <v>84.036914807000002</v>
      </c>
      <c r="G145" s="4">
        <v>1152.67383</v>
      </c>
      <c r="H145" s="20">
        <v>0</v>
      </c>
      <c r="J145" t="s">
        <v>17</v>
      </c>
      <c r="T145" s="14"/>
    </row>
    <row r="146" spans="1:20" x14ac:dyDescent="0.2">
      <c r="A146">
        <v>1237</v>
      </c>
      <c r="B146" s="1">
        <v>46228</v>
      </c>
      <c r="C146" s="2">
        <v>0.44260416666666669</v>
      </c>
      <c r="D146" t="s">
        <v>18</v>
      </c>
      <c r="E146" s="10" t="s">
        <v>37</v>
      </c>
      <c r="F146" s="11">
        <v>72.015764578000002</v>
      </c>
      <c r="G146" s="4">
        <v>717.45245399999999</v>
      </c>
      <c r="H146" s="20">
        <v>1</v>
      </c>
      <c r="I146" s="17" t="s">
        <v>39</v>
      </c>
      <c r="J146" t="s">
        <v>17</v>
      </c>
      <c r="N146" s="11">
        <v>62.276319938</v>
      </c>
      <c r="T146" s="14"/>
    </row>
    <row r="147" spans="1:20" x14ac:dyDescent="0.2">
      <c r="A147">
        <v>1238</v>
      </c>
      <c r="B147" s="1">
        <v>46228</v>
      </c>
      <c r="C147" s="2">
        <v>0.44282407407407409</v>
      </c>
      <c r="D147" t="s">
        <v>18</v>
      </c>
      <c r="E147" s="10" t="s">
        <v>33</v>
      </c>
      <c r="F147" s="11">
        <v>84.148077103999995</v>
      </c>
      <c r="G147" s="4">
        <v>1100.81458</v>
      </c>
      <c r="H147" s="20">
        <v>1</v>
      </c>
      <c r="J147" t="s">
        <v>17</v>
      </c>
      <c r="T147" s="14"/>
    </row>
    <row r="148" spans="1:20" x14ac:dyDescent="0.2">
      <c r="A148">
        <v>1239</v>
      </c>
      <c r="B148" s="1">
        <v>46228</v>
      </c>
      <c r="C148" s="2">
        <v>0.4430324074074074</v>
      </c>
      <c r="D148" t="s">
        <v>18</v>
      </c>
      <c r="E148" s="10" t="s">
        <v>37</v>
      </c>
      <c r="F148" s="11">
        <v>71.650516549000002</v>
      </c>
      <c r="G148" s="4">
        <v>2125.56421</v>
      </c>
      <c r="H148" s="20">
        <v>0</v>
      </c>
      <c r="J148" t="s">
        <v>17</v>
      </c>
      <c r="T148" s="14"/>
    </row>
    <row r="149" spans="1:20" x14ac:dyDescent="0.2">
      <c r="A149">
        <v>1240</v>
      </c>
      <c r="B149" s="1">
        <v>46228</v>
      </c>
      <c r="C149" s="2">
        <v>0.44324074074074077</v>
      </c>
      <c r="D149" t="s">
        <v>18</v>
      </c>
      <c r="E149" s="10" t="s">
        <v>37</v>
      </c>
      <c r="F149" s="11">
        <v>72.460396767000006</v>
      </c>
      <c r="G149" s="4">
        <v>2073.18579</v>
      </c>
      <c r="H149" s="20">
        <v>1</v>
      </c>
      <c r="I149" s="17" t="s">
        <v>45</v>
      </c>
      <c r="J149" t="s">
        <v>17</v>
      </c>
      <c r="N149" s="11">
        <v>53.077707369000002</v>
      </c>
      <c r="T149" s="14"/>
    </row>
    <row r="150" spans="1:20" x14ac:dyDescent="0.2">
      <c r="A150">
        <v>1264</v>
      </c>
      <c r="B150" s="1">
        <v>46228</v>
      </c>
      <c r="C150" s="2">
        <v>0.45186342592592593</v>
      </c>
      <c r="D150" t="s">
        <v>21</v>
      </c>
      <c r="E150" s="10" t="s">
        <v>54</v>
      </c>
      <c r="F150" s="11">
        <v>75.461714602000001</v>
      </c>
      <c r="G150" s="4">
        <v>1888.1883499999999</v>
      </c>
      <c r="H150" s="20">
        <v>0</v>
      </c>
      <c r="J150" t="s">
        <v>17</v>
      </c>
      <c r="T150" s="14"/>
    </row>
    <row r="151" spans="1:20" x14ac:dyDescent="0.2">
      <c r="A151">
        <v>1265</v>
      </c>
      <c r="B151" s="1">
        <v>46228</v>
      </c>
      <c r="C151" s="2">
        <v>0.45202546296296298</v>
      </c>
      <c r="D151" t="s">
        <v>21</v>
      </c>
      <c r="E151" s="10" t="s">
        <v>37</v>
      </c>
      <c r="F151" s="11">
        <v>70.380122790000001</v>
      </c>
      <c r="G151" s="4">
        <v>2138.2770999999998</v>
      </c>
      <c r="H151" s="20">
        <v>0</v>
      </c>
      <c r="J151" t="s">
        <v>17</v>
      </c>
      <c r="T151" s="14"/>
    </row>
    <row r="152" spans="1:20" x14ac:dyDescent="0.2">
      <c r="A152">
        <v>1266</v>
      </c>
      <c r="B152" s="1">
        <v>46228</v>
      </c>
      <c r="C152" s="2">
        <v>0.45219907407407406</v>
      </c>
      <c r="D152" t="s">
        <v>21</v>
      </c>
      <c r="E152" s="10" t="s">
        <v>33</v>
      </c>
      <c r="F152" s="11">
        <v>81.750195796</v>
      </c>
      <c r="G152" s="4">
        <v>1096.9904799999999</v>
      </c>
      <c r="H152" s="20">
        <v>0</v>
      </c>
      <c r="J152" t="s">
        <v>17</v>
      </c>
      <c r="T152" s="14"/>
    </row>
    <row r="153" spans="1:20" x14ac:dyDescent="0.2">
      <c r="A153">
        <v>1267</v>
      </c>
      <c r="B153" s="1">
        <v>46228</v>
      </c>
      <c r="C153" s="2">
        <v>0.4523726851851852</v>
      </c>
      <c r="D153" t="s">
        <v>21</v>
      </c>
      <c r="E153" s="10" t="s">
        <v>33</v>
      </c>
      <c r="F153" s="11">
        <v>80.543315136999993</v>
      </c>
      <c r="G153" s="4">
        <v>2204.3063999999999</v>
      </c>
      <c r="H153" s="20">
        <v>1</v>
      </c>
      <c r="I153" s="17" t="s">
        <v>40</v>
      </c>
      <c r="J153" t="s">
        <v>17</v>
      </c>
      <c r="K153" s="11">
        <v>78.018817659000007</v>
      </c>
      <c r="L153" s="11">
        <v>63.434036300000002</v>
      </c>
      <c r="M153" s="11">
        <v>2.24701452</v>
      </c>
      <c r="N153" s="11">
        <v>65.875778577000005</v>
      </c>
      <c r="O153" s="11">
        <v>4825.8500000000004</v>
      </c>
      <c r="P153" s="11">
        <v>222</v>
      </c>
      <c r="Q153" s="11">
        <v>1.1843323699999999</v>
      </c>
      <c r="R153" s="11">
        <v>1.60962725</v>
      </c>
      <c r="S153" s="11">
        <v>106.03544607000001</v>
      </c>
      <c r="T153" s="14">
        <v>0.73578048699999998</v>
      </c>
    </row>
    <row r="154" spans="1:20" x14ac:dyDescent="0.2">
      <c r="A154">
        <v>1290</v>
      </c>
      <c r="B154" s="1">
        <v>46228</v>
      </c>
      <c r="C154" s="2">
        <v>0.46292824074074074</v>
      </c>
      <c r="D154" t="s">
        <v>18</v>
      </c>
      <c r="E154" s="10" t="s">
        <v>37</v>
      </c>
      <c r="F154" s="11">
        <v>74.445398073999996</v>
      </c>
      <c r="G154" s="4">
        <v>2149.8376499999999</v>
      </c>
      <c r="H154" s="20">
        <v>1</v>
      </c>
      <c r="J154" t="s">
        <v>17</v>
      </c>
      <c r="T154" s="14"/>
    </row>
    <row r="155" spans="1:20" x14ac:dyDescent="0.2">
      <c r="A155">
        <v>1291</v>
      </c>
      <c r="B155" s="1">
        <v>46228</v>
      </c>
      <c r="C155" s="2">
        <v>0.46314814814814814</v>
      </c>
      <c r="D155" t="s">
        <v>18</v>
      </c>
      <c r="E155" s="10" t="s">
        <v>37</v>
      </c>
      <c r="F155" s="11">
        <v>74.381876696999996</v>
      </c>
      <c r="G155" s="4">
        <v>2223.81104</v>
      </c>
      <c r="H155" s="20">
        <v>1</v>
      </c>
      <c r="I155" s="17" t="s">
        <v>39</v>
      </c>
      <c r="J155" t="s">
        <v>17</v>
      </c>
      <c r="N155" s="11">
        <v>68.218279390000006</v>
      </c>
      <c r="T155" s="133"/>
    </row>
    <row r="156" spans="1:20" x14ac:dyDescent="0.2">
      <c r="A156">
        <v>1292</v>
      </c>
      <c r="B156" s="1">
        <v>46228</v>
      </c>
      <c r="C156" s="2">
        <v>0.46428240740740739</v>
      </c>
      <c r="D156" t="s">
        <v>18</v>
      </c>
      <c r="E156" s="10" t="s">
        <v>37</v>
      </c>
      <c r="F156" s="11">
        <v>73.746679705999995</v>
      </c>
      <c r="G156" s="4">
        <v>1071.3713399999999</v>
      </c>
      <c r="H156" s="20">
        <v>0</v>
      </c>
      <c r="J156" t="s">
        <v>17</v>
      </c>
      <c r="T156" s="14"/>
    </row>
    <row r="157" spans="1:20" x14ac:dyDescent="0.2">
      <c r="A157">
        <v>1293</v>
      </c>
      <c r="B157" s="1">
        <v>46228</v>
      </c>
      <c r="C157" s="2">
        <v>0.46468749999999998</v>
      </c>
      <c r="D157" t="s">
        <v>18</v>
      </c>
      <c r="E157" s="10" t="s">
        <v>36</v>
      </c>
      <c r="F157" s="11">
        <v>76.541561231000003</v>
      </c>
      <c r="G157" s="4">
        <v>2205.4997600000002</v>
      </c>
      <c r="H157" s="20">
        <v>1</v>
      </c>
      <c r="I157" s="17" t="s">
        <v>40</v>
      </c>
      <c r="J157" t="s">
        <v>17</v>
      </c>
      <c r="K157" s="11">
        <v>86.799924691000001</v>
      </c>
      <c r="L157" s="11">
        <v>33.321250900000003</v>
      </c>
      <c r="M157" s="11">
        <v>14.5669184</v>
      </c>
      <c r="N157" s="11">
        <v>61.647842926999999</v>
      </c>
      <c r="O157" s="11">
        <v>2589.8947800000001</v>
      </c>
      <c r="P157" s="11">
        <v>315</v>
      </c>
      <c r="Q157" s="11">
        <v>1.40799618</v>
      </c>
      <c r="R157" s="11">
        <v>1.6228478</v>
      </c>
      <c r="S157" s="11">
        <v>100.045073284</v>
      </c>
      <c r="T157" s="14">
        <v>0.86760818500000003</v>
      </c>
    </row>
    <row r="158" spans="1:20" x14ac:dyDescent="0.2">
      <c r="A158">
        <v>1313</v>
      </c>
      <c r="B158" s="1">
        <v>46228</v>
      </c>
      <c r="C158" s="2">
        <v>0.47476851851851853</v>
      </c>
      <c r="D158" t="s">
        <v>18</v>
      </c>
      <c r="E158" s="10" t="s">
        <v>36</v>
      </c>
      <c r="F158" s="11">
        <v>77.796074532999995</v>
      </c>
      <c r="G158" s="4">
        <v>2142.0302700000002</v>
      </c>
      <c r="H158" s="20">
        <v>0</v>
      </c>
      <c r="J158" t="s">
        <v>17</v>
      </c>
      <c r="T158" s="14"/>
    </row>
    <row r="159" spans="1:20" x14ac:dyDescent="0.2">
      <c r="A159">
        <v>1314</v>
      </c>
      <c r="B159" s="1">
        <v>46228</v>
      </c>
      <c r="C159" s="2">
        <v>0.47498842592592594</v>
      </c>
      <c r="D159" t="s">
        <v>18</v>
      </c>
      <c r="E159" s="10" t="s">
        <v>33</v>
      </c>
      <c r="F159" s="11">
        <v>82.893555301000006</v>
      </c>
      <c r="G159" s="4">
        <v>2236.9081999999999</v>
      </c>
      <c r="H159" s="20">
        <v>0</v>
      </c>
      <c r="J159" t="s">
        <v>17</v>
      </c>
      <c r="T159" s="14"/>
    </row>
    <row r="160" spans="1:20" x14ac:dyDescent="0.2">
      <c r="A160">
        <v>1315</v>
      </c>
      <c r="B160" s="1">
        <v>46228</v>
      </c>
      <c r="C160" s="2">
        <v>0.47524305555555557</v>
      </c>
      <c r="D160" t="s">
        <v>18</v>
      </c>
      <c r="E160" s="10" t="s">
        <v>37</v>
      </c>
      <c r="F160" s="11">
        <v>72.142798830999993</v>
      </c>
      <c r="G160" s="4">
        <v>2069.9580099999998</v>
      </c>
      <c r="H160" s="20">
        <v>1</v>
      </c>
      <c r="J160" t="s">
        <v>17</v>
      </c>
      <c r="T160" s="14"/>
    </row>
    <row r="161" spans="1:20" x14ac:dyDescent="0.2">
      <c r="A161">
        <v>1316</v>
      </c>
      <c r="B161" s="1">
        <v>46228</v>
      </c>
      <c r="C161" s="2">
        <v>0.47548611111111111</v>
      </c>
      <c r="D161" t="s">
        <v>18</v>
      </c>
      <c r="E161" s="10" t="s">
        <v>37</v>
      </c>
      <c r="F161" s="11">
        <v>72.206320207999994</v>
      </c>
      <c r="G161" s="4">
        <v>2079.4482400000002</v>
      </c>
      <c r="H161" s="20">
        <v>0</v>
      </c>
      <c r="J161" t="s">
        <v>17</v>
      </c>
      <c r="T161" s="14"/>
    </row>
    <row r="162" spans="1:20" x14ac:dyDescent="0.2">
      <c r="A162">
        <v>1317</v>
      </c>
      <c r="B162" s="1">
        <v>46228</v>
      </c>
      <c r="C162" s="2">
        <v>0.47570601851851851</v>
      </c>
      <c r="D162" t="s">
        <v>18</v>
      </c>
      <c r="E162" s="10" t="s">
        <v>33</v>
      </c>
      <c r="F162" s="11">
        <v>85.624915449</v>
      </c>
      <c r="G162" s="4">
        <v>1074.9029499999999</v>
      </c>
      <c r="H162" s="20">
        <v>1</v>
      </c>
      <c r="I162" s="17" t="s">
        <v>38</v>
      </c>
      <c r="J162" t="s">
        <v>17</v>
      </c>
      <c r="N162" s="11">
        <v>63.605784913000001</v>
      </c>
      <c r="T162" s="14"/>
    </row>
    <row r="163" spans="1:20" x14ac:dyDescent="0.2">
      <c r="A163">
        <v>1318</v>
      </c>
      <c r="B163" s="1">
        <v>46228</v>
      </c>
      <c r="C163" s="2">
        <v>0.47606481481481483</v>
      </c>
      <c r="D163" t="s">
        <v>18</v>
      </c>
      <c r="E163" s="10" t="s">
        <v>33</v>
      </c>
      <c r="F163" s="11">
        <v>85.402590630000006</v>
      </c>
      <c r="G163" s="4">
        <v>2244.2546400000001</v>
      </c>
      <c r="H163" s="20">
        <v>0</v>
      </c>
      <c r="I163" s="17" t="s">
        <v>48</v>
      </c>
      <c r="J163" t="s">
        <v>17</v>
      </c>
      <c r="T163" s="14"/>
    </row>
    <row r="164" spans="1:20" x14ac:dyDescent="0.2">
      <c r="A164">
        <v>1319</v>
      </c>
      <c r="B164" s="1">
        <v>46228</v>
      </c>
      <c r="C164" s="2">
        <v>0.4763310185185185</v>
      </c>
      <c r="D164" t="s">
        <v>18</v>
      </c>
      <c r="E164" s="10" t="s">
        <v>33</v>
      </c>
      <c r="F164" s="11">
        <v>84.529197088000004</v>
      </c>
      <c r="G164" s="4">
        <v>1104.39636</v>
      </c>
      <c r="H164" s="20">
        <v>1</v>
      </c>
      <c r="I164" s="17" t="s">
        <v>39</v>
      </c>
      <c r="J164" t="s">
        <v>17</v>
      </c>
      <c r="N164" s="11">
        <v>66.504558470000006</v>
      </c>
      <c r="T164" s="14"/>
    </row>
    <row r="165" spans="1:20" x14ac:dyDescent="0.2">
      <c r="A165">
        <v>1338</v>
      </c>
      <c r="B165" s="1">
        <v>46228</v>
      </c>
      <c r="C165" s="2">
        <v>0.48348379629629629</v>
      </c>
      <c r="D165" t="s">
        <v>21</v>
      </c>
      <c r="E165" s="10" t="s">
        <v>54</v>
      </c>
      <c r="F165" s="11">
        <v>76.446279165999997</v>
      </c>
      <c r="G165" s="4">
        <v>1963.6807899999999</v>
      </c>
      <c r="H165" s="20">
        <v>0</v>
      </c>
      <c r="J165" t="s">
        <v>17</v>
      </c>
      <c r="T165" s="14"/>
    </row>
    <row r="166" spans="1:20" x14ac:dyDescent="0.2">
      <c r="A166">
        <v>1339</v>
      </c>
      <c r="B166" s="1">
        <v>46228</v>
      </c>
      <c r="C166" s="2">
        <v>0.48370370370370369</v>
      </c>
      <c r="D166" t="s">
        <v>21</v>
      </c>
      <c r="E166" s="10" t="s">
        <v>37</v>
      </c>
      <c r="F166" s="11">
        <v>75.144116217999994</v>
      </c>
      <c r="G166" s="4">
        <v>2137.27954</v>
      </c>
      <c r="H166" s="20">
        <v>1</v>
      </c>
      <c r="J166" t="s">
        <v>17</v>
      </c>
      <c r="T166" s="14"/>
    </row>
    <row r="167" spans="1:20" x14ac:dyDescent="0.2">
      <c r="A167">
        <v>1340</v>
      </c>
      <c r="B167" s="1">
        <v>46228</v>
      </c>
      <c r="C167" s="2">
        <v>0.48387731481481483</v>
      </c>
      <c r="D167" t="s">
        <v>21</v>
      </c>
      <c r="E167" s="10" t="s">
        <v>35</v>
      </c>
      <c r="F167" s="11">
        <v>74.635962203999995</v>
      </c>
      <c r="G167" s="4">
        <v>1560.7807600000001</v>
      </c>
      <c r="H167" s="20">
        <v>1</v>
      </c>
      <c r="I167" s="17" t="s">
        <v>40</v>
      </c>
      <c r="J167" t="s">
        <v>17</v>
      </c>
      <c r="K167" s="11">
        <v>85.396361210999999</v>
      </c>
      <c r="L167" s="11">
        <v>-8.3572568900000004</v>
      </c>
      <c r="M167" s="11">
        <v>-35.250824000000001</v>
      </c>
      <c r="N167" s="11">
        <v>66.671797174000005</v>
      </c>
      <c r="O167" s="11">
        <v>2072.9606899999999</v>
      </c>
      <c r="P167" s="11">
        <v>14</v>
      </c>
      <c r="Q167" s="11">
        <v>1.28084683</v>
      </c>
      <c r="R167" s="11">
        <v>1.57560682</v>
      </c>
      <c r="S167" s="11">
        <v>105.04854346099999</v>
      </c>
      <c r="T167" s="14">
        <v>0.81292289699999998</v>
      </c>
    </row>
    <row r="168" spans="1:20" x14ac:dyDescent="0.2">
      <c r="A168">
        <v>1365</v>
      </c>
      <c r="B168" s="1">
        <v>46228</v>
      </c>
      <c r="C168" s="2">
        <v>0.49368055555555557</v>
      </c>
      <c r="D168" t="s">
        <v>24</v>
      </c>
      <c r="E168" s="10" t="s">
        <v>33</v>
      </c>
      <c r="F168" s="11">
        <v>83.719316422999995</v>
      </c>
      <c r="G168" s="4">
        <v>2154.1735800000001</v>
      </c>
      <c r="H168" s="20">
        <v>0</v>
      </c>
      <c r="J168" t="s">
        <v>17</v>
      </c>
      <c r="T168" s="14"/>
    </row>
    <row r="169" spans="1:20" x14ac:dyDescent="0.2">
      <c r="A169">
        <v>1366</v>
      </c>
      <c r="B169" s="1">
        <v>46228</v>
      </c>
      <c r="C169" s="2">
        <v>0.49387731481481484</v>
      </c>
      <c r="D169" t="s">
        <v>24</v>
      </c>
      <c r="E169" s="10" t="s">
        <v>49</v>
      </c>
      <c r="F169" s="11">
        <v>66.568924738000007</v>
      </c>
      <c r="G169" s="4">
        <v>1295.0664099999999</v>
      </c>
      <c r="H169" s="20">
        <v>0</v>
      </c>
      <c r="J169" t="s">
        <v>17</v>
      </c>
      <c r="T169" s="14"/>
    </row>
    <row r="170" spans="1:20" x14ac:dyDescent="0.2">
      <c r="A170">
        <v>1367</v>
      </c>
      <c r="B170" s="1">
        <v>46228</v>
      </c>
      <c r="C170" s="2">
        <v>0.49410879629629628</v>
      </c>
      <c r="D170" t="s">
        <v>24</v>
      </c>
      <c r="E170" s="10" t="s">
        <v>33</v>
      </c>
      <c r="F170" s="11">
        <v>82.814153468000001</v>
      </c>
      <c r="G170" s="4">
        <v>2108.3252000000002</v>
      </c>
      <c r="H170" s="20">
        <v>0</v>
      </c>
      <c r="J170" t="s">
        <v>17</v>
      </c>
      <c r="T170" s="14"/>
    </row>
    <row r="171" spans="1:20" x14ac:dyDescent="0.2">
      <c r="A171">
        <v>1368</v>
      </c>
      <c r="B171" s="1">
        <v>46228</v>
      </c>
      <c r="C171" s="2">
        <v>0.49532407407407408</v>
      </c>
      <c r="D171" t="s">
        <v>24</v>
      </c>
      <c r="E171" s="10" t="s">
        <v>33</v>
      </c>
      <c r="F171" s="11">
        <v>82.131315779999994</v>
      </c>
      <c r="G171" s="4">
        <v>2064.4121100000002</v>
      </c>
      <c r="H171" s="20">
        <v>0</v>
      </c>
      <c r="I171" s="17" t="s">
        <v>48</v>
      </c>
      <c r="J171" t="s">
        <v>17</v>
      </c>
      <c r="T171" s="14"/>
    </row>
    <row r="172" spans="1:20" x14ac:dyDescent="0.2">
      <c r="A172">
        <v>1394</v>
      </c>
      <c r="B172" s="1">
        <v>46228</v>
      </c>
      <c r="C172" s="2">
        <v>0.50509259259259254</v>
      </c>
      <c r="D172" t="s">
        <v>25</v>
      </c>
      <c r="E172" s="10" t="s">
        <v>37</v>
      </c>
      <c r="F172" s="11">
        <v>76.859159614999996</v>
      </c>
      <c r="G172" s="4">
        <v>1939.5991200000001</v>
      </c>
      <c r="H172" s="20">
        <v>0</v>
      </c>
      <c r="J172" t="s">
        <v>17</v>
      </c>
      <c r="T172" s="14"/>
    </row>
    <row r="173" spans="1:20" x14ac:dyDescent="0.2">
      <c r="A173">
        <v>1395</v>
      </c>
      <c r="B173" s="1">
        <v>46228</v>
      </c>
      <c r="C173" s="2">
        <v>0.50535879629629632</v>
      </c>
      <c r="D173" t="s">
        <v>25</v>
      </c>
      <c r="E173" s="10" t="s">
        <v>33</v>
      </c>
      <c r="F173" s="11">
        <v>87.911634235999998</v>
      </c>
      <c r="G173" s="4">
        <v>1937.7016599999999</v>
      </c>
      <c r="H173" s="20">
        <v>1</v>
      </c>
      <c r="I173" s="17" t="s">
        <v>38</v>
      </c>
      <c r="J173" t="s">
        <v>17</v>
      </c>
      <c r="N173" s="11">
        <v>61.766177511999999</v>
      </c>
      <c r="T173" s="14"/>
    </row>
    <row r="174" spans="1:20" x14ac:dyDescent="0.2">
      <c r="A174">
        <v>1396</v>
      </c>
      <c r="B174" s="1">
        <v>46228</v>
      </c>
      <c r="C174" s="2">
        <v>0.50567129629629626</v>
      </c>
      <c r="D174" t="s">
        <v>25</v>
      </c>
      <c r="E174" s="10" t="s">
        <v>35</v>
      </c>
      <c r="F174" s="11">
        <v>77.240281612000004</v>
      </c>
      <c r="G174" s="4">
        <v>1632.0112300000001</v>
      </c>
      <c r="H174" s="20">
        <v>1</v>
      </c>
      <c r="I174" s="17" t="s">
        <v>38</v>
      </c>
      <c r="J174" t="s">
        <v>17</v>
      </c>
      <c r="K174" s="11">
        <v>63.080103610999998</v>
      </c>
      <c r="L174" s="11">
        <v>-37.930458100000003</v>
      </c>
      <c r="N174" s="11">
        <v>61.821925313000001</v>
      </c>
      <c r="P174" s="11">
        <v>5</v>
      </c>
      <c r="Q174" s="11">
        <v>1.0203516500000001</v>
      </c>
      <c r="R174" s="11">
        <v>1.61820984</v>
      </c>
      <c r="S174" s="11">
        <v>100.040849501</v>
      </c>
      <c r="T174" s="14">
        <v>0.63054344200000001</v>
      </c>
    </row>
    <row r="175" spans="1:20" x14ac:dyDescent="0.2">
      <c r="A175">
        <v>1397</v>
      </c>
      <c r="B175" s="1">
        <v>46228</v>
      </c>
      <c r="C175" s="2">
        <v>0.50591435185185185</v>
      </c>
      <c r="D175" t="s">
        <v>25</v>
      </c>
      <c r="E175" s="10" t="s">
        <v>37</v>
      </c>
      <c r="F175" s="11">
        <v>77.605518903000004</v>
      </c>
      <c r="G175" s="4">
        <v>2107.3510700000002</v>
      </c>
      <c r="H175" s="20">
        <v>0</v>
      </c>
      <c r="J175" t="s">
        <v>17</v>
      </c>
      <c r="T175" s="14"/>
    </row>
    <row r="176" spans="1:20" x14ac:dyDescent="0.2">
      <c r="A176">
        <v>1398</v>
      </c>
      <c r="B176" s="1">
        <v>46228</v>
      </c>
      <c r="C176" s="2">
        <v>0.50628472222222221</v>
      </c>
      <c r="D176" t="s">
        <v>25</v>
      </c>
      <c r="E176" s="10" t="s">
        <v>33</v>
      </c>
      <c r="F176" s="11">
        <v>89.944267515999996</v>
      </c>
      <c r="G176" s="4">
        <v>1947.9006300000001</v>
      </c>
      <c r="H176" s="20">
        <v>1</v>
      </c>
      <c r="I176" s="17" t="s">
        <v>42</v>
      </c>
      <c r="J176" t="s">
        <v>17</v>
      </c>
      <c r="T176" s="14"/>
    </row>
    <row r="177" spans="1:20" x14ac:dyDescent="0.2">
      <c r="A177">
        <v>30</v>
      </c>
      <c r="B177" s="1">
        <v>46193</v>
      </c>
      <c r="C177" s="2">
        <v>0.81074074074074076</v>
      </c>
      <c r="D177" t="s">
        <v>21</v>
      </c>
      <c r="E177" s="10" t="s">
        <v>33</v>
      </c>
      <c r="F177" s="11">
        <v>83.274675062</v>
      </c>
      <c r="G177" s="4">
        <v>2161.44922</v>
      </c>
      <c r="H177" s="20">
        <v>1</v>
      </c>
      <c r="I177" s="17" t="s">
        <v>39</v>
      </c>
      <c r="J177" t="s">
        <v>29</v>
      </c>
      <c r="N177" s="11">
        <v>60.491193113000001</v>
      </c>
    </row>
    <row r="178" spans="1:20" x14ac:dyDescent="0.2">
      <c r="A178">
        <v>31</v>
      </c>
      <c r="B178" s="1">
        <v>46193</v>
      </c>
      <c r="C178" s="2">
        <v>0.81114583333333334</v>
      </c>
      <c r="D178" t="s">
        <v>21</v>
      </c>
      <c r="E178" s="10" t="s">
        <v>46</v>
      </c>
      <c r="F178" s="11">
        <v>60.518648818000003</v>
      </c>
      <c r="G178" s="4">
        <v>476.80215500000003</v>
      </c>
      <c r="H178" s="20">
        <v>1</v>
      </c>
      <c r="I178" s="17" t="s">
        <v>38</v>
      </c>
      <c r="J178" t="s">
        <v>29</v>
      </c>
      <c r="N178" s="11">
        <v>67.964791144000003</v>
      </c>
    </row>
    <row r="179" spans="1:20" x14ac:dyDescent="0.2">
      <c r="A179">
        <v>32</v>
      </c>
      <c r="B179" s="1">
        <v>46193</v>
      </c>
      <c r="C179" s="2">
        <v>0.81136574074074075</v>
      </c>
      <c r="D179" t="s">
        <v>21</v>
      </c>
      <c r="E179" s="10" t="s">
        <v>33</v>
      </c>
      <c r="F179" s="11">
        <v>82.957076678000007</v>
      </c>
      <c r="G179" s="4">
        <v>2216.2407199999998</v>
      </c>
      <c r="H179" s="20">
        <v>0</v>
      </c>
      <c r="J179" t="s">
        <v>29</v>
      </c>
    </row>
    <row r="180" spans="1:20" s="115" customFormat="1" ht="17" thickBot="1" x14ac:dyDescent="0.25">
      <c r="A180">
        <v>33</v>
      </c>
      <c r="B180" s="116">
        <v>46193</v>
      </c>
      <c r="C180" s="117">
        <v>0.81153935185185189</v>
      </c>
      <c r="D180" s="115" t="s">
        <v>21</v>
      </c>
      <c r="E180" s="118" t="s">
        <v>37</v>
      </c>
      <c r="F180" s="119">
        <v>72.222200439999995</v>
      </c>
      <c r="G180" s="130">
        <v>1107.9284700000001</v>
      </c>
      <c r="H180" s="121">
        <v>1</v>
      </c>
      <c r="I180" s="120" t="s">
        <v>40</v>
      </c>
      <c r="J180" s="115" t="s">
        <v>29</v>
      </c>
      <c r="K180" s="119">
        <v>85.916649707999994</v>
      </c>
      <c r="L180" s="119">
        <v>-10.2373505</v>
      </c>
      <c r="M180" s="119">
        <v>-29.089359300000002</v>
      </c>
      <c r="N180" s="119">
        <v>65.520416463999993</v>
      </c>
      <c r="O180" s="119">
        <v>856.10809300000005</v>
      </c>
      <c r="P180" s="119">
        <v>13</v>
      </c>
      <c r="Q180" s="119">
        <v>1.3112958699999999</v>
      </c>
      <c r="R180" s="119">
        <v>1.45568454</v>
      </c>
      <c r="S180" s="119">
        <v>95.377061635000004</v>
      </c>
      <c r="T180" s="119">
        <v>0.90081039399999996</v>
      </c>
    </row>
    <row r="181" spans="1:20" x14ac:dyDescent="0.2">
      <c r="A181">
        <v>85</v>
      </c>
      <c r="B181" s="1">
        <v>46193</v>
      </c>
      <c r="C181" s="2">
        <v>0.84082175925925928</v>
      </c>
      <c r="D181" t="s">
        <v>34</v>
      </c>
      <c r="E181" s="10" t="s">
        <v>37</v>
      </c>
      <c r="F181" s="11">
        <v>75.017081965000003</v>
      </c>
      <c r="G181" s="4">
        <v>1962.9729</v>
      </c>
      <c r="H181" s="20">
        <v>1</v>
      </c>
      <c r="J181" t="s">
        <v>29</v>
      </c>
    </row>
    <row r="182" spans="1:20" x14ac:dyDescent="0.2">
      <c r="A182">
        <v>86</v>
      </c>
      <c r="B182" s="1">
        <v>46193</v>
      </c>
      <c r="C182" s="2">
        <v>0.8410185185185185</v>
      </c>
      <c r="D182" t="s">
        <v>34</v>
      </c>
      <c r="E182" s="10" t="s">
        <v>33</v>
      </c>
      <c r="F182" s="11">
        <v>85.815471079000005</v>
      </c>
      <c r="G182" s="4">
        <v>2120.86841</v>
      </c>
      <c r="H182" s="20">
        <v>0</v>
      </c>
      <c r="J182" t="s">
        <v>29</v>
      </c>
    </row>
    <row r="183" spans="1:20" x14ac:dyDescent="0.2">
      <c r="A183">
        <v>87</v>
      </c>
      <c r="B183" s="1">
        <v>46193</v>
      </c>
      <c r="C183" s="2">
        <v>0.84122685185185186</v>
      </c>
      <c r="D183" t="s">
        <v>34</v>
      </c>
      <c r="E183" s="10" t="s">
        <v>37</v>
      </c>
      <c r="F183" s="11">
        <v>73.302038569000004</v>
      </c>
      <c r="G183" s="4">
        <v>1163.5555400000001</v>
      </c>
      <c r="H183" s="20">
        <v>0</v>
      </c>
      <c r="J183" t="s">
        <v>29</v>
      </c>
    </row>
    <row r="184" spans="1:20" x14ac:dyDescent="0.2">
      <c r="A184">
        <v>88</v>
      </c>
      <c r="B184" s="1">
        <v>46193</v>
      </c>
      <c r="C184" s="2">
        <v>0.84144675925925927</v>
      </c>
      <c r="D184" t="s">
        <v>34</v>
      </c>
      <c r="F184" s="11">
        <v>76.350997100000001</v>
      </c>
      <c r="G184" s="4">
        <v>1598.35535</v>
      </c>
      <c r="H184" s="20">
        <v>1</v>
      </c>
      <c r="I184" s="17" t="s">
        <v>39</v>
      </c>
      <c r="J184" t="s">
        <v>29</v>
      </c>
      <c r="N184" s="11">
        <v>64.565146589999998</v>
      </c>
    </row>
    <row r="185" spans="1:20" x14ac:dyDescent="0.2">
      <c r="A185">
        <v>89</v>
      </c>
      <c r="B185" s="1">
        <v>46193</v>
      </c>
      <c r="C185" s="2">
        <v>0.84179398148148143</v>
      </c>
      <c r="D185" t="s">
        <v>34</v>
      </c>
      <c r="F185" s="11">
        <v>75.255278739000005</v>
      </c>
      <c r="G185" s="4">
        <v>697.89672900000005</v>
      </c>
      <c r="H185" s="20">
        <v>0</v>
      </c>
      <c r="J185" t="s">
        <v>29</v>
      </c>
    </row>
    <row r="186" spans="1:20" x14ac:dyDescent="0.2">
      <c r="A186">
        <v>90</v>
      </c>
      <c r="B186" s="1">
        <v>46193</v>
      </c>
      <c r="C186" s="2">
        <v>0.84202546296296299</v>
      </c>
      <c r="D186" t="s">
        <v>34</v>
      </c>
      <c r="E186" s="10" t="s">
        <v>33</v>
      </c>
      <c r="F186" s="11">
        <v>85.307317065999996</v>
      </c>
      <c r="G186" s="4">
        <v>2167.65942</v>
      </c>
      <c r="H186" s="20">
        <v>0</v>
      </c>
      <c r="I186" s="17" t="s">
        <v>48</v>
      </c>
      <c r="J186" t="s">
        <v>29</v>
      </c>
    </row>
    <row r="187" spans="1:20" x14ac:dyDescent="0.2">
      <c r="A187">
        <v>97</v>
      </c>
      <c r="B187" s="1">
        <v>46193</v>
      </c>
      <c r="C187" s="2">
        <v>0.84851851851851856</v>
      </c>
      <c r="D187" t="s">
        <v>34</v>
      </c>
      <c r="E187" s="10" t="s">
        <v>33</v>
      </c>
      <c r="F187" s="11">
        <v>81.877238550000001</v>
      </c>
      <c r="G187" s="4">
        <v>2329.0383299999999</v>
      </c>
      <c r="H187" s="20">
        <v>0</v>
      </c>
      <c r="J187" t="s">
        <v>29</v>
      </c>
    </row>
    <row r="188" spans="1:20" x14ac:dyDescent="0.2">
      <c r="A188">
        <v>99</v>
      </c>
      <c r="B188" s="1">
        <v>46193</v>
      </c>
      <c r="C188" s="2">
        <v>0.84851851851851856</v>
      </c>
      <c r="D188" t="s">
        <v>34</v>
      </c>
      <c r="E188" s="10" t="s">
        <v>33</v>
      </c>
      <c r="F188" s="11">
        <v>81.670794186999998</v>
      </c>
      <c r="G188" s="4">
        <v>2237.51953</v>
      </c>
      <c r="J188" t="s">
        <v>29</v>
      </c>
    </row>
    <row r="189" spans="1:20" x14ac:dyDescent="0.2">
      <c r="A189">
        <v>96</v>
      </c>
      <c r="B189" s="1">
        <v>46193</v>
      </c>
      <c r="C189" s="2">
        <v>0.84851851851851856</v>
      </c>
      <c r="D189" t="s">
        <v>34</v>
      </c>
      <c r="F189" s="11">
        <v>74.191321067000004</v>
      </c>
      <c r="G189" s="4">
        <v>1280.7584199999999</v>
      </c>
      <c r="H189" s="20">
        <v>1</v>
      </c>
      <c r="I189" s="17" t="s">
        <v>39</v>
      </c>
      <c r="J189" t="s">
        <v>29</v>
      </c>
      <c r="N189" s="11">
        <v>55.181004338000001</v>
      </c>
    </row>
    <row r="190" spans="1:20" x14ac:dyDescent="0.2">
      <c r="A190">
        <v>98</v>
      </c>
      <c r="B190" s="1">
        <v>46193</v>
      </c>
      <c r="C190" s="2">
        <v>0.84851851851851856</v>
      </c>
      <c r="D190" t="s">
        <v>34</v>
      </c>
      <c r="F190" s="11">
        <v>73.794320850000005</v>
      </c>
      <c r="G190" s="4">
        <v>1466.9757099999999</v>
      </c>
      <c r="J190" t="s">
        <v>29</v>
      </c>
    </row>
    <row r="191" spans="1:20" x14ac:dyDescent="0.2">
      <c r="A191">
        <v>100</v>
      </c>
      <c r="B191" s="1">
        <v>46193</v>
      </c>
      <c r="C191" s="2">
        <v>0.84851851851851856</v>
      </c>
      <c r="D191" t="s">
        <v>34</v>
      </c>
      <c r="F191" s="11">
        <v>65.489082358999994</v>
      </c>
      <c r="G191" s="4">
        <v>1810.3868399999999</v>
      </c>
      <c r="H191" s="20">
        <v>0</v>
      </c>
      <c r="J191" t="s">
        <v>29</v>
      </c>
    </row>
    <row r="192" spans="1:20" x14ac:dyDescent="0.2">
      <c r="A192">
        <v>101</v>
      </c>
      <c r="B192" s="1">
        <v>46193</v>
      </c>
      <c r="C192" s="2">
        <v>0.84855324074074079</v>
      </c>
      <c r="D192" t="s">
        <v>34</v>
      </c>
      <c r="F192" s="11">
        <v>64.917402718000005</v>
      </c>
      <c r="G192" s="4">
        <v>2035.04675</v>
      </c>
      <c r="H192" s="20">
        <v>1</v>
      </c>
      <c r="I192" s="17" t="s">
        <v>39</v>
      </c>
      <c r="J192" t="s">
        <v>29</v>
      </c>
      <c r="N192" s="11">
        <v>71.476818245000004</v>
      </c>
    </row>
    <row r="193" spans="1:20" x14ac:dyDescent="0.2">
      <c r="A193">
        <v>102</v>
      </c>
      <c r="B193" s="1">
        <v>46193</v>
      </c>
      <c r="C193" s="2">
        <v>0.84871527777777778</v>
      </c>
      <c r="D193" t="s">
        <v>34</v>
      </c>
      <c r="E193" s="10" t="s">
        <v>33</v>
      </c>
      <c r="F193" s="11">
        <v>82.766512547999994</v>
      </c>
      <c r="G193" s="4">
        <v>2390.7966299999998</v>
      </c>
      <c r="H193" s="20">
        <v>0</v>
      </c>
      <c r="I193" s="17" t="s">
        <v>48</v>
      </c>
      <c r="J193" t="s">
        <v>29</v>
      </c>
    </row>
    <row r="194" spans="1:20" x14ac:dyDescent="0.2">
      <c r="A194">
        <v>103</v>
      </c>
      <c r="B194" s="1">
        <v>46193</v>
      </c>
      <c r="C194" s="2">
        <v>0.84892361111111114</v>
      </c>
      <c r="D194" t="s">
        <v>34</v>
      </c>
      <c r="F194" s="11">
        <v>63.202363572000003</v>
      </c>
      <c r="G194" s="4">
        <v>1771.3243399999999</v>
      </c>
      <c r="H194" s="20">
        <v>1</v>
      </c>
      <c r="I194" s="17" t="s">
        <v>40</v>
      </c>
      <c r="J194" t="s">
        <v>29</v>
      </c>
      <c r="K194" s="11">
        <v>93.728031337999994</v>
      </c>
      <c r="L194" s="11">
        <v>8.0036735500000002</v>
      </c>
      <c r="N194" s="11">
        <v>70.971087728000001</v>
      </c>
      <c r="O194" s="11">
        <v>4052.4057600000001</v>
      </c>
      <c r="P194" s="11">
        <v>180</v>
      </c>
      <c r="Q194" s="11">
        <v>1.3206509399999999</v>
      </c>
      <c r="R194" s="11">
        <v>1.40550613</v>
      </c>
      <c r="S194" s="11">
        <v>99.750301265999994</v>
      </c>
      <c r="T194" s="11">
        <v>0.93962654099999998</v>
      </c>
    </row>
    <row r="195" spans="1:20" x14ac:dyDescent="0.2">
      <c r="A195">
        <v>104</v>
      </c>
      <c r="B195" s="1">
        <v>46193</v>
      </c>
      <c r="C195" s="2">
        <v>0.84912037037037036</v>
      </c>
      <c r="D195" t="s">
        <v>34</v>
      </c>
      <c r="E195" s="10" t="s">
        <v>33</v>
      </c>
      <c r="F195" s="11">
        <v>83.512873850000005</v>
      </c>
      <c r="G195" s="4">
        <v>1140.9520299999999</v>
      </c>
      <c r="J195" t="s">
        <v>29</v>
      </c>
    </row>
    <row r="196" spans="1:20" x14ac:dyDescent="0.2">
      <c r="A196">
        <v>105</v>
      </c>
      <c r="B196" s="1">
        <v>46193</v>
      </c>
      <c r="C196" s="2">
        <v>0.84947916666666667</v>
      </c>
      <c r="D196" t="s">
        <v>34</v>
      </c>
      <c r="E196" s="10" t="s">
        <v>33</v>
      </c>
      <c r="F196" s="11">
        <v>84.036914807000002</v>
      </c>
      <c r="G196" s="4">
        <v>1157.98486</v>
      </c>
      <c r="J196" t="s">
        <v>29</v>
      </c>
      <c r="K196" s="11">
        <v>69.989962005999999</v>
      </c>
      <c r="L196" s="11">
        <v>24.5459499</v>
      </c>
      <c r="M196" s="11">
        <v>-1.2199367299999999</v>
      </c>
      <c r="N196" s="11">
        <v>69.453891478000003</v>
      </c>
      <c r="O196" s="11">
        <v>2435.1589399999998</v>
      </c>
      <c r="P196" s="11">
        <v>198</v>
      </c>
      <c r="Q196" s="11">
        <v>1.0077183199999999</v>
      </c>
      <c r="R196" s="11">
        <v>1.4828504300000001</v>
      </c>
      <c r="S196" s="11">
        <v>102.98973870099999</v>
      </c>
      <c r="T196" s="11">
        <v>0.67958190900000004</v>
      </c>
    </row>
    <row r="197" spans="1:20" x14ac:dyDescent="0.2">
      <c r="A197">
        <v>125</v>
      </c>
      <c r="B197" s="1">
        <v>46193</v>
      </c>
      <c r="C197" s="2">
        <v>0.85590277777777779</v>
      </c>
      <c r="D197" t="s">
        <v>34</v>
      </c>
      <c r="E197" s="10" t="s">
        <v>37</v>
      </c>
      <c r="F197" s="11">
        <v>72.666841801000004</v>
      </c>
      <c r="G197" s="4">
        <v>2202.34863</v>
      </c>
      <c r="H197" s="20">
        <v>0</v>
      </c>
      <c r="J197" t="s">
        <v>29</v>
      </c>
    </row>
    <row r="198" spans="1:20" x14ac:dyDescent="0.2">
      <c r="A198">
        <v>126</v>
      </c>
      <c r="B198" s="1">
        <v>46193</v>
      </c>
      <c r="C198" s="2">
        <v>0.85615740740740742</v>
      </c>
      <c r="D198" t="s">
        <v>34</v>
      </c>
      <c r="E198" s="10" t="s">
        <v>33</v>
      </c>
      <c r="F198" s="11">
        <v>82.305990953999995</v>
      </c>
      <c r="G198" s="4">
        <v>1976.4809600000001</v>
      </c>
      <c r="H198" s="20">
        <v>1</v>
      </c>
      <c r="I198" s="17" t="s">
        <v>39</v>
      </c>
      <c r="J198" t="s">
        <v>29</v>
      </c>
      <c r="N198" s="11">
        <v>64.621337750999999</v>
      </c>
    </row>
    <row r="199" spans="1:20" x14ac:dyDescent="0.2">
      <c r="A199">
        <v>127</v>
      </c>
      <c r="B199" s="1">
        <v>46193</v>
      </c>
      <c r="C199" s="2">
        <v>0.85637731481481483</v>
      </c>
      <c r="D199" t="s">
        <v>34</v>
      </c>
      <c r="E199" s="10" t="s">
        <v>33</v>
      </c>
      <c r="F199" s="11">
        <v>83.909872053000001</v>
      </c>
      <c r="G199" s="4">
        <v>1057.875</v>
      </c>
      <c r="H199" s="20">
        <v>1</v>
      </c>
      <c r="J199" t="s">
        <v>29</v>
      </c>
    </row>
    <row r="200" spans="1:20" x14ac:dyDescent="0.2">
      <c r="A200">
        <v>128</v>
      </c>
      <c r="B200" s="1">
        <v>46193</v>
      </c>
      <c r="C200" s="2">
        <v>0.85666666666666669</v>
      </c>
      <c r="D200" t="s">
        <v>34</v>
      </c>
      <c r="E200" s="10" t="s">
        <v>37</v>
      </c>
      <c r="F200" s="11">
        <v>75.890475507000005</v>
      </c>
      <c r="G200" s="4">
        <v>680.56732199999999</v>
      </c>
      <c r="H200" s="20">
        <v>0</v>
      </c>
      <c r="J200" t="s">
        <v>29</v>
      </c>
    </row>
    <row r="201" spans="1:20" x14ac:dyDescent="0.2">
      <c r="A201">
        <v>129</v>
      </c>
      <c r="B201" s="1">
        <v>46193</v>
      </c>
      <c r="C201" s="2">
        <v>0.8568634259259259</v>
      </c>
      <c r="D201" t="s">
        <v>34</v>
      </c>
      <c r="E201" s="10" t="s">
        <v>33</v>
      </c>
      <c r="F201" s="11">
        <v>81.797836939999996</v>
      </c>
      <c r="G201" s="4">
        <v>1047.6813999999999</v>
      </c>
      <c r="H201" s="20">
        <v>1</v>
      </c>
      <c r="I201" s="17" t="s">
        <v>38</v>
      </c>
      <c r="J201" t="s">
        <v>29</v>
      </c>
      <c r="K201" s="11">
        <v>76.898506424000004</v>
      </c>
      <c r="L201" s="11">
        <v>39.452075999999998</v>
      </c>
      <c r="M201" s="11">
        <v>21.440691000000001</v>
      </c>
      <c r="N201" s="11">
        <v>65.604703541000006</v>
      </c>
      <c r="O201" s="11">
        <v>4887.5864300000003</v>
      </c>
      <c r="P201" s="11">
        <v>271</v>
      </c>
      <c r="Q201" s="11">
        <v>1.1721493000000001</v>
      </c>
      <c r="R201" s="11">
        <v>1.4921500000000001</v>
      </c>
      <c r="S201" s="11">
        <v>97.892053254000004</v>
      </c>
      <c r="T201" s="11">
        <v>0.78554389999999996</v>
      </c>
    </row>
    <row r="202" spans="1:20" x14ac:dyDescent="0.2">
      <c r="A202">
        <v>130</v>
      </c>
      <c r="B202" s="1">
        <v>46193</v>
      </c>
      <c r="C202" s="2">
        <v>0.85752314814814812</v>
      </c>
      <c r="D202" t="s">
        <v>34</v>
      </c>
      <c r="E202" s="10" t="s">
        <v>37</v>
      </c>
      <c r="F202" s="11">
        <v>74.953560588000002</v>
      </c>
      <c r="G202" s="4">
        <v>2103.1044900000002</v>
      </c>
      <c r="H202" s="20">
        <v>0</v>
      </c>
      <c r="J202" t="s">
        <v>29</v>
      </c>
    </row>
    <row r="203" spans="1:20" x14ac:dyDescent="0.2">
      <c r="A203">
        <v>131</v>
      </c>
      <c r="B203" s="1">
        <v>46193</v>
      </c>
      <c r="C203" s="2">
        <v>0.85777777777777775</v>
      </c>
      <c r="D203" t="s">
        <v>34</v>
      </c>
      <c r="E203" s="10" t="s">
        <v>37</v>
      </c>
      <c r="F203" s="11">
        <v>73.826081539</v>
      </c>
      <c r="G203" s="4">
        <v>1234.9100000000001</v>
      </c>
      <c r="H203" s="20">
        <v>0</v>
      </c>
      <c r="I203" s="17" t="s">
        <v>48</v>
      </c>
      <c r="J203" t="s">
        <v>29</v>
      </c>
    </row>
    <row r="204" spans="1:20" x14ac:dyDescent="0.2">
      <c r="A204">
        <v>132</v>
      </c>
      <c r="B204" s="1">
        <v>46193</v>
      </c>
      <c r="C204" s="2">
        <v>0.85797453703703708</v>
      </c>
      <c r="D204" t="s">
        <v>34</v>
      </c>
      <c r="E204" s="10" t="s">
        <v>33</v>
      </c>
      <c r="F204" s="11">
        <v>83.512873850000005</v>
      </c>
      <c r="G204" s="4">
        <v>2017.1818800000001</v>
      </c>
      <c r="H204" s="20">
        <v>1</v>
      </c>
      <c r="I204" s="17" t="s">
        <v>38</v>
      </c>
      <c r="J204" t="s">
        <v>29</v>
      </c>
      <c r="N204" s="11">
        <v>69.847235198999996</v>
      </c>
    </row>
    <row r="205" spans="1:20" x14ac:dyDescent="0.2">
      <c r="A205">
        <v>150</v>
      </c>
      <c r="B205" s="1">
        <v>46193</v>
      </c>
      <c r="C205" s="2">
        <v>0.86547453703703703</v>
      </c>
      <c r="D205" t="s">
        <v>25</v>
      </c>
      <c r="E205" s="10" t="s">
        <v>33</v>
      </c>
      <c r="F205" s="11">
        <v>84.481555943999993</v>
      </c>
      <c r="G205" s="4">
        <v>2026.0994900000001</v>
      </c>
      <c r="H205" s="20">
        <v>0</v>
      </c>
      <c r="J205" t="s">
        <v>29</v>
      </c>
    </row>
    <row r="206" spans="1:20" x14ac:dyDescent="0.2">
      <c r="A206">
        <v>151</v>
      </c>
      <c r="B206" s="1">
        <v>46193</v>
      </c>
      <c r="C206" s="2">
        <v>0.86567129629629624</v>
      </c>
      <c r="D206" t="s">
        <v>25</v>
      </c>
      <c r="E206" s="10" t="s">
        <v>33</v>
      </c>
      <c r="F206" s="11">
        <v>84.989709958000006</v>
      </c>
      <c r="G206" s="4">
        <v>2072.7766099999999</v>
      </c>
      <c r="H206" s="20">
        <v>0</v>
      </c>
      <c r="J206" t="s">
        <v>29</v>
      </c>
    </row>
    <row r="207" spans="1:20" x14ac:dyDescent="0.2">
      <c r="A207">
        <v>152</v>
      </c>
      <c r="B207" s="1">
        <v>46193</v>
      </c>
      <c r="C207" s="2">
        <v>0.86586805555555557</v>
      </c>
      <c r="D207" t="s">
        <v>25</v>
      </c>
      <c r="E207" s="10" t="s">
        <v>33</v>
      </c>
      <c r="F207" s="11">
        <v>85.354949485999995</v>
      </c>
      <c r="G207" s="4">
        <v>2070.1296400000001</v>
      </c>
      <c r="H207" s="20">
        <v>1</v>
      </c>
      <c r="I207" s="17" t="s">
        <v>38</v>
      </c>
      <c r="J207" t="s">
        <v>29</v>
      </c>
      <c r="N207" s="11">
        <v>62.879372158999999</v>
      </c>
    </row>
    <row r="208" spans="1:20" x14ac:dyDescent="0.2">
      <c r="A208">
        <v>153</v>
      </c>
      <c r="B208" s="1">
        <v>46193</v>
      </c>
      <c r="C208" s="2">
        <v>0.86631944444444442</v>
      </c>
      <c r="D208" t="s">
        <v>25</v>
      </c>
      <c r="E208" s="10" t="s">
        <v>33</v>
      </c>
      <c r="F208" s="11">
        <v>85.624915449</v>
      </c>
      <c r="G208" s="4">
        <v>1917.01025</v>
      </c>
      <c r="H208" s="20">
        <v>1</v>
      </c>
      <c r="J208" t="s">
        <v>29</v>
      </c>
    </row>
    <row r="209" spans="1:20" x14ac:dyDescent="0.2">
      <c r="A209">
        <v>154</v>
      </c>
      <c r="B209" s="1">
        <v>46193</v>
      </c>
      <c r="C209" s="2">
        <v>0.86693287037037037</v>
      </c>
      <c r="D209" t="s">
        <v>25</v>
      </c>
      <c r="E209" s="10" t="s">
        <v>33</v>
      </c>
      <c r="F209" s="11">
        <v>86.006035209999993</v>
      </c>
      <c r="G209" s="4">
        <v>1999.40381</v>
      </c>
      <c r="H209" s="20">
        <v>1</v>
      </c>
      <c r="I209" s="17" t="s">
        <v>38</v>
      </c>
      <c r="J209" t="s">
        <v>29</v>
      </c>
      <c r="N209" s="11">
        <v>68.217656403000007</v>
      </c>
    </row>
    <row r="210" spans="1:20" x14ac:dyDescent="0.2">
      <c r="A210">
        <v>215</v>
      </c>
      <c r="B210" s="1">
        <v>46197</v>
      </c>
      <c r="C210" s="2">
        <v>0.58819444444444446</v>
      </c>
      <c r="D210" t="s">
        <v>28</v>
      </c>
      <c r="E210" s="10" t="s">
        <v>33</v>
      </c>
      <c r="F210" s="11">
        <v>76.795638237999995</v>
      </c>
      <c r="G210" s="4">
        <v>1997.59412</v>
      </c>
      <c r="H210" s="20">
        <v>0</v>
      </c>
      <c r="J210" t="s">
        <v>29</v>
      </c>
    </row>
    <row r="211" spans="1:20" x14ac:dyDescent="0.2">
      <c r="A211">
        <v>216</v>
      </c>
      <c r="B211" s="1">
        <v>46197</v>
      </c>
      <c r="C211" s="2">
        <v>0.58843749999999995</v>
      </c>
      <c r="D211" t="s">
        <v>28</v>
      </c>
      <c r="E211" s="10" t="s">
        <v>33</v>
      </c>
      <c r="F211" s="11">
        <v>77.748433613000003</v>
      </c>
      <c r="G211" s="4">
        <v>2025.38843</v>
      </c>
      <c r="H211" s="20">
        <v>0</v>
      </c>
      <c r="J211" t="s">
        <v>29</v>
      </c>
    </row>
    <row r="212" spans="1:20" x14ac:dyDescent="0.2">
      <c r="A212">
        <v>217</v>
      </c>
      <c r="B212" s="1">
        <v>46197</v>
      </c>
      <c r="C212" s="2">
        <v>0.58868055555555554</v>
      </c>
      <c r="D212" t="s">
        <v>28</v>
      </c>
      <c r="E212" s="10" t="s">
        <v>33</v>
      </c>
      <c r="F212" s="11">
        <v>77.367313851999995</v>
      </c>
      <c r="G212" s="4">
        <v>2021.0567599999999</v>
      </c>
      <c r="H212" s="20">
        <v>1</v>
      </c>
      <c r="I212" s="17" t="s">
        <v>38</v>
      </c>
      <c r="J212" t="s">
        <v>29</v>
      </c>
      <c r="K212" s="11">
        <v>81.510906949000002</v>
      </c>
      <c r="L212" s="11">
        <v>50.241889999999998</v>
      </c>
      <c r="N212" s="11">
        <v>63.553681081000001</v>
      </c>
      <c r="O212" s="11">
        <v>4820.9243200000001</v>
      </c>
      <c r="P212" s="11">
        <v>286</v>
      </c>
      <c r="Q212" s="11">
        <v>1.2825521200000001</v>
      </c>
      <c r="R212" s="11">
        <v>1.4918720700000001</v>
      </c>
      <c r="S212" s="11">
        <v>94.813962208999996</v>
      </c>
      <c r="T212" s="11">
        <v>0.85969306899999998</v>
      </c>
    </row>
    <row r="213" spans="1:20" x14ac:dyDescent="0.2">
      <c r="A213">
        <v>218</v>
      </c>
      <c r="B213" s="1">
        <v>46197</v>
      </c>
      <c r="C213" s="2">
        <v>0.58893518518518517</v>
      </c>
      <c r="D213" t="s">
        <v>28</v>
      </c>
      <c r="E213" s="10" t="s">
        <v>37</v>
      </c>
      <c r="F213" s="11">
        <v>73.746679705999995</v>
      </c>
      <c r="G213" s="4">
        <v>2426.1586900000002</v>
      </c>
      <c r="H213" s="20">
        <v>0</v>
      </c>
      <c r="J213" t="s">
        <v>29</v>
      </c>
    </row>
    <row r="214" spans="1:20" x14ac:dyDescent="0.2">
      <c r="A214">
        <v>219</v>
      </c>
      <c r="B214" s="1">
        <v>46197</v>
      </c>
      <c r="C214" s="2">
        <v>0.58915509259259258</v>
      </c>
      <c r="D214" t="s">
        <v>28</v>
      </c>
      <c r="E214" s="10" t="s">
        <v>33</v>
      </c>
      <c r="F214" s="11">
        <v>77.938997743000002</v>
      </c>
      <c r="G214" s="4">
        <v>2020.1521</v>
      </c>
      <c r="H214" s="20">
        <v>0</v>
      </c>
      <c r="I214" s="17" t="s">
        <v>48</v>
      </c>
      <c r="J214" t="s">
        <v>29</v>
      </c>
    </row>
    <row r="215" spans="1:20" x14ac:dyDescent="0.2">
      <c r="A215">
        <v>220</v>
      </c>
      <c r="B215" s="1">
        <v>46197</v>
      </c>
      <c r="C215" s="2">
        <v>0.5893518518518519</v>
      </c>
      <c r="D215" t="s">
        <v>28</v>
      </c>
      <c r="E215" s="10" t="s">
        <v>33</v>
      </c>
      <c r="F215" s="11">
        <v>77.684920735999995</v>
      </c>
      <c r="G215" s="4">
        <v>2074.0563999999999</v>
      </c>
      <c r="H215" s="20">
        <v>1</v>
      </c>
      <c r="I215" s="17" t="s">
        <v>40</v>
      </c>
      <c r="J215" t="s">
        <v>29</v>
      </c>
      <c r="N215" s="11">
        <v>70.409161350999995</v>
      </c>
    </row>
    <row r="216" spans="1:20" x14ac:dyDescent="0.2">
      <c r="A216">
        <v>253</v>
      </c>
      <c r="B216" s="1">
        <v>46197</v>
      </c>
      <c r="C216" s="2">
        <v>0.60071759259259261</v>
      </c>
      <c r="D216" t="s">
        <v>25</v>
      </c>
      <c r="E216" s="10" t="s">
        <v>37</v>
      </c>
      <c r="F216" s="11">
        <v>72.984440184999997</v>
      </c>
      <c r="G216" s="4">
        <v>991.35150099999998</v>
      </c>
      <c r="H216" s="20">
        <v>1</v>
      </c>
      <c r="J216" t="s">
        <v>29</v>
      </c>
    </row>
    <row r="217" spans="1:20" x14ac:dyDescent="0.2">
      <c r="A217">
        <v>254</v>
      </c>
      <c r="B217" s="1">
        <v>46197</v>
      </c>
      <c r="C217" s="2">
        <v>0.6009606481481482</v>
      </c>
      <c r="D217" t="s">
        <v>25</v>
      </c>
      <c r="E217" s="10" t="s">
        <v>35</v>
      </c>
      <c r="F217" s="11">
        <v>73.556115575000007</v>
      </c>
      <c r="G217" s="4">
        <v>1573.4252899999999</v>
      </c>
      <c r="H217" s="20">
        <v>0</v>
      </c>
      <c r="J217" t="s">
        <v>29</v>
      </c>
    </row>
    <row r="218" spans="1:20" x14ac:dyDescent="0.2">
      <c r="A218">
        <v>255</v>
      </c>
      <c r="B218" s="1">
        <v>46197</v>
      </c>
      <c r="C218" s="2">
        <v>0.60121527777777772</v>
      </c>
      <c r="D218" t="s">
        <v>25</v>
      </c>
      <c r="E218" s="10" t="s">
        <v>37</v>
      </c>
      <c r="F218" s="11">
        <v>72.539799047000002</v>
      </c>
      <c r="G218" s="4">
        <v>1078.2358400000001</v>
      </c>
      <c r="H218" s="20">
        <v>0</v>
      </c>
      <c r="J218" t="s">
        <v>29</v>
      </c>
    </row>
    <row r="219" spans="1:20" x14ac:dyDescent="0.2">
      <c r="A219">
        <v>256</v>
      </c>
      <c r="B219" s="1">
        <v>46197</v>
      </c>
      <c r="C219" s="2">
        <v>0.60143518518518524</v>
      </c>
      <c r="D219" t="s">
        <v>25</v>
      </c>
      <c r="E219" s="10" t="s">
        <v>33</v>
      </c>
      <c r="F219" s="11">
        <v>84.656231341999998</v>
      </c>
      <c r="G219" s="4">
        <v>1980.1801800000001</v>
      </c>
      <c r="H219" s="20">
        <v>1</v>
      </c>
      <c r="I219" s="17" t="s">
        <v>38</v>
      </c>
      <c r="J219" t="s">
        <v>29</v>
      </c>
      <c r="N219" s="11">
        <v>65.913764435000004</v>
      </c>
    </row>
    <row r="220" spans="1:20" x14ac:dyDescent="0.2">
      <c r="A220">
        <v>257</v>
      </c>
      <c r="B220" s="1">
        <v>46197</v>
      </c>
      <c r="C220" s="2">
        <v>0.60181712962962963</v>
      </c>
      <c r="D220" t="s">
        <v>25</v>
      </c>
      <c r="E220" s="10" t="s">
        <v>37</v>
      </c>
      <c r="F220" s="11">
        <v>76.986193868000001</v>
      </c>
      <c r="G220" s="4">
        <v>2019.60474</v>
      </c>
      <c r="H220" s="20">
        <v>0</v>
      </c>
      <c r="J220" t="s">
        <v>29</v>
      </c>
    </row>
    <row r="221" spans="1:20" x14ac:dyDescent="0.2">
      <c r="A221">
        <v>258</v>
      </c>
      <c r="B221" s="1">
        <v>46197</v>
      </c>
      <c r="C221" s="2">
        <v>0.6020833333333333</v>
      </c>
      <c r="D221" t="s">
        <v>25</v>
      </c>
      <c r="E221" s="10" t="s">
        <v>33</v>
      </c>
      <c r="F221" s="11">
        <v>85.100874716000007</v>
      </c>
      <c r="G221" s="4">
        <v>1010.51154</v>
      </c>
      <c r="H221" s="20">
        <v>0</v>
      </c>
      <c r="I221" s="17" t="s">
        <v>48</v>
      </c>
      <c r="J221" t="s">
        <v>29</v>
      </c>
    </row>
    <row r="222" spans="1:20" x14ac:dyDescent="0.2">
      <c r="A222">
        <v>259</v>
      </c>
      <c r="B222" s="1">
        <v>46197</v>
      </c>
      <c r="C222" s="2">
        <v>0.60228009259259263</v>
      </c>
      <c r="D222" t="s">
        <v>25</v>
      </c>
      <c r="E222" s="10" t="s">
        <v>33</v>
      </c>
      <c r="F222" s="11">
        <v>84.719752718999999</v>
      </c>
      <c r="G222" s="4">
        <v>1888.41553</v>
      </c>
      <c r="H222" s="20">
        <v>1</v>
      </c>
      <c r="I222" s="17" t="s">
        <v>39</v>
      </c>
      <c r="J222" t="s">
        <v>29</v>
      </c>
      <c r="N222" s="11">
        <v>63.947028828999997</v>
      </c>
    </row>
    <row r="223" spans="1:20" x14ac:dyDescent="0.2">
      <c r="A223">
        <v>297</v>
      </c>
      <c r="B223" s="8">
        <v>46197</v>
      </c>
      <c r="C223" s="9">
        <v>0.62033564814814812</v>
      </c>
      <c r="D223" s="7" t="s">
        <v>24</v>
      </c>
      <c r="E223" s="13" t="s">
        <v>33</v>
      </c>
      <c r="F223" s="16">
        <v>84.148077099999995</v>
      </c>
      <c r="G223" s="129">
        <v>1096.6944599999999</v>
      </c>
      <c r="H223" s="22">
        <v>1</v>
      </c>
      <c r="I223" s="19" t="s">
        <v>40</v>
      </c>
      <c r="J223" s="7" t="s">
        <v>29</v>
      </c>
      <c r="K223" s="16">
        <v>74.240446899999995</v>
      </c>
      <c r="L223" s="16">
        <v>27.607896799999999</v>
      </c>
      <c r="M223" s="16">
        <v>17.356590300000001</v>
      </c>
      <c r="N223" s="16">
        <v>65.9418601</v>
      </c>
      <c r="O223" s="16">
        <v>3342.29736</v>
      </c>
      <c r="P223" s="16">
        <v>231</v>
      </c>
      <c r="Q223" s="16">
        <v>1.1258469799999999</v>
      </c>
      <c r="R223" s="16">
        <v>1.4995333</v>
      </c>
      <c r="S223" s="16">
        <v>98.882010600000001</v>
      </c>
      <c r="T223" s="16">
        <v>0.75079834000000001</v>
      </c>
    </row>
    <row r="224" spans="1:20" x14ac:dyDescent="0.2">
      <c r="A224">
        <v>328</v>
      </c>
      <c r="B224" s="8">
        <v>46200</v>
      </c>
      <c r="C224" s="9">
        <v>0.74170138888888892</v>
      </c>
      <c r="D224" s="7" t="s">
        <v>18</v>
      </c>
      <c r="E224" s="13" t="s">
        <v>33</v>
      </c>
      <c r="F224" s="16">
        <v>85.370829900000004</v>
      </c>
      <c r="G224" s="129">
        <v>2422.70532</v>
      </c>
      <c r="H224" s="22">
        <v>0</v>
      </c>
      <c r="I224" s="19"/>
      <c r="J224" s="7" t="s">
        <v>29</v>
      </c>
      <c r="K224" s="16"/>
      <c r="L224" s="16"/>
      <c r="M224" s="16"/>
      <c r="N224" s="16"/>
      <c r="O224" s="16"/>
      <c r="P224" s="16"/>
      <c r="Q224" s="16"/>
      <c r="R224" s="16"/>
      <c r="S224" s="16"/>
      <c r="T224" s="16"/>
    </row>
    <row r="225" spans="1:20" x14ac:dyDescent="0.2">
      <c r="A225">
        <v>329</v>
      </c>
      <c r="B225" s="8">
        <v>46200</v>
      </c>
      <c r="C225" s="9">
        <v>0.74189814814814814</v>
      </c>
      <c r="D225" s="7" t="s">
        <v>18</v>
      </c>
      <c r="E225" s="13" t="s">
        <v>37</v>
      </c>
      <c r="F225" s="16">
        <v>76.922680999999997</v>
      </c>
      <c r="G225" s="129">
        <v>2248.0107400000002</v>
      </c>
      <c r="H225" s="22">
        <v>1</v>
      </c>
      <c r="I225" s="19"/>
      <c r="J225" s="7" t="s">
        <v>29</v>
      </c>
      <c r="K225" s="16"/>
      <c r="L225" s="16"/>
      <c r="M225" s="16"/>
      <c r="N225" s="16"/>
      <c r="O225" s="16"/>
      <c r="P225" s="16"/>
      <c r="Q225" s="16"/>
      <c r="R225" s="16"/>
      <c r="S225" s="16"/>
      <c r="T225" s="16"/>
    </row>
    <row r="226" spans="1:20" x14ac:dyDescent="0.2">
      <c r="A226">
        <v>330</v>
      </c>
      <c r="B226" s="8">
        <v>46200</v>
      </c>
      <c r="C226" s="9">
        <v>0.74212962962962958</v>
      </c>
      <c r="D226" s="7" t="s">
        <v>18</v>
      </c>
      <c r="E226" s="13" t="s">
        <v>37</v>
      </c>
      <c r="F226" s="16">
        <v>76.906800799999999</v>
      </c>
      <c r="G226" s="129">
        <v>2237.83374</v>
      </c>
      <c r="H226" s="22">
        <v>1</v>
      </c>
      <c r="I226" s="19" t="s">
        <v>38</v>
      </c>
      <c r="J226" s="7" t="s">
        <v>29</v>
      </c>
      <c r="K226" s="16"/>
      <c r="L226" s="16"/>
      <c r="M226" s="16"/>
      <c r="N226" s="16">
        <v>65.969955600000006</v>
      </c>
      <c r="O226" s="16"/>
      <c r="P226" s="16"/>
      <c r="Q226" s="16"/>
      <c r="R226" s="16"/>
      <c r="S226" s="16"/>
      <c r="T226" s="16"/>
    </row>
    <row r="227" spans="1:20" x14ac:dyDescent="0.2">
      <c r="A227">
        <v>331</v>
      </c>
      <c r="B227" s="8">
        <v>46200</v>
      </c>
      <c r="C227" s="9">
        <v>0.74239583333333337</v>
      </c>
      <c r="D227" s="7" t="s">
        <v>18</v>
      </c>
      <c r="E227" s="13" t="s">
        <v>33</v>
      </c>
      <c r="F227" s="16">
        <v>85.100874700000006</v>
      </c>
      <c r="G227" s="129">
        <v>2370.0949700000001</v>
      </c>
      <c r="H227" s="22">
        <v>0</v>
      </c>
      <c r="I227" s="19"/>
      <c r="J227" s="7" t="s">
        <v>29</v>
      </c>
      <c r="K227" s="16"/>
      <c r="L227" s="16"/>
      <c r="M227" s="16"/>
      <c r="N227" s="16"/>
      <c r="O227" s="16"/>
      <c r="P227" s="16"/>
      <c r="Q227" s="16"/>
      <c r="R227" s="16"/>
      <c r="S227" s="16"/>
      <c r="T227" s="16"/>
    </row>
    <row r="228" spans="1:20" x14ac:dyDescent="0.2">
      <c r="A228">
        <v>332</v>
      </c>
      <c r="B228" s="8">
        <v>46200</v>
      </c>
      <c r="C228" s="9">
        <v>0.74263888888888885</v>
      </c>
      <c r="D228" s="7" t="s">
        <v>18</v>
      </c>
      <c r="E228" s="13" t="s">
        <v>37</v>
      </c>
      <c r="F228" s="16">
        <v>72.920918799999995</v>
      </c>
      <c r="G228" s="129">
        <v>1170.40894</v>
      </c>
      <c r="H228" s="22">
        <v>1</v>
      </c>
      <c r="I228" s="19" t="s">
        <v>40</v>
      </c>
      <c r="J228" s="7" t="s">
        <v>29</v>
      </c>
      <c r="K228" s="16">
        <v>87.422739800000002</v>
      </c>
      <c r="L228" s="16">
        <v>-8.7541341999999993</v>
      </c>
      <c r="M228" s="16"/>
      <c r="N228" s="16">
        <v>69.453891499999997</v>
      </c>
      <c r="O228" s="16"/>
      <c r="P228" s="16">
        <v>29</v>
      </c>
      <c r="Q228" s="16">
        <v>1.2587162300000001</v>
      </c>
      <c r="R228" s="16">
        <v>1.4424734100000001</v>
      </c>
      <c r="S228" s="16">
        <v>100.185394</v>
      </c>
      <c r="T228" s="16">
        <v>0.87260963000000002</v>
      </c>
    </row>
    <row r="229" spans="1:20" x14ac:dyDescent="0.2">
      <c r="A229">
        <v>362</v>
      </c>
      <c r="B229" s="8">
        <v>46200</v>
      </c>
      <c r="C229" s="9">
        <v>0.75481481481481483</v>
      </c>
      <c r="D229" s="7" t="s">
        <v>18</v>
      </c>
      <c r="E229" s="13" t="s">
        <v>37</v>
      </c>
      <c r="F229" s="16">
        <v>73.3973206</v>
      </c>
      <c r="G229" s="129">
        <v>2312.6970200000001</v>
      </c>
      <c r="H229" s="22">
        <v>1</v>
      </c>
      <c r="I229" s="19" t="s">
        <v>38</v>
      </c>
      <c r="J229" s="7" t="s">
        <v>29</v>
      </c>
      <c r="K229" s="16"/>
      <c r="L229" s="16"/>
      <c r="M229" s="16"/>
      <c r="N229" s="16">
        <v>63.216524499999998</v>
      </c>
      <c r="O229" s="16"/>
      <c r="P229" s="16"/>
      <c r="Q229" s="16"/>
      <c r="R229" s="16"/>
      <c r="S229" s="16"/>
      <c r="T229" s="16"/>
    </row>
    <row r="230" spans="1:20" x14ac:dyDescent="0.2">
      <c r="A230">
        <v>363</v>
      </c>
      <c r="B230" s="8">
        <v>46200</v>
      </c>
      <c r="C230" s="9">
        <v>0.75504629629629627</v>
      </c>
      <c r="D230" s="7" t="s">
        <v>18</v>
      </c>
      <c r="E230" s="13" t="s">
        <v>33</v>
      </c>
      <c r="F230" s="16">
        <v>84.3545132</v>
      </c>
      <c r="G230" s="129">
        <v>2349.7624500000002</v>
      </c>
      <c r="H230" s="22">
        <v>0</v>
      </c>
      <c r="I230" s="19"/>
      <c r="J230" s="7" t="s">
        <v>29</v>
      </c>
      <c r="K230" s="16"/>
      <c r="L230" s="16"/>
      <c r="M230" s="16"/>
      <c r="N230" s="16"/>
      <c r="O230" s="16"/>
      <c r="P230" s="16"/>
      <c r="Q230" s="16"/>
      <c r="R230" s="16"/>
      <c r="S230" s="16"/>
      <c r="T230" s="16"/>
    </row>
    <row r="231" spans="1:20" x14ac:dyDescent="0.2">
      <c r="A231">
        <v>364</v>
      </c>
      <c r="B231" s="8">
        <v>46200</v>
      </c>
      <c r="C231" s="9">
        <v>0.7552430555555556</v>
      </c>
      <c r="D231" s="7" t="s">
        <v>18</v>
      </c>
      <c r="E231" s="13" t="s">
        <v>37</v>
      </c>
      <c r="F231" s="16">
        <v>73.937235299999998</v>
      </c>
      <c r="G231" s="129">
        <v>2247.5131799999999</v>
      </c>
      <c r="H231" s="22">
        <v>1</v>
      </c>
      <c r="I231" s="19" t="s">
        <v>40</v>
      </c>
      <c r="J231" s="7" t="s">
        <v>29</v>
      </c>
      <c r="K231" s="16">
        <v>75.832731199999998</v>
      </c>
      <c r="L231" s="16">
        <v>-2.7224724</v>
      </c>
      <c r="M231" s="16">
        <v>22.409706100000001</v>
      </c>
      <c r="N231" s="16">
        <v>65.576607800000005</v>
      </c>
      <c r="O231" s="16"/>
      <c r="P231" s="16">
        <v>67</v>
      </c>
      <c r="Q231" s="16">
        <v>1.1563991300000001</v>
      </c>
      <c r="R231" s="16">
        <v>1.46993661</v>
      </c>
      <c r="S231" s="16">
        <v>96.393463800000006</v>
      </c>
      <c r="T231" s="16">
        <v>0.78669999999999995</v>
      </c>
    </row>
    <row r="232" spans="1:20" x14ac:dyDescent="0.2">
      <c r="A232">
        <v>395</v>
      </c>
      <c r="B232" s="8">
        <v>46200</v>
      </c>
      <c r="C232" s="9">
        <v>0.76715277777777779</v>
      </c>
      <c r="D232" s="7" t="s">
        <v>24</v>
      </c>
      <c r="E232" s="13" t="s">
        <v>33</v>
      </c>
      <c r="F232" s="16">
        <v>82.385392800000005</v>
      </c>
      <c r="G232" s="129">
        <v>2271.0537100000001</v>
      </c>
      <c r="H232" s="22">
        <v>1</v>
      </c>
      <c r="I232" s="19" t="s">
        <v>40</v>
      </c>
      <c r="J232" s="7" t="s">
        <v>29</v>
      </c>
      <c r="K232" s="16">
        <v>84.582094600000005</v>
      </c>
      <c r="L232" s="16">
        <v>-15.621677</v>
      </c>
      <c r="M232" s="16">
        <v>7.7651524500000004</v>
      </c>
      <c r="N232" s="16">
        <v>55.855313299999999</v>
      </c>
      <c r="O232" s="16"/>
      <c r="P232" s="16">
        <v>10</v>
      </c>
      <c r="Q232" s="16">
        <v>1.5143070199999999</v>
      </c>
      <c r="R232" s="16">
        <v>1.56003249</v>
      </c>
      <c r="S232" s="16">
        <v>87.136099900000005</v>
      </c>
      <c r="T232" s="16">
        <v>0.97068947000000005</v>
      </c>
    </row>
    <row r="233" spans="1:20" x14ac:dyDescent="0.2">
      <c r="A233">
        <v>396</v>
      </c>
      <c r="B233" s="8">
        <v>46200</v>
      </c>
      <c r="C233" s="9">
        <v>0.76738425925925924</v>
      </c>
      <c r="D233" s="7" t="s">
        <v>24</v>
      </c>
      <c r="E233" s="13" t="s">
        <v>35</v>
      </c>
      <c r="F233" s="16">
        <v>76.446279200000006</v>
      </c>
      <c r="G233" s="129">
        <v>1529.8250700000001</v>
      </c>
      <c r="H233" s="22">
        <v>1</v>
      </c>
      <c r="I233" s="19"/>
      <c r="J233" s="7" t="s">
        <v>29</v>
      </c>
      <c r="K233" s="16"/>
      <c r="L233" s="16"/>
      <c r="M233" s="16"/>
      <c r="N233" s="16"/>
      <c r="O233" s="16"/>
      <c r="P233" s="16"/>
      <c r="Q233" s="16"/>
      <c r="R233" s="16"/>
      <c r="S233" s="16"/>
      <c r="T233" s="16"/>
    </row>
    <row r="234" spans="1:20" x14ac:dyDescent="0.2">
      <c r="A234">
        <v>397</v>
      </c>
      <c r="B234" s="8">
        <v>46200</v>
      </c>
      <c r="C234" s="9">
        <v>0.76754629629629634</v>
      </c>
      <c r="D234" s="7" t="s">
        <v>24</v>
      </c>
      <c r="E234" s="13" t="s">
        <v>33</v>
      </c>
      <c r="F234" s="16">
        <v>84.926197099999996</v>
      </c>
      <c r="G234" s="129">
        <v>2205.1508800000001</v>
      </c>
      <c r="H234" s="22">
        <v>0</v>
      </c>
      <c r="I234" s="19"/>
      <c r="J234" s="7" t="s">
        <v>29</v>
      </c>
      <c r="K234" s="16"/>
      <c r="L234" s="16"/>
      <c r="M234" s="16"/>
      <c r="N234" s="16"/>
      <c r="O234" s="16"/>
      <c r="P234" s="16"/>
      <c r="Q234" s="16"/>
      <c r="R234" s="16"/>
      <c r="S234" s="16"/>
      <c r="T234" s="16"/>
    </row>
    <row r="235" spans="1:20" x14ac:dyDescent="0.2">
      <c r="A235">
        <v>398</v>
      </c>
      <c r="B235" s="8">
        <v>46200</v>
      </c>
      <c r="C235" s="9">
        <v>0.76771990740740736</v>
      </c>
      <c r="D235" s="7" t="s">
        <v>24</v>
      </c>
      <c r="E235" s="13" t="s">
        <v>35</v>
      </c>
      <c r="F235" s="16">
        <v>78.510673100000005</v>
      </c>
      <c r="G235" s="129">
        <v>1584.1873800000001</v>
      </c>
      <c r="H235" s="22">
        <v>0</v>
      </c>
      <c r="I235" s="19"/>
      <c r="J235" s="7" t="s">
        <v>29</v>
      </c>
      <c r="K235" s="16"/>
      <c r="L235" s="16"/>
      <c r="M235" s="16"/>
      <c r="N235" s="16"/>
      <c r="O235" s="16"/>
      <c r="P235" s="16"/>
      <c r="Q235" s="16"/>
      <c r="R235" s="16"/>
      <c r="S235" s="16"/>
      <c r="T235" s="16"/>
    </row>
    <row r="236" spans="1:20" x14ac:dyDescent="0.2">
      <c r="A236">
        <v>399</v>
      </c>
      <c r="B236" s="8">
        <v>46200</v>
      </c>
      <c r="C236" s="9">
        <v>0.76796296296296296</v>
      </c>
      <c r="D236" s="7" t="s">
        <v>24</v>
      </c>
      <c r="E236" s="13" t="s">
        <v>33</v>
      </c>
      <c r="F236" s="16">
        <v>84.148077099999995</v>
      </c>
      <c r="G236" s="129">
        <v>2105.5153799999998</v>
      </c>
      <c r="H236" s="22">
        <v>1</v>
      </c>
      <c r="I236" s="19" t="s">
        <v>40</v>
      </c>
      <c r="J236" s="7" t="s">
        <v>29</v>
      </c>
      <c r="K236" s="16">
        <v>86.359234200000003</v>
      </c>
      <c r="L236" s="16">
        <v>49.355068199999998</v>
      </c>
      <c r="M236" s="16">
        <v>4.4596352599999998</v>
      </c>
      <c r="N236" s="16">
        <v>65.183264100000002</v>
      </c>
      <c r="O236" s="16">
        <v>4094.5686000000001</v>
      </c>
      <c r="P236" s="16">
        <v>311</v>
      </c>
      <c r="Q236" s="16">
        <v>1.3248682000000001</v>
      </c>
      <c r="R236" s="16">
        <v>1.51087058</v>
      </c>
      <c r="S236" s="16">
        <v>98.483483000000007</v>
      </c>
      <c r="T236" s="16">
        <v>0.87689055999999999</v>
      </c>
    </row>
    <row r="237" spans="1:20" x14ac:dyDescent="0.2">
      <c r="A237">
        <v>418</v>
      </c>
      <c r="B237" s="8">
        <v>46200</v>
      </c>
      <c r="C237" s="9">
        <v>0.77422453703703709</v>
      </c>
      <c r="D237" s="7" t="s">
        <v>21</v>
      </c>
      <c r="E237" s="13" t="s">
        <v>33</v>
      </c>
      <c r="F237" s="16">
        <v>83.385837600000002</v>
      </c>
      <c r="G237" s="129">
        <v>2164.9611799999998</v>
      </c>
      <c r="H237" s="22">
        <v>0</v>
      </c>
      <c r="I237" s="19"/>
      <c r="J237" s="7" t="s">
        <v>29</v>
      </c>
      <c r="K237" s="16"/>
      <c r="L237" s="16"/>
      <c r="M237" s="16"/>
      <c r="N237" s="16"/>
      <c r="O237" s="16"/>
      <c r="P237" s="16"/>
      <c r="Q237" s="16"/>
      <c r="R237" s="16"/>
      <c r="S237" s="16"/>
      <c r="T237" s="16"/>
    </row>
    <row r="238" spans="1:20" x14ac:dyDescent="0.2">
      <c r="A238">
        <v>419</v>
      </c>
      <c r="B238" s="8">
        <v>46200</v>
      </c>
      <c r="C238" s="9">
        <v>0.77440972222222226</v>
      </c>
      <c r="D238" s="7" t="s">
        <v>21</v>
      </c>
      <c r="E238" s="13" t="s">
        <v>33</v>
      </c>
      <c r="F238" s="16">
        <v>84.211590000000001</v>
      </c>
      <c r="G238" s="129">
        <v>2213.7905300000002</v>
      </c>
      <c r="H238" s="22">
        <v>1</v>
      </c>
      <c r="I238" s="19" t="s">
        <v>38</v>
      </c>
      <c r="J238" s="7" t="s">
        <v>29</v>
      </c>
      <c r="K238" s="16"/>
      <c r="L238" s="16"/>
      <c r="M238" s="16"/>
      <c r="N238" s="16">
        <v>60.294519000000001</v>
      </c>
      <c r="O238" s="16"/>
      <c r="P238" s="16"/>
      <c r="Q238" s="16"/>
      <c r="R238" s="16"/>
      <c r="S238" s="16"/>
      <c r="T238" s="16"/>
    </row>
    <row r="239" spans="1:20" x14ac:dyDescent="0.2">
      <c r="A239">
        <v>420</v>
      </c>
      <c r="B239" s="8">
        <v>46200</v>
      </c>
      <c r="C239" s="9">
        <v>0.77471064814814816</v>
      </c>
      <c r="D239" s="7" t="s">
        <v>21</v>
      </c>
      <c r="E239" s="13" t="s">
        <v>35</v>
      </c>
      <c r="F239" s="16">
        <v>75.398201700000001</v>
      </c>
      <c r="G239" s="129">
        <v>2234.5053699999999</v>
      </c>
      <c r="H239" s="22">
        <v>1</v>
      </c>
      <c r="I239" s="19" t="s">
        <v>38</v>
      </c>
      <c r="J239" s="7" t="s">
        <v>29</v>
      </c>
      <c r="K239" s="16">
        <v>60.849678400000002</v>
      </c>
      <c r="L239" s="16">
        <v>-36.341155999999998</v>
      </c>
      <c r="M239" s="16"/>
      <c r="N239" s="16">
        <v>64.789916199999993</v>
      </c>
      <c r="O239" s="16"/>
      <c r="P239" s="16">
        <v>5</v>
      </c>
      <c r="Q239" s="16">
        <v>0.93918442999999996</v>
      </c>
      <c r="R239" s="16">
        <v>1.4793327999999999</v>
      </c>
      <c r="S239" s="16">
        <v>95.845852100000002</v>
      </c>
      <c r="T239" s="16">
        <v>0.63487022000000004</v>
      </c>
    </row>
    <row r="240" spans="1:20" x14ac:dyDescent="0.2">
      <c r="A240">
        <v>421</v>
      </c>
      <c r="B240" s="8">
        <v>46200</v>
      </c>
      <c r="C240" s="9">
        <v>0.77509259259259256</v>
      </c>
      <c r="D240" s="7" t="s">
        <v>21</v>
      </c>
      <c r="E240" s="13" t="s">
        <v>46</v>
      </c>
      <c r="F240" s="16">
        <v>75.334680300000002</v>
      </c>
      <c r="G240" s="129">
        <v>770.50109899999995</v>
      </c>
      <c r="H240" s="22">
        <v>0</v>
      </c>
      <c r="I240" s="19"/>
      <c r="J240" s="7" t="s">
        <v>29</v>
      </c>
      <c r="K240" s="16"/>
      <c r="L240" s="16"/>
      <c r="M240" s="16"/>
      <c r="N240" s="16"/>
      <c r="O240" s="16"/>
      <c r="P240" s="16"/>
      <c r="Q240" s="16"/>
      <c r="R240" s="16"/>
      <c r="S240" s="16"/>
      <c r="T240" s="16"/>
    </row>
    <row r="241" spans="1:20" x14ac:dyDescent="0.2">
      <c r="A241">
        <v>422</v>
      </c>
      <c r="B241" s="8">
        <v>46200</v>
      </c>
      <c r="C241" s="9">
        <v>0.77527777777777773</v>
      </c>
      <c r="D241" s="7" t="s">
        <v>21</v>
      </c>
      <c r="E241" s="13" t="s">
        <v>33</v>
      </c>
      <c r="F241" s="16">
        <v>84.799154299999998</v>
      </c>
      <c r="G241" s="129">
        <v>2152.75659</v>
      </c>
      <c r="H241" s="22">
        <v>1</v>
      </c>
      <c r="I241" s="19" t="s">
        <v>38</v>
      </c>
      <c r="J241" s="7" t="s">
        <v>29</v>
      </c>
      <c r="K241" s="16"/>
      <c r="L241" s="16"/>
      <c r="M241" s="16"/>
      <c r="N241" s="16">
        <v>65.576607800000005</v>
      </c>
      <c r="O241" s="16"/>
      <c r="P241" s="16"/>
      <c r="Q241" s="16"/>
      <c r="R241" s="16"/>
      <c r="S241" s="16"/>
      <c r="T241" s="16"/>
    </row>
    <row r="242" spans="1:20" x14ac:dyDescent="0.2">
      <c r="A242">
        <v>423</v>
      </c>
      <c r="B242" s="8">
        <v>46200</v>
      </c>
      <c r="C242" s="9">
        <v>0.77553240740740736</v>
      </c>
      <c r="D242" s="7" t="s">
        <v>21</v>
      </c>
      <c r="E242" s="13" t="s">
        <v>46</v>
      </c>
      <c r="F242" s="16">
        <v>73.8737225</v>
      </c>
      <c r="G242" s="129">
        <v>426.58618200000001</v>
      </c>
      <c r="H242" s="22">
        <v>0</v>
      </c>
      <c r="I242" s="19"/>
      <c r="J242" s="7" t="s">
        <v>29</v>
      </c>
      <c r="K242" s="16"/>
      <c r="L242" s="16"/>
      <c r="M242" s="16"/>
      <c r="N242" s="16"/>
      <c r="O242" s="16"/>
      <c r="P242" s="16"/>
      <c r="Q242" s="16"/>
      <c r="R242" s="16"/>
      <c r="S242" s="16"/>
      <c r="T242" s="16"/>
    </row>
    <row r="243" spans="1:20" x14ac:dyDescent="0.2">
      <c r="A243">
        <v>424</v>
      </c>
      <c r="B243" s="8">
        <v>46200</v>
      </c>
      <c r="C243" s="9">
        <v>0.77571759259259254</v>
      </c>
      <c r="D243" s="7" t="s">
        <v>21</v>
      </c>
      <c r="E243" s="13" t="s">
        <v>33</v>
      </c>
      <c r="F243" s="16">
        <v>84.608590199999995</v>
      </c>
      <c r="G243" s="129">
        <v>2208.4797400000002</v>
      </c>
      <c r="H243" s="22">
        <v>1</v>
      </c>
      <c r="I243" s="19" t="s">
        <v>38</v>
      </c>
      <c r="J243" s="7" t="s">
        <v>29</v>
      </c>
      <c r="K243" s="16">
        <v>66.8249517</v>
      </c>
      <c r="L243" s="16">
        <v>-8.7242078999999997</v>
      </c>
      <c r="M243" s="16">
        <v>34.205371900000003</v>
      </c>
      <c r="N243" s="16">
        <v>61.980293400000001</v>
      </c>
      <c r="O243" s="16"/>
      <c r="P243" s="16"/>
      <c r="Q243" s="16">
        <v>1.07816446</v>
      </c>
      <c r="R243" s="16">
        <v>1.53154016</v>
      </c>
      <c r="S243" s="16">
        <v>94.925312399999996</v>
      </c>
      <c r="T243" s="16">
        <v>0.70397399999999999</v>
      </c>
    </row>
    <row r="244" spans="1:20" x14ac:dyDescent="0.2">
      <c r="A244">
        <v>425</v>
      </c>
      <c r="B244" s="8">
        <v>46200</v>
      </c>
      <c r="C244" s="9">
        <v>0.7760069444444444</v>
      </c>
      <c r="D244" s="7" t="s">
        <v>21</v>
      </c>
      <c r="E244" s="13" t="s">
        <v>46</v>
      </c>
      <c r="F244" s="16">
        <v>75.334680300000002</v>
      </c>
      <c r="G244" s="129">
        <v>742.033142</v>
      </c>
      <c r="H244" s="22">
        <v>1</v>
      </c>
      <c r="I244" s="19" t="s">
        <v>40</v>
      </c>
      <c r="J244" s="7" t="s">
        <v>29</v>
      </c>
      <c r="K244" s="16">
        <v>70.304578100000001</v>
      </c>
      <c r="L244" s="16">
        <v>15.1617832</v>
      </c>
      <c r="M244" s="16">
        <v>0.78689814000000002</v>
      </c>
      <c r="N244" s="16">
        <v>49.168406900000001</v>
      </c>
      <c r="O244" s="16">
        <v>452.89566000000002</v>
      </c>
      <c r="P244" s="16">
        <v>153</v>
      </c>
      <c r="Q244" s="16">
        <v>1.42987299</v>
      </c>
      <c r="R244" s="16">
        <v>1.56413746</v>
      </c>
      <c r="S244" s="16">
        <v>76.906152300000002</v>
      </c>
      <c r="T244" s="16">
        <v>0.91416069</v>
      </c>
    </row>
    <row r="245" spans="1:20" x14ac:dyDescent="0.2">
      <c r="A245">
        <v>453</v>
      </c>
      <c r="B245" s="8">
        <v>46200</v>
      </c>
      <c r="C245" s="9">
        <v>0.78914351851851849</v>
      </c>
      <c r="D245" s="7" t="s">
        <v>21</v>
      </c>
      <c r="E245" s="13" t="s">
        <v>33</v>
      </c>
      <c r="F245" s="16">
        <v>80.924434899999994</v>
      </c>
      <c r="G245" s="129">
        <v>1049.4462900000001</v>
      </c>
      <c r="H245" s="22">
        <v>1</v>
      </c>
      <c r="I245" s="19" t="s">
        <v>38</v>
      </c>
      <c r="J245" s="7" t="s">
        <v>29</v>
      </c>
      <c r="K245" s="16"/>
      <c r="L245" s="16"/>
      <c r="M245" s="16"/>
      <c r="N245" s="16">
        <v>63.553681099999999</v>
      </c>
      <c r="O245" s="16"/>
      <c r="P245" s="16"/>
      <c r="Q245" s="16"/>
      <c r="R245" s="16"/>
      <c r="S245" s="16"/>
      <c r="T245" s="16"/>
    </row>
    <row r="246" spans="1:20" x14ac:dyDescent="0.2">
      <c r="A246">
        <v>454</v>
      </c>
      <c r="B246" s="8">
        <v>46200</v>
      </c>
      <c r="C246" s="9">
        <v>0.78939814814814813</v>
      </c>
      <c r="D246" s="7" t="s">
        <v>21</v>
      </c>
      <c r="E246" s="13" t="s">
        <v>37</v>
      </c>
      <c r="F246" s="16">
        <v>72.920918799999995</v>
      </c>
      <c r="G246" s="129">
        <v>726.56890899999996</v>
      </c>
      <c r="H246" s="22">
        <v>0</v>
      </c>
      <c r="I246" s="19"/>
      <c r="J246" s="7" t="s">
        <v>29</v>
      </c>
      <c r="K246" s="16"/>
      <c r="L246" s="16"/>
      <c r="M246" s="16"/>
      <c r="N246" s="16"/>
      <c r="O246" s="16"/>
      <c r="P246" s="16"/>
      <c r="Q246" s="16"/>
      <c r="R246" s="16"/>
      <c r="S246" s="16"/>
      <c r="T246" s="16"/>
    </row>
    <row r="247" spans="1:20" x14ac:dyDescent="0.2">
      <c r="A247">
        <v>455</v>
      </c>
      <c r="B247" s="8">
        <v>46200</v>
      </c>
      <c r="C247" s="9">
        <v>0.78959490740740745</v>
      </c>
      <c r="D247" s="7" t="s">
        <v>21</v>
      </c>
      <c r="E247" s="13" t="s">
        <v>33</v>
      </c>
      <c r="F247" s="16">
        <v>82.957076700000002</v>
      </c>
      <c r="G247" s="129">
        <v>1098.6523400000001</v>
      </c>
      <c r="H247" s="22">
        <v>1</v>
      </c>
      <c r="I247" s="19" t="s">
        <v>38</v>
      </c>
      <c r="J247" s="7" t="s">
        <v>29</v>
      </c>
      <c r="K247" s="16"/>
      <c r="L247" s="16"/>
      <c r="M247" s="16"/>
      <c r="N247" s="16">
        <v>63.272719899999998</v>
      </c>
      <c r="O247" s="16"/>
      <c r="P247" s="16"/>
      <c r="Q247" s="16"/>
      <c r="R247" s="16"/>
      <c r="S247" s="16"/>
      <c r="T247" s="16"/>
    </row>
    <row r="248" spans="1:20" x14ac:dyDescent="0.2">
      <c r="A248">
        <v>456</v>
      </c>
      <c r="B248" s="8">
        <v>46200</v>
      </c>
      <c r="C248" s="9">
        <v>0.78989583333333335</v>
      </c>
      <c r="D248" s="7" t="s">
        <v>21</v>
      </c>
      <c r="E248" s="13" t="s">
        <v>37</v>
      </c>
      <c r="F248" s="16">
        <v>74.191321099999996</v>
      </c>
      <c r="G248" s="129">
        <v>721.65374799999995</v>
      </c>
      <c r="H248" s="22">
        <v>0</v>
      </c>
      <c r="I248" s="19"/>
      <c r="J248" s="7" t="s">
        <v>29</v>
      </c>
      <c r="K248" s="16"/>
      <c r="L248" s="16"/>
      <c r="M248" s="16"/>
      <c r="N248" s="16"/>
      <c r="O248" s="16"/>
      <c r="P248" s="16"/>
      <c r="Q248" s="16"/>
      <c r="R248" s="16"/>
      <c r="S248" s="16"/>
      <c r="T248" s="16"/>
    </row>
    <row r="249" spans="1:20" x14ac:dyDescent="0.2">
      <c r="A249">
        <v>457</v>
      </c>
      <c r="B249" s="8">
        <v>46200</v>
      </c>
      <c r="C249" s="9">
        <v>0.79010416666666672</v>
      </c>
      <c r="D249" s="7" t="s">
        <v>21</v>
      </c>
      <c r="E249" s="13" t="s">
        <v>33</v>
      </c>
      <c r="F249" s="16">
        <v>84.2909918</v>
      </c>
      <c r="G249" s="129">
        <v>2194.3960000000002</v>
      </c>
      <c r="H249" s="22">
        <v>1</v>
      </c>
      <c r="I249" s="19" t="s">
        <v>45</v>
      </c>
      <c r="J249" s="7" t="s">
        <v>29</v>
      </c>
      <c r="K249" s="16"/>
      <c r="L249" s="16"/>
      <c r="M249" s="16"/>
      <c r="N249" s="16">
        <v>57.260122500000001</v>
      </c>
      <c r="O249" s="16"/>
      <c r="P249" s="16"/>
      <c r="Q249" s="16"/>
      <c r="R249" s="16"/>
      <c r="S249" s="16"/>
      <c r="T249" s="16"/>
    </row>
    <row r="250" spans="1:20" x14ac:dyDescent="0.2">
      <c r="A250">
        <v>486</v>
      </c>
      <c r="B250" s="8">
        <v>46203</v>
      </c>
      <c r="C250" s="9">
        <v>0.78057870370370375</v>
      </c>
      <c r="D250" s="7" t="s">
        <v>24</v>
      </c>
      <c r="E250" s="13" t="s">
        <v>33</v>
      </c>
      <c r="F250" s="16">
        <v>81.940755199999998</v>
      </c>
      <c r="G250" s="129">
        <v>1056.19128</v>
      </c>
      <c r="H250" s="22">
        <v>1</v>
      </c>
      <c r="I250" s="19" t="s">
        <v>40</v>
      </c>
      <c r="J250" s="7" t="s">
        <v>29</v>
      </c>
      <c r="K250" s="16">
        <v>78.079838800000005</v>
      </c>
      <c r="L250" s="16">
        <v>11.649668699999999</v>
      </c>
      <c r="M250" s="16">
        <v>5.5475926400000004</v>
      </c>
      <c r="N250" s="16">
        <v>62.682698100000003</v>
      </c>
      <c r="O250" s="16">
        <v>620.72882100000004</v>
      </c>
      <c r="P250" s="16">
        <v>154</v>
      </c>
      <c r="Q250" s="16">
        <v>1.24563622</v>
      </c>
      <c r="R250" s="16">
        <v>1.5073882300000001</v>
      </c>
      <c r="S250" s="16">
        <v>94.487156400000003</v>
      </c>
      <c r="T250" s="16">
        <v>0.82635400000000003</v>
      </c>
    </row>
    <row r="251" spans="1:20" x14ac:dyDescent="0.2">
      <c r="A251">
        <v>521</v>
      </c>
      <c r="B251" s="8">
        <v>46203</v>
      </c>
      <c r="C251" s="9">
        <v>0.79548611111111112</v>
      </c>
      <c r="D251" s="7" t="s">
        <v>24</v>
      </c>
      <c r="E251" s="13" t="s">
        <v>37</v>
      </c>
      <c r="F251" s="16">
        <v>69.109720499999995</v>
      </c>
      <c r="G251" s="129">
        <v>1103.8912399999999</v>
      </c>
      <c r="H251" s="22">
        <v>0</v>
      </c>
      <c r="I251" s="19"/>
      <c r="J251" s="7" t="s">
        <v>29</v>
      </c>
      <c r="K251" s="16"/>
      <c r="L251" s="16"/>
      <c r="M251" s="16"/>
      <c r="N251" s="16"/>
      <c r="O251" s="16"/>
      <c r="P251" s="16"/>
      <c r="Q251" s="16"/>
      <c r="R251" s="16"/>
      <c r="S251" s="16"/>
      <c r="T251" s="16"/>
    </row>
    <row r="252" spans="1:20" x14ac:dyDescent="0.2">
      <c r="A252">
        <v>522</v>
      </c>
      <c r="B252" s="8">
        <v>46203</v>
      </c>
      <c r="C252" s="9">
        <v>0.79565972222222225</v>
      </c>
      <c r="D252" s="7" t="s">
        <v>24</v>
      </c>
      <c r="E252" s="13" t="s">
        <v>33</v>
      </c>
      <c r="F252" s="16">
        <v>83.719316399999997</v>
      </c>
      <c r="G252" s="129">
        <v>2184.1374500000002</v>
      </c>
      <c r="H252" s="22">
        <v>1</v>
      </c>
      <c r="I252" s="19" t="s">
        <v>39</v>
      </c>
      <c r="J252" s="7" t="s">
        <v>29</v>
      </c>
      <c r="K252" s="16"/>
      <c r="L252" s="16"/>
      <c r="M252" s="16"/>
      <c r="N252" s="16">
        <v>64.115607199999999</v>
      </c>
      <c r="O252" s="16"/>
      <c r="P252" s="16"/>
      <c r="Q252" s="16"/>
      <c r="R252" s="16"/>
      <c r="S252" s="16"/>
      <c r="T252" s="16"/>
    </row>
    <row r="253" spans="1:20" x14ac:dyDescent="0.2">
      <c r="A253">
        <v>523</v>
      </c>
      <c r="B253" s="8">
        <v>46203</v>
      </c>
      <c r="C253" s="9">
        <v>0.79591435185185189</v>
      </c>
      <c r="D253" s="7" t="s">
        <v>24</v>
      </c>
      <c r="E253" s="13" t="s">
        <v>35</v>
      </c>
      <c r="F253" s="16">
        <v>75.699919899999998</v>
      </c>
      <c r="G253" s="129">
        <v>1464.8747599999999</v>
      </c>
      <c r="H253" s="22">
        <v>1</v>
      </c>
      <c r="I253" s="19" t="s">
        <v>38</v>
      </c>
      <c r="J253" s="7" t="s">
        <v>29</v>
      </c>
      <c r="K253" s="16"/>
      <c r="L253" s="16"/>
      <c r="M253" s="16"/>
      <c r="N253" s="16">
        <v>54.338117199999999</v>
      </c>
      <c r="O253" s="16"/>
      <c r="P253" s="16"/>
      <c r="Q253" s="16"/>
      <c r="R253" s="16"/>
      <c r="S253" s="16"/>
      <c r="T253" s="16"/>
    </row>
    <row r="254" spans="1:20" x14ac:dyDescent="0.2">
      <c r="A254">
        <v>524</v>
      </c>
      <c r="B254" s="8">
        <v>46203</v>
      </c>
      <c r="C254" s="9">
        <v>0.79625000000000001</v>
      </c>
      <c r="D254" s="7" t="s">
        <v>24</v>
      </c>
      <c r="E254" s="13" t="s">
        <v>37</v>
      </c>
      <c r="F254" s="16">
        <v>69.474960100000004</v>
      </c>
      <c r="G254" s="129">
        <v>1159.89417</v>
      </c>
      <c r="H254" s="22">
        <v>0</v>
      </c>
      <c r="I254" s="19" t="s">
        <v>41</v>
      </c>
      <c r="J254" s="7" t="s">
        <v>29</v>
      </c>
      <c r="K254" s="16"/>
      <c r="L254" s="16"/>
      <c r="M254" s="16"/>
      <c r="N254" s="16"/>
      <c r="O254" s="16"/>
      <c r="P254" s="16"/>
      <c r="Q254" s="16"/>
      <c r="R254" s="16"/>
      <c r="S254" s="16"/>
      <c r="T254" s="16"/>
    </row>
    <row r="255" spans="1:20" x14ac:dyDescent="0.2">
      <c r="A255">
        <v>532</v>
      </c>
      <c r="B255" s="8">
        <v>46203</v>
      </c>
      <c r="C255" s="9">
        <v>0.80001157407407408</v>
      </c>
      <c r="D255" s="7" t="s">
        <v>28</v>
      </c>
      <c r="E255" s="13" t="s">
        <v>33</v>
      </c>
      <c r="F255" s="16">
        <v>76.350997100000001</v>
      </c>
      <c r="G255" s="129">
        <v>2012.8970899999999</v>
      </c>
      <c r="H255" s="22">
        <v>0</v>
      </c>
      <c r="I255" s="19"/>
      <c r="J255" s="7" t="s">
        <v>29</v>
      </c>
      <c r="K255" s="16"/>
      <c r="L255" s="16"/>
      <c r="M255" s="16"/>
      <c r="N255" s="16"/>
      <c r="O255" s="16"/>
      <c r="P255" s="16"/>
      <c r="Q255" s="16"/>
      <c r="R255" s="16"/>
      <c r="S255" s="16"/>
      <c r="T255" s="16"/>
    </row>
    <row r="256" spans="1:20" x14ac:dyDescent="0.2">
      <c r="A256">
        <v>533</v>
      </c>
      <c r="B256" s="8">
        <v>46203</v>
      </c>
      <c r="C256" s="9">
        <v>0.80018518518518522</v>
      </c>
      <c r="D256" s="7" t="s">
        <v>28</v>
      </c>
      <c r="E256" s="13" t="s">
        <v>33</v>
      </c>
      <c r="F256" s="16">
        <v>74.890039200000004</v>
      </c>
      <c r="G256" s="129">
        <v>2068.6967800000002</v>
      </c>
      <c r="H256" s="22">
        <v>0</v>
      </c>
      <c r="I256" s="19"/>
      <c r="J256" s="7" t="s">
        <v>29</v>
      </c>
      <c r="K256" s="16"/>
      <c r="L256" s="16"/>
      <c r="M256" s="16"/>
      <c r="N256" s="16"/>
      <c r="O256" s="16"/>
      <c r="P256" s="16"/>
      <c r="Q256" s="16"/>
      <c r="R256" s="16"/>
      <c r="S256" s="16"/>
      <c r="T256" s="16"/>
    </row>
    <row r="257" spans="1:20" x14ac:dyDescent="0.2">
      <c r="A257">
        <v>534</v>
      </c>
      <c r="B257" s="8">
        <v>46203</v>
      </c>
      <c r="C257" s="9">
        <v>0.80041666666666667</v>
      </c>
      <c r="D257" s="7" t="s">
        <v>28</v>
      </c>
      <c r="E257" s="13" t="s">
        <v>33</v>
      </c>
      <c r="F257" s="16">
        <v>74.683594600000006</v>
      </c>
      <c r="G257" s="129">
        <v>2108.6950700000002</v>
      </c>
      <c r="H257" s="22">
        <v>0</v>
      </c>
      <c r="I257" s="19"/>
      <c r="J257" s="7" t="s">
        <v>29</v>
      </c>
      <c r="K257" s="16"/>
      <c r="L257" s="16"/>
      <c r="M257" s="16"/>
      <c r="N257" s="16"/>
      <c r="O257" s="16"/>
      <c r="P257" s="16"/>
      <c r="Q257" s="16"/>
      <c r="R257" s="16"/>
      <c r="S257" s="16"/>
      <c r="T257" s="16"/>
    </row>
    <row r="258" spans="1:20" x14ac:dyDescent="0.2">
      <c r="A258">
        <v>535</v>
      </c>
      <c r="B258" s="8">
        <v>46203</v>
      </c>
      <c r="C258" s="9">
        <v>0.80071759259259256</v>
      </c>
      <c r="D258" s="7" t="s">
        <v>28</v>
      </c>
      <c r="E258" s="13" t="s">
        <v>33</v>
      </c>
      <c r="F258" s="16">
        <v>74.937680400000005</v>
      </c>
      <c r="G258" s="129">
        <v>1080.8228799999999</v>
      </c>
      <c r="H258" s="22">
        <v>0</v>
      </c>
      <c r="I258" s="19"/>
      <c r="J258" s="7" t="s">
        <v>29</v>
      </c>
      <c r="K258" s="16"/>
      <c r="L258" s="16"/>
      <c r="M258" s="16"/>
      <c r="N258" s="16"/>
      <c r="O258" s="16"/>
      <c r="P258" s="16"/>
      <c r="Q258" s="16"/>
      <c r="R258" s="16"/>
      <c r="S258" s="16"/>
      <c r="T258" s="16"/>
    </row>
    <row r="259" spans="1:20" x14ac:dyDescent="0.2">
      <c r="A259">
        <v>536</v>
      </c>
      <c r="B259" s="8">
        <v>46203</v>
      </c>
      <c r="C259" s="9">
        <v>0.80092592592592593</v>
      </c>
      <c r="D259" s="7" t="s">
        <v>28</v>
      </c>
      <c r="E259" s="13" t="s">
        <v>33</v>
      </c>
      <c r="F259" s="16">
        <v>72.539799000000002</v>
      </c>
      <c r="G259" s="129">
        <v>1973.9798599999999</v>
      </c>
      <c r="H259" s="22">
        <v>1</v>
      </c>
      <c r="I259" s="19" t="s">
        <v>40</v>
      </c>
      <c r="J259" s="7" t="s">
        <v>29</v>
      </c>
      <c r="K259" s="16">
        <v>72.851603299999994</v>
      </c>
      <c r="L259" s="16">
        <v>-15.006752000000001</v>
      </c>
      <c r="M259" s="16">
        <v>-3.5560808000000002</v>
      </c>
      <c r="N259" s="16">
        <v>58.608744600000001</v>
      </c>
      <c r="O259" s="16">
        <v>1505.93408</v>
      </c>
      <c r="P259" s="16">
        <v>18</v>
      </c>
      <c r="Q259" s="16">
        <v>1.2430158899999999</v>
      </c>
      <c r="R259" s="16">
        <v>1.49573731</v>
      </c>
      <c r="S259" s="16">
        <v>87.663291599999994</v>
      </c>
      <c r="T259" s="16">
        <v>0.83103888999999997</v>
      </c>
    </row>
    <row r="260" spans="1:20" x14ac:dyDescent="0.2">
      <c r="A260">
        <v>573</v>
      </c>
      <c r="B260" s="8">
        <v>46203</v>
      </c>
      <c r="C260" s="9">
        <v>0.81549768518518517</v>
      </c>
      <c r="D260" s="7" t="s">
        <v>25</v>
      </c>
      <c r="E260" s="13" t="s">
        <v>35</v>
      </c>
      <c r="F260" s="16">
        <v>70.507161300000007</v>
      </c>
      <c r="G260" s="129">
        <v>1677.71399</v>
      </c>
      <c r="H260" s="22">
        <v>0</v>
      </c>
      <c r="I260" s="19"/>
      <c r="J260" s="7" t="s">
        <v>29</v>
      </c>
      <c r="K260" s="16"/>
      <c r="L260" s="16"/>
      <c r="M260" s="16"/>
      <c r="N260" s="16"/>
      <c r="O260" s="16"/>
      <c r="P260" s="16"/>
      <c r="Q260" s="16"/>
      <c r="R260" s="16"/>
      <c r="S260" s="16"/>
      <c r="T260" s="16"/>
    </row>
    <row r="261" spans="1:20" x14ac:dyDescent="0.2">
      <c r="A261">
        <v>574</v>
      </c>
      <c r="B261" s="8">
        <v>46203</v>
      </c>
      <c r="C261" s="9">
        <v>0.81581018518518522</v>
      </c>
      <c r="D261" s="7" t="s">
        <v>25</v>
      </c>
      <c r="E261" s="13" t="s">
        <v>33</v>
      </c>
      <c r="F261" s="16">
        <v>82.575956899999994</v>
      </c>
      <c r="G261" s="129">
        <v>1850.34619</v>
      </c>
      <c r="H261" s="22">
        <v>0</v>
      </c>
      <c r="I261" s="19"/>
      <c r="J261" s="7" t="s">
        <v>29</v>
      </c>
      <c r="K261" s="16"/>
      <c r="L261" s="16"/>
      <c r="M261" s="16"/>
      <c r="N261" s="16"/>
      <c r="O261" s="16"/>
      <c r="P261" s="16"/>
      <c r="Q261" s="16"/>
      <c r="R261" s="16"/>
      <c r="S261" s="16"/>
      <c r="T261" s="16"/>
    </row>
    <row r="262" spans="1:20" x14ac:dyDescent="0.2">
      <c r="A262">
        <v>575</v>
      </c>
      <c r="B262" s="8">
        <v>46203</v>
      </c>
      <c r="C262" s="9">
        <v>0.8160532407407407</v>
      </c>
      <c r="D262" s="7" t="s">
        <v>25</v>
      </c>
      <c r="E262" s="13" t="s">
        <v>33</v>
      </c>
      <c r="F262" s="16">
        <v>83.909872100000001</v>
      </c>
      <c r="G262" s="129">
        <v>1046.72864</v>
      </c>
      <c r="H262" s="22">
        <v>0</v>
      </c>
      <c r="I262" s="19"/>
      <c r="J262" s="7" t="s">
        <v>29</v>
      </c>
      <c r="K262" s="16"/>
      <c r="L262" s="16"/>
      <c r="M262" s="16"/>
      <c r="N262" s="16"/>
      <c r="O262" s="16"/>
      <c r="P262" s="16"/>
      <c r="Q262" s="16"/>
      <c r="R262" s="16"/>
      <c r="S262" s="16"/>
      <c r="T262" s="16"/>
    </row>
    <row r="263" spans="1:20" x14ac:dyDescent="0.2">
      <c r="A263">
        <v>576</v>
      </c>
      <c r="B263" s="8">
        <v>46203</v>
      </c>
      <c r="C263" s="9">
        <v>0.81630787037037034</v>
      </c>
      <c r="D263" s="7" t="s">
        <v>25</v>
      </c>
      <c r="E263" s="13" t="s">
        <v>37</v>
      </c>
      <c r="F263" s="16">
        <v>70.126041499999999</v>
      </c>
      <c r="G263" s="129">
        <v>1089.3875700000001</v>
      </c>
      <c r="H263" s="22">
        <v>1</v>
      </c>
      <c r="I263" s="19" t="s">
        <v>38</v>
      </c>
      <c r="J263" s="7" t="s">
        <v>29</v>
      </c>
      <c r="K263" s="16">
        <v>71.629430999999997</v>
      </c>
      <c r="L263" s="16">
        <v>49.215469400000003</v>
      </c>
      <c r="M263" s="16">
        <v>41.464122799999998</v>
      </c>
      <c r="N263" s="16">
        <v>60.041649499999998</v>
      </c>
      <c r="O263" s="16">
        <v>4671.3803699999999</v>
      </c>
      <c r="P263" s="16">
        <v>239</v>
      </c>
      <c r="Q263" s="16">
        <v>1.19299567</v>
      </c>
      <c r="R263" s="16">
        <v>1.47225213</v>
      </c>
      <c r="S263" s="16">
        <v>88.396441300000006</v>
      </c>
      <c r="T263" s="16">
        <v>0.81032028</v>
      </c>
    </row>
    <row r="264" spans="1:20" x14ac:dyDescent="0.2">
      <c r="A264">
        <v>577</v>
      </c>
      <c r="B264" s="8">
        <v>46203</v>
      </c>
      <c r="C264" s="9">
        <v>0.81663194444444442</v>
      </c>
      <c r="D264" s="7" t="s">
        <v>25</v>
      </c>
      <c r="E264" s="13" t="s">
        <v>37</v>
      </c>
      <c r="F264" s="16">
        <v>71.0153198</v>
      </c>
      <c r="G264" s="129">
        <v>1974.88318</v>
      </c>
      <c r="H264" s="22">
        <v>1</v>
      </c>
      <c r="I264" s="19" t="s">
        <v>38</v>
      </c>
      <c r="J264" s="7" t="s">
        <v>29</v>
      </c>
      <c r="K264" s="16"/>
      <c r="L264" s="16"/>
      <c r="M264" s="16"/>
      <c r="N264" s="16">
        <v>64.902298900000005</v>
      </c>
      <c r="O264" s="16"/>
      <c r="P264" s="16"/>
      <c r="Q264" s="16"/>
      <c r="R264" s="16"/>
      <c r="S264" s="16"/>
      <c r="T264" s="16"/>
    </row>
    <row r="265" spans="1:20" x14ac:dyDescent="0.2">
      <c r="A265">
        <v>578</v>
      </c>
      <c r="B265" s="8">
        <v>46203</v>
      </c>
      <c r="C265" s="9">
        <v>0.81708333333333338</v>
      </c>
      <c r="D265" s="7" t="s">
        <v>25</v>
      </c>
      <c r="E265" s="13" t="s">
        <v>35</v>
      </c>
      <c r="F265" s="16">
        <v>73.413201099999995</v>
      </c>
      <c r="G265" s="129">
        <v>1682.6293900000001</v>
      </c>
      <c r="H265" s="22">
        <v>1</v>
      </c>
      <c r="I265" s="19" t="s">
        <v>38</v>
      </c>
      <c r="J265" s="7" t="s">
        <v>29</v>
      </c>
      <c r="K265" s="16"/>
      <c r="L265" s="16"/>
      <c r="M265" s="16"/>
      <c r="N265" s="16">
        <v>63.441294499999998</v>
      </c>
      <c r="O265" s="16"/>
      <c r="P265" s="16"/>
      <c r="Q265" s="16"/>
      <c r="R265" s="16"/>
      <c r="S265" s="16"/>
      <c r="T265" s="16"/>
    </row>
    <row r="266" spans="1:20" x14ac:dyDescent="0.2">
      <c r="A266">
        <v>579</v>
      </c>
      <c r="B266" s="8">
        <v>46203</v>
      </c>
      <c r="C266" s="9">
        <v>0.81759259259259254</v>
      </c>
      <c r="D266" s="7" t="s">
        <v>25</v>
      </c>
      <c r="E266" s="13" t="s">
        <v>37</v>
      </c>
      <c r="F266" s="16">
        <v>73.8102011</v>
      </c>
      <c r="G266" s="129">
        <v>2259.9777800000002</v>
      </c>
      <c r="H266" s="22">
        <v>0</v>
      </c>
      <c r="I266" s="19" t="s">
        <v>48</v>
      </c>
      <c r="J266" s="7" t="s">
        <v>29</v>
      </c>
      <c r="K266" s="16"/>
      <c r="L266" s="16"/>
      <c r="M266" s="16"/>
      <c r="N266" s="16"/>
      <c r="O266" s="16"/>
      <c r="P266" s="16"/>
      <c r="Q266" s="16"/>
      <c r="R266" s="16"/>
      <c r="S266" s="16"/>
      <c r="T266" s="16"/>
    </row>
    <row r="267" spans="1:20" x14ac:dyDescent="0.2">
      <c r="A267">
        <v>580</v>
      </c>
      <c r="B267" s="8">
        <v>46203</v>
      </c>
      <c r="C267" s="9">
        <v>0.81792824074074078</v>
      </c>
      <c r="D267" s="7" t="s">
        <v>25</v>
      </c>
      <c r="E267" s="13" t="s">
        <v>33</v>
      </c>
      <c r="F267" s="16">
        <v>83.211153699999997</v>
      </c>
      <c r="G267" s="129">
        <v>1971.1876199999999</v>
      </c>
      <c r="H267" s="22">
        <v>1</v>
      </c>
      <c r="I267" s="19" t="s">
        <v>39</v>
      </c>
      <c r="J267" s="7" t="s">
        <v>29</v>
      </c>
      <c r="K267" s="16"/>
      <c r="L267" s="16"/>
      <c r="M267" s="16"/>
      <c r="N267" s="16">
        <v>68.723386899999994</v>
      </c>
      <c r="O267" s="16"/>
      <c r="P267" s="16"/>
      <c r="Q267" s="16"/>
      <c r="R267" s="16"/>
      <c r="S267" s="16"/>
      <c r="T267" s="16"/>
    </row>
    <row r="268" spans="1:20" x14ac:dyDescent="0.2">
      <c r="A268">
        <v>614</v>
      </c>
      <c r="B268" s="8">
        <v>46214</v>
      </c>
      <c r="C268" s="9">
        <v>0.46696759259259257</v>
      </c>
      <c r="D268" s="7" t="s">
        <v>18</v>
      </c>
      <c r="E268" s="13" t="s">
        <v>37</v>
      </c>
      <c r="F268" s="16">
        <v>71.904602100000005</v>
      </c>
      <c r="G268" s="129">
        <v>2209.03125</v>
      </c>
      <c r="H268" s="22">
        <v>0</v>
      </c>
      <c r="I268" s="19"/>
      <c r="J268" s="7" t="s">
        <v>29</v>
      </c>
      <c r="K268" s="16"/>
      <c r="L268" s="16"/>
      <c r="M268" s="16"/>
      <c r="N268" s="16"/>
      <c r="O268" s="16"/>
      <c r="P268" s="16"/>
      <c r="Q268" s="16"/>
      <c r="R268" s="16"/>
      <c r="S268" s="16"/>
      <c r="T268" s="16"/>
    </row>
    <row r="269" spans="1:20" x14ac:dyDescent="0.2">
      <c r="A269">
        <v>615</v>
      </c>
      <c r="B269" s="8">
        <v>46214</v>
      </c>
      <c r="C269" s="9">
        <v>0.46725694444444443</v>
      </c>
      <c r="D269" s="7" t="s">
        <v>18</v>
      </c>
      <c r="E269" s="13" t="s">
        <v>36</v>
      </c>
      <c r="F269" s="16">
        <v>79.002955400000005</v>
      </c>
      <c r="G269" s="129">
        <v>2188.48486</v>
      </c>
      <c r="H269" s="22">
        <v>1</v>
      </c>
      <c r="I269" s="19" t="s">
        <v>38</v>
      </c>
      <c r="J269" s="7" t="s">
        <v>29</v>
      </c>
      <c r="K269" s="16"/>
      <c r="L269" s="16"/>
      <c r="M269" s="16"/>
      <c r="N269" s="16">
        <v>57.781460299999999</v>
      </c>
      <c r="O269" s="16"/>
      <c r="P269" s="16"/>
      <c r="Q269" s="16"/>
      <c r="R269" s="16"/>
      <c r="S269" s="16"/>
      <c r="T269" s="16"/>
    </row>
    <row r="270" spans="1:20" x14ac:dyDescent="0.2">
      <c r="A270">
        <v>616</v>
      </c>
      <c r="B270" s="8">
        <v>46214</v>
      </c>
      <c r="C270" s="9">
        <v>0.46755787037037039</v>
      </c>
      <c r="D270" s="7" t="s">
        <v>18</v>
      </c>
      <c r="E270" s="13" t="s">
        <v>37</v>
      </c>
      <c r="F270" s="16">
        <v>74.365996199999998</v>
      </c>
      <c r="G270" s="129">
        <v>2116.2336399999999</v>
      </c>
      <c r="H270" s="22">
        <v>1</v>
      </c>
      <c r="I270" s="19"/>
      <c r="J270" s="7" t="s">
        <v>29</v>
      </c>
      <c r="K270" s="16"/>
      <c r="L270" s="16"/>
      <c r="M270" s="16"/>
      <c r="N270" s="16"/>
      <c r="O270" s="16"/>
      <c r="P270" s="16"/>
      <c r="Q270" s="16"/>
      <c r="R270" s="16"/>
      <c r="S270" s="16"/>
      <c r="T270" s="16"/>
    </row>
    <row r="271" spans="1:20" x14ac:dyDescent="0.2">
      <c r="A271">
        <v>617</v>
      </c>
      <c r="B271" s="8">
        <v>46214</v>
      </c>
      <c r="C271" s="9">
        <v>0.4677662037037037</v>
      </c>
      <c r="D271" s="7" t="s">
        <v>18</v>
      </c>
      <c r="E271" s="13" t="s">
        <v>33</v>
      </c>
      <c r="F271" s="16">
        <v>84.926197099999996</v>
      </c>
      <c r="G271" s="129">
        <v>2390.2192399999999</v>
      </c>
      <c r="H271" s="22">
        <v>1</v>
      </c>
      <c r="I271" s="19" t="s">
        <v>45</v>
      </c>
      <c r="J271" s="7" t="s">
        <v>29</v>
      </c>
      <c r="K271" s="16"/>
      <c r="L271" s="16"/>
      <c r="M271" s="16"/>
      <c r="N271" s="16">
        <v>58.231123400000001</v>
      </c>
      <c r="O271" s="16"/>
      <c r="P271" s="16"/>
      <c r="Q271" s="16"/>
      <c r="R271" s="16"/>
      <c r="S271" s="16"/>
      <c r="T271" s="16"/>
    </row>
    <row r="272" spans="1:20" x14ac:dyDescent="0.2">
      <c r="A272">
        <v>678</v>
      </c>
      <c r="B272" s="8">
        <v>46214</v>
      </c>
      <c r="C272" s="9">
        <v>0.49185185185185187</v>
      </c>
      <c r="D272" s="7" t="s">
        <v>18</v>
      </c>
      <c r="E272" s="13" t="s">
        <v>33</v>
      </c>
      <c r="F272" s="16">
        <v>83.766957300000001</v>
      </c>
      <c r="G272" s="129">
        <v>2253.0163600000001</v>
      </c>
      <c r="H272" s="22">
        <v>0</v>
      </c>
      <c r="I272" s="19"/>
      <c r="J272" s="7" t="s">
        <v>29</v>
      </c>
      <c r="K272" s="16"/>
      <c r="L272" s="16"/>
      <c r="M272" s="16"/>
      <c r="N272" s="16"/>
      <c r="O272" s="16"/>
      <c r="P272" s="16"/>
      <c r="Q272" s="16"/>
      <c r="R272" s="16"/>
      <c r="S272" s="16"/>
      <c r="T272" s="16"/>
    </row>
    <row r="273" spans="1:20" x14ac:dyDescent="0.2">
      <c r="A273">
        <v>679</v>
      </c>
      <c r="B273" s="8">
        <v>46214</v>
      </c>
      <c r="C273" s="9">
        <v>0.49209490740740741</v>
      </c>
      <c r="D273" s="7" t="s">
        <v>18</v>
      </c>
      <c r="E273" s="13" t="s">
        <v>33</v>
      </c>
      <c r="F273" s="16">
        <v>84.2909918</v>
      </c>
      <c r="G273" s="129">
        <v>2348.6655300000002</v>
      </c>
      <c r="H273" s="22">
        <v>0</v>
      </c>
      <c r="I273" s="19"/>
      <c r="J273" s="7" t="s">
        <v>29</v>
      </c>
      <c r="K273" s="16"/>
      <c r="L273" s="16"/>
      <c r="M273" s="16"/>
      <c r="N273" s="16"/>
      <c r="O273" s="16"/>
      <c r="P273" s="16"/>
      <c r="Q273" s="16"/>
      <c r="R273" s="16"/>
      <c r="S273" s="16"/>
      <c r="T273" s="16"/>
    </row>
    <row r="274" spans="1:20" x14ac:dyDescent="0.2">
      <c r="A274">
        <v>680</v>
      </c>
      <c r="B274" s="8">
        <v>46214</v>
      </c>
      <c r="C274" s="9">
        <v>0.49239583333333331</v>
      </c>
      <c r="D274" s="7" t="s">
        <v>18</v>
      </c>
      <c r="E274" s="13" t="s">
        <v>37</v>
      </c>
      <c r="F274" s="16">
        <v>73.8102011</v>
      </c>
      <c r="G274" s="129">
        <v>2215.3803699999999</v>
      </c>
      <c r="H274" s="22">
        <v>0</v>
      </c>
      <c r="I274" s="19"/>
      <c r="J274" s="7" t="s">
        <v>29</v>
      </c>
      <c r="K274" s="16"/>
      <c r="L274" s="16"/>
      <c r="M274" s="16"/>
      <c r="N274" s="16"/>
      <c r="O274" s="16"/>
      <c r="P274" s="16"/>
      <c r="Q274" s="16"/>
      <c r="R274" s="16"/>
      <c r="S274" s="16"/>
      <c r="T274" s="16"/>
    </row>
    <row r="275" spans="1:20" x14ac:dyDescent="0.2">
      <c r="A275">
        <v>681</v>
      </c>
      <c r="B275" s="8">
        <v>46214</v>
      </c>
      <c r="C275" s="9">
        <v>0.49262731481481481</v>
      </c>
      <c r="D275" s="7" t="s">
        <v>18</v>
      </c>
      <c r="E275" s="13" t="s">
        <v>36</v>
      </c>
      <c r="F275" s="16">
        <v>78.367758600000002</v>
      </c>
      <c r="G275" s="129">
        <v>2216.6984900000002</v>
      </c>
      <c r="H275" s="22">
        <v>0</v>
      </c>
      <c r="I275" s="19" t="s">
        <v>48</v>
      </c>
      <c r="J275" s="7" t="s">
        <v>29</v>
      </c>
      <c r="K275" s="16"/>
      <c r="L275" s="16"/>
      <c r="M275" s="16"/>
      <c r="N275" s="16"/>
      <c r="O275" s="16"/>
      <c r="P275" s="16"/>
      <c r="Q275" s="16"/>
      <c r="R275" s="16"/>
      <c r="S275" s="16"/>
      <c r="T275" s="16"/>
    </row>
    <row r="276" spans="1:20" x14ac:dyDescent="0.2">
      <c r="A276">
        <v>682</v>
      </c>
      <c r="B276" s="8">
        <v>46214</v>
      </c>
      <c r="C276" s="9">
        <v>0.49283564814814818</v>
      </c>
      <c r="D276" s="7" t="s">
        <v>18</v>
      </c>
      <c r="E276" s="13" t="s">
        <v>33</v>
      </c>
      <c r="F276" s="16">
        <v>82.194837199999995</v>
      </c>
      <c r="G276" s="129">
        <v>1122.8449700000001</v>
      </c>
      <c r="H276" s="22">
        <v>1</v>
      </c>
      <c r="I276" s="19" t="s">
        <v>38</v>
      </c>
      <c r="J276" s="7" t="s">
        <v>29</v>
      </c>
      <c r="K276" s="16">
        <v>71.242559600000007</v>
      </c>
      <c r="L276" s="16">
        <v>52.924514799999997</v>
      </c>
      <c r="M276" s="16"/>
      <c r="N276" s="16">
        <v>62.053239900000001</v>
      </c>
      <c r="O276" s="16">
        <v>4982.3388699999996</v>
      </c>
      <c r="P276" s="16">
        <v>230</v>
      </c>
      <c r="Q276" s="16">
        <v>1.1480876200000001</v>
      </c>
      <c r="R276" s="16">
        <v>1.63136971</v>
      </c>
      <c r="S276" s="16">
        <v>101.231773</v>
      </c>
      <c r="T276" s="16">
        <v>0.70375694</v>
      </c>
    </row>
    <row r="277" spans="1:20" x14ac:dyDescent="0.2">
      <c r="A277">
        <v>718</v>
      </c>
      <c r="B277" s="8">
        <v>46214</v>
      </c>
      <c r="C277" s="9">
        <v>0.50624999999999998</v>
      </c>
      <c r="D277" s="7" t="s">
        <v>21</v>
      </c>
      <c r="E277" s="13" t="s">
        <v>37</v>
      </c>
      <c r="F277" s="16">
        <v>73.111482899999999</v>
      </c>
      <c r="G277" s="129">
        <v>2235.5913099999998</v>
      </c>
      <c r="H277" s="22">
        <v>0</v>
      </c>
      <c r="I277" s="19"/>
      <c r="J277" s="7" t="s">
        <v>29</v>
      </c>
      <c r="K277" s="16"/>
      <c r="L277" s="16"/>
      <c r="M277" s="16"/>
      <c r="N277" s="16"/>
      <c r="O277" s="16"/>
      <c r="P277" s="16"/>
      <c r="Q277" s="16"/>
      <c r="R277" s="16"/>
      <c r="S277" s="16"/>
      <c r="T277" s="16"/>
    </row>
    <row r="278" spans="1:20" x14ac:dyDescent="0.2">
      <c r="A278">
        <v>719</v>
      </c>
      <c r="B278" s="8">
        <v>46214</v>
      </c>
      <c r="C278" s="9">
        <v>0.50640046296296293</v>
      </c>
      <c r="D278" s="7" t="s">
        <v>21</v>
      </c>
      <c r="E278" s="13" t="s">
        <v>33</v>
      </c>
      <c r="F278" s="16">
        <v>83.639914599999997</v>
      </c>
      <c r="G278" s="129">
        <v>2179.5266099999999</v>
      </c>
      <c r="H278" s="22">
        <v>1</v>
      </c>
      <c r="I278" s="19" t="s">
        <v>39</v>
      </c>
      <c r="J278" s="7" t="s">
        <v>29</v>
      </c>
      <c r="K278" s="16"/>
      <c r="L278" s="16"/>
      <c r="M278" s="16"/>
      <c r="N278" s="16">
        <v>58.343535899999999</v>
      </c>
      <c r="O278" s="16"/>
      <c r="P278" s="16"/>
      <c r="Q278" s="16"/>
      <c r="R278" s="16"/>
      <c r="S278" s="16"/>
      <c r="T278" s="16"/>
    </row>
    <row r="279" spans="1:20" x14ac:dyDescent="0.2">
      <c r="A279">
        <v>720</v>
      </c>
      <c r="B279" s="8">
        <v>46214</v>
      </c>
      <c r="C279" s="9">
        <v>0.5065856481481481</v>
      </c>
      <c r="D279" s="7" t="s">
        <v>21</v>
      </c>
      <c r="E279" s="13" t="s">
        <v>33</v>
      </c>
      <c r="F279" s="16">
        <v>84.2909918</v>
      </c>
      <c r="G279" s="129">
        <v>1085.5052499999999</v>
      </c>
      <c r="H279" s="22">
        <v>1</v>
      </c>
      <c r="I279" s="19" t="s">
        <v>39</v>
      </c>
      <c r="J279" s="7" t="s">
        <v>29</v>
      </c>
      <c r="K279" s="16"/>
      <c r="L279" s="16"/>
      <c r="M279" s="16"/>
      <c r="N279" s="16">
        <v>67.4491747</v>
      </c>
      <c r="O279" s="16"/>
      <c r="P279" s="16"/>
      <c r="Q279" s="16"/>
      <c r="R279" s="16"/>
      <c r="S279" s="16"/>
      <c r="T279" s="16"/>
    </row>
    <row r="280" spans="1:20" x14ac:dyDescent="0.2">
      <c r="A280">
        <v>721</v>
      </c>
      <c r="B280" s="8">
        <v>46214</v>
      </c>
      <c r="C280" s="9">
        <v>0.5068287037037037</v>
      </c>
      <c r="D280" s="7" t="s">
        <v>21</v>
      </c>
      <c r="E280" s="13" t="s">
        <v>46</v>
      </c>
      <c r="F280" s="16">
        <v>73.984876499999999</v>
      </c>
      <c r="G280" s="129">
        <v>1080.2591600000001</v>
      </c>
      <c r="H280" s="22">
        <v>0</v>
      </c>
      <c r="I280" s="19"/>
      <c r="J280" s="7" t="s">
        <v>29</v>
      </c>
      <c r="K280" s="16"/>
      <c r="L280" s="16"/>
      <c r="M280" s="16"/>
      <c r="N280" s="16"/>
      <c r="O280" s="16"/>
      <c r="P280" s="16"/>
      <c r="Q280" s="16"/>
      <c r="R280" s="16"/>
      <c r="S280" s="16"/>
      <c r="T280" s="16"/>
    </row>
    <row r="281" spans="1:20" x14ac:dyDescent="0.2">
      <c r="A281">
        <v>722</v>
      </c>
      <c r="B281" s="8">
        <v>46214</v>
      </c>
      <c r="C281" s="9">
        <v>0.5070486111111111</v>
      </c>
      <c r="D281" s="7" t="s">
        <v>21</v>
      </c>
      <c r="E281" s="13" t="s">
        <v>33</v>
      </c>
      <c r="F281" s="16">
        <v>83.465227100000007</v>
      </c>
      <c r="G281" s="129">
        <v>2148.4216299999998</v>
      </c>
      <c r="H281" s="22">
        <v>1</v>
      </c>
      <c r="I281" s="19" t="s">
        <v>45</v>
      </c>
      <c r="J281" s="7" t="s">
        <v>29</v>
      </c>
      <c r="K281" s="16"/>
      <c r="L281" s="16"/>
      <c r="M281" s="16"/>
      <c r="N281" s="16">
        <v>66.8870991</v>
      </c>
      <c r="O281" s="16"/>
      <c r="P281" s="16"/>
      <c r="Q281" s="16"/>
      <c r="R281" s="16"/>
      <c r="S281" s="16"/>
      <c r="T281" s="16"/>
    </row>
    <row r="282" spans="1:20" x14ac:dyDescent="0.2">
      <c r="A282">
        <v>749</v>
      </c>
      <c r="B282" s="8">
        <v>46214</v>
      </c>
      <c r="C282" s="9">
        <v>0.51853009259259264</v>
      </c>
      <c r="D282" s="7" t="s">
        <v>22</v>
      </c>
      <c r="E282" s="13" t="s">
        <v>54</v>
      </c>
      <c r="F282" s="16">
        <v>81.416717199999994</v>
      </c>
      <c r="G282" s="129">
        <v>2013.2243699999999</v>
      </c>
      <c r="H282" s="22">
        <v>0</v>
      </c>
      <c r="I282" s="19"/>
      <c r="J282" s="7" t="s">
        <v>29</v>
      </c>
      <c r="K282" s="16"/>
      <c r="L282" s="16"/>
      <c r="M282" s="16"/>
      <c r="N282" s="16"/>
      <c r="O282" s="16"/>
      <c r="P282" s="16"/>
      <c r="Q282" s="16"/>
      <c r="R282" s="16"/>
      <c r="S282" s="16"/>
      <c r="T282" s="16"/>
    </row>
    <row r="283" spans="1:20" x14ac:dyDescent="0.2">
      <c r="A283">
        <v>750</v>
      </c>
      <c r="B283" s="8">
        <v>46214</v>
      </c>
      <c r="C283" s="9">
        <v>0.5188194444444445</v>
      </c>
      <c r="D283" s="7" t="s">
        <v>22</v>
      </c>
      <c r="E283" s="13" t="s">
        <v>54</v>
      </c>
      <c r="F283" s="16">
        <v>79.399955599999998</v>
      </c>
      <c r="G283" s="129">
        <v>1957.25037</v>
      </c>
      <c r="H283" s="22">
        <v>0</v>
      </c>
      <c r="I283" s="19"/>
      <c r="J283" s="7" t="s">
        <v>29</v>
      </c>
      <c r="K283" s="16"/>
      <c r="L283" s="16"/>
      <c r="M283" s="16"/>
      <c r="N283" s="16"/>
      <c r="O283" s="16"/>
      <c r="P283" s="16"/>
      <c r="Q283" s="16"/>
      <c r="R283" s="16"/>
      <c r="S283" s="16"/>
      <c r="T283" s="16"/>
    </row>
    <row r="284" spans="1:20" x14ac:dyDescent="0.2">
      <c r="A284">
        <v>751</v>
      </c>
      <c r="B284" s="8">
        <v>46214</v>
      </c>
      <c r="C284" s="9">
        <v>0.51932870370370365</v>
      </c>
      <c r="D284" s="7" t="s">
        <v>22</v>
      </c>
      <c r="E284" s="13" t="s">
        <v>54</v>
      </c>
      <c r="F284" s="16">
        <v>80.733879299999998</v>
      </c>
      <c r="G284" s="129">
        <v>1943.78162</v>
      </c>
      <c r="H284" s="22">
        <v>0</v>
      </c>
      <c r="I284" s="19"/>
      <c r="J284" s="7" t="s">
        <v>29</v>
      </c>
      <c r="K284" s="16"/>
      <c r="L284" s="16"/>
      <c r="M284" s="16"/>
      <c r="N284" s="16"/>
      <c r="O284" s="16"/>
      <c r="P284" s="16"/>
      <c r="Q284" s="16"/>
      <c r="R284" s="16"/>
      <c r="S284" s="16"/>
      <c r="T284" s="16"/>
    </row>
    <row r="285" spans="1:20" x14ac:dyDescent="0.2">
      <c r="A285">
        <v>752</v>
      </c>
      <c r="B285" s="8">
        <v>46214</v>
      </c>
      <c r="C285" s="9">
        <v>0.51960648148148147</v>
      </c>
      <c r="D285" s="7" t="s">
        <v>22</v>
      </c>
      <c r="E285" s="13" t="s">
        <v>58</v>
      </c>
      <c r="F285" s="16">
        <v>82.575956899999994</v>
      </c>
      <c r="G285" s="129">
        <v>2012.5124499999999</v>
      </c>
      <c r="H285" s="22">
        <v>1</v>
      </c>
      <c r="I285" s="19" t="s">
        <v>40</v>
      </c>
      <c r="J285" s="7" t="s">
        <v>29</v>
      </c>
      <c r="K285" s="16">
        <v>87.215313899999998</v>
      </c>
      <c r="L285" s="16">
        <v>33.304485300000003</v>
      </c>
      <c r="M285" s="16">
        <v>-17.669716000000001</v>
      </c>
      <c r="N285" s="16">
        <v>60.423220499999999</v>
      </c>
      <c r="O285" s="16"/>
      <c r="P285" s="16">
        <v>312</v>
      </c>
      <c r="Q285" s="16">
        <v>1.4434071799999999</v>
      </c>
      <c r="R285" s="16">
        <v>1.65501714</v>
      </c>
      <c r="S285" s="16">
        <v>100.001468</v>
      </c>
      <c r="T285" s="16">
        <v>0.87214035000000001</v>
      </c>
    </row>
    <row r="286" spans="1:20" x14ac:dyDescent="0.2">
      <c r="A286">
        <v>771</v>
      </c>
      <c r="B286" s="8">
        <v>46214</v>
      </c>
      <c r="C286" s="9">
        <v>0.53081018518518519</v>
      </c>
      <c r="D286" s="7" t="s">
        <v>25</v>
      </c>
      <c r="E286" s="13" t="s">
        <v>37</v>
      </c>
      <c r="F286" s="16">
        <v>73.095602499999998</v>
      </c>
      <c r="G286" s="129">
        <v>1638.3606</v>
      </c>
      <c r="H286" s="22">
        <v>1</v>
      </c>
      <c r="I286" s="19" t="s">
        <v>39</v>
      </c>
      <c r="J286" s="7" t="s">
        <v>29</v>
      </c>
      <c r="K286" s="16"/>
      <c r="L286" s="16"/>
      <c r="M286" s="16"/>
      <c r="N286" s="16">
        <v>63.964300199999997</v>
      </c>
      <c r="O286" s="16"/>
      <c r="P286" s="16"/>
      <c r="Q286" s="16"/>
      <c r="R286" s="16"/>
      <c r="S286" s="16"/>
      <c r="T286" s="16"/>
    </row>
    <row r="287" spans="1:20" x14ac:dyDescent="0.2">
      <c r="A287">
        <v>772</v>
      </c>
      <c r="B287" s="8">
        <v>46214</v>
      </c>
      <c r="C287" s="9">
        <v>0.53104166666666663</v>
      </c>
      <c r="D287" s="7" t="s">
        <v>25</v>
      </c>
      <c r="E287" s="13" t="s">
        <v>37</v>
      </c>
      <c r="F287" s="16">
        <v>73.619636999999997</v>
      </c>
      <c r="G287" s="129">
        <v>1124.6063200000001</v>
      </c>
      <c r="H287" s="22">
        <v>1</v>
      </c>
      <c r="I287" s="19"/>
      <c r="J287" s="7" t="s">
        <v>29</v>
      </c>
      <c r="K287" s="16"/>
      <c r="L287" s="16"/>
      <c r="M287" s="16"/>
      <c r="N287" s="16"/>
      <c r="O287" s="16"/>
      <c r="P287" s="16"/>
      <c r="Q287" s="16"/>
      <c r="R287" s="16"/>
      <c r="S287" s="16"/>
      <c r="T287" s="16"/>
    </row>
    <row r="288" spans="1:20" x14ac:dyDescent="0.2">
      <c r="A288">
        <v>773</v>
      </c>
      <c r="B288" s="8">
        <v>46214</v>
      </c>
      <c r="C288" s="9">
        <v>0.53151620370370367</v>
      </c>
      <c r="D288" s="7" t="s">
        <v>25</v>
      </c>
      <c r="E288" s="13" t="s">
        <v>33</v>
      </c>
      <c r="F288" s="16">
        <v>86.196590799999996</v>
      </c>
      <c r="G288" s="129">
        <v>2101.3122600000002</v>
      </c>
      <c r="H288" s="22">
        <v>0</v>
      </c>
      <c r="I288" s="19"/>
      <c r="J288" s="7" t="s">
        <v>29</v>
      </c>
      <c r="K288" s="16"/>
      <c r="L288" s="16"/>
      <c r="M288" s="16"/>
      <c r="N288" s="16"/>
      <c r="O288" s="16"/>
      <c r="P288" s="16"/>
      <c r="Q288" s="16"/>
      <c r="R288" s="16"/>
      <c r="S288" s="16"/>
      <c r="T288" s="16"/>
    </row>
    <row r="289" spans="1:20" x14ac:dyDescent="0.2">
      <c r="A289">
        <v>774</v>
      </c>
      <c r="B289" s="8">
        <v>46214</v>
      </c>
      <c r="C289" s="9">
        <v>0.53180555555555553</v>
      </c>
      <c r="D289" s="7" t="s">
        <v>25</v>
      </c>
      <c r="E289" s="13" t="s">
        <v>37</v>
      </c>
      <c r="F289" s="16">
        <v>74.556560399999995</v>
      </c>
      <c r="G289" s="129">
        <v>2208.3037100000001</v>
      </c>
      <c r="H289" s="22">
        <v>0</v>
      </c>
      <c r="I289" s="19"/>
      <c r="J289" s="7" t="s">
        <v>29</v>
      </c>
      <c r="K289" s="16"/>
      <c r="L289" s="16"/>
      <c r="M289" s="16"/>
      <c r="N289" s="16"/>
      <c r="O289" s="16"/>
      <c r="P289" s="16"/>
      <c r="Q289" s="16"/>
      <c r="R289" s="16"/>
      <c r="S289" s="16"/>
      <c r="T289" s="16"/>
    </row>
    <row r="290" spans="1:20" x14ac:dyDescent="0.2">
      <c r="A290">
        <v>775</v>
      </c>
      <c r="B290" s="8">
        <v>46214</v>
      </c>
      <c r="C290" s="9">
        <v>0.53212962962962962</v>
      </c>
      <c r="D290" s="7" t="s">
        <v>25</v>
      </c>
      <c r="E290" s="13" t="s">
        <v>33</v>
      </c>
      <c r="F290" s="16">
        <v>86.958830599999999</v>
      </c>
      <c r="G290" s="129">
        <v>2032.6457499999999</v>
      </c>
      <c r="H290" s="22">
        <v>1</v>
      </c>
      <c r="I290" s="19" t="s">
        <v>45</v>
      </c>
      <c r="J290" s="7" t="s">
        <v>29</v>
      </c>
      <c r="K290" s="16"/>
      <c r="L290" s="16"/>
      <c r="M290" s="16"/>
      <c r="N290" s="16">
        <v>70.934049200000004</v>
      </c>
      <c r="O290" s="16"/>
      <c r="P290" s="16"/>
      <c r="Q290" s="16"/>
      <c r="R290" s="16"/>
      <c r="S290" s="16"/>
      <c r="T290" s="16"/>
    </row>
    <row r="291" spans="1:20" x14ac:dyDescent="0.2">
      <c r="A291">
        <v>813</v>
      </c>
      <c r="B291" s="8">
        <v>46218</v>
      </c>
      <c r="C291" s="9">
        <v>0.45438657407407407</v>
      </c>
      <c r="D291" s="7" t="s">
        <v>25</v>
      </c>
      <c r="E291" s="13" t="s">
        <v>33</v>
      </c>
      <c r="F291" s="16">
        <v>85.847231800000003</v>
      </c>
      <c r="G291" s="129">
        <v>2098.4846200000002</v>
      </c>
      <c r="H291" s="22">
        <v>1</v>
      </c>
      <c r="I291" s="19"/>
      <c r="J291" s="7" t="s">
        <v>29</v>
      </c>
      <c r="K291" s="16"/>
      <c r="L291" s="16"/>
      <c r="M291" s="16"/>
      <c r="N291" s="16"/>
      <c r="O291" s="16"/>
      <c r="P291" s="16"/>
      <c r="Q291" s="16"/>
      <c r="R291" s="16"/>
      <c r="S291" s="16"/>
      <c r="T291" s="16"/>
    </row>
    <row r="292" spans="1:20" x14ac:dyDescent="0.2">
      <c r="A292">
        <v>814</v>
      </c>
      <c r="B292" s="8">
        <v>46218</v>
      </c>
      <c r="C292" s="9">
        <v>0.45456018518518521</v>
      </c>
      <c r="D292" s="7" t="s">
        <v>25</v>
      </c>
      <c r="E292" s="13" t="s">
        <v>33</v>
      </c>
      <c r="F292" s="16">
        <v>85.878992499999995</v>
      </c>
      <c r="G292" s="129">
        <v>1995.07483</v>
      </c>
      <c r="H292" s="22">
        <v>1</v>
      </c>
      <c r="I292" s="19" t="s">
        <v>39</v>
      </c>
      <c r="J292" s="7" t="s">
        <v>29</v>
      </c>
      <c r="K292" s="16"/>
      <c r="L292" s="16"/>
      <c r="M292" s="16"/>
      <c r="N292" s="16">
        <v>67.377951999999993</v>
      </c>
      <c r="O292" s="16"/>
      <c r="P292" s="16"/>
      <c r="Q292" s="16"/>
      <c r="R292" s="16"/>
      <c r="S292" s="16"/>
      <c r="T292" s="16"/>
    </row>
    <row r="293" spans="1:20" x14ac:dyDescent="0.2">
      <c r="A293">
        <v>815</v>
      </c>
      <c r="B293" s="8">
        <v>46218</v>
      </c>
      <c r="C293" s="9">
        <v>0.45480324074074074</v>
      </c>
      <c r="D293" s="7" t="s">
        <v>25</v>
      </c>
      <c r="E293" s="13" t="s">
        <v>37</v>
      </c>
      <c r="F293" s="16">
        <v>77.605518900000007</v>
      </c>
      <c r="G293" s="129">
        <v>2163.19</v>
      </c>
      <c r="H293" s="22">
        <v>1</v>
      </c>
      <c r="I293" s="19" t="s">
        <v>38</v>
      </c>
      <c r="J293" s="7" t="s">
        <v>29</v>
      </c>
      <c r="K293" s="16"/>
      <c r="L293" s="16"/>
      <c r="M293" s="16"/>
      <c r="N293" s="16">
        <v>61.730175799999998</v>
      </c>
      <c r="O293" s="16"/>
      <c r="P293" s="16"/>
      <c r="Q293" s="16"/>
      <c r="R293" s="16"/>
      <c r="S293" s="16"/>
      <c r="T293" s="16"/>
    </row>
    <row r="294" spans="1:20" x14ac:dyDescent="0.2">
      <c r="A294">
        <v>816</v>
      </c>
      <c r="B294" s="8">
        <v>46218</v>
      </c>
      <c r="C294" s="9">
        <v>0.45511574074074074</v>
      </c>
      <c r="D294" s="7" t="s">
        <v>25</v>
      </c>
      <c r="E294" s="13" t="s">
        <v>37</v>
      </c>
      <c r="F294" s="16">
        <v>75.906356000000002</v>
      </c>
      <c r="G294" s="129">
        <v>2050.2370599999999</v>
      </c>
      <c r="H294" s="22">
        <v>1</v>
      </c>
      <c r="I294" s="19" t="s">
        <v>38</v>
      </c>
      <c r="J294" s="7" t="s">
        <v>29</v>
      </c>
      <c r="K294" s="16"/>
      <c r="L294" s="16"/>
      <c r="M294" s="16"/>
      <c r="N294" s="16">
        <v>62.012566200000002</v>
      </c>
      <c r="O294" s="16"/>
      <c r="P294" s="16"/>
      <c r="Q294" s="16"/>
      <c r="R294" s="16"/>
      <c r="S294" s="16"/>
      <c r="T294" s="16"/>
    </row>
    <row r="295" spans="1:20" x14ac:dyDescent="0.2">
      <c r="A295">
        <v>817</v>
      </c>
      <c r="B295" s="8">
        <v>46218</v>
      </c>
      <c r="C295" s="9">
        <v>0.45559027777777777</v>
      </c>
      <c r="D295" s="7" t="s">
        <v>25</v>
      </c>
      <c r="E295" s="13" t="s">
        <v>33</v>
      </c>
      <c r="F295" s="16">
        <v>88.403908000000001</v>
      </c>
      <c r="G295" s="129">
        <v>2047.8974599999999</v>
      </c>
      <c r="H295" s="22">
        <v>0</v>
      </c>
      <c r="I295" s="19"/>
      <c r="J295" s="7" t="s">
        <v>29</v>
      </c>
      <c r="K295" s="16"/>
      <c r="L295" s="16"/>
      <c r="M295" s="16"/>
      <c r="N295" s="16">
        <v>22.591098299999999</v>
      </c>
      <c r="O295" s="16"/>
      <c r="P295" s="16"/>
      <c r="Q295" s="16"/>
      <c r="R295" s="16"/>
      <c r="S295" s="16"/>
      <c r="T295" s="16"/>
    </row>
    <row r="296" spans="1:20" x14ac:dyDescent="0.2">
      <c r="A296">
        <v>818</v>
      </c>
      <c r="B296" s="8">
        <v>46218</v>
      </c>
      <c r="C296" s="9">
        <v>0.45582175925925927</v>
      </c>
      <c r="D296" s="7" t="s">
        <v>25</v>
      </c>
      <c r="E296" s="13" t="s">
        <v>35</v>
      </c>
      <c r="F296" s="16">
        <v>73.937235299999998</v>
      </c>
      <c r="G296" s="129">
        <v>1575.0324700000001</v>
      </c>
      <c r="H296" s="22">
        <v>1</v>
      </c>
      <c r="I296" s="19" t="s">
        <v>45</v>
      </c>
      <c r="J296" s="7" t="s">
        <v>29</v>
      </c>
      <c r="K296" s="16"/>
      <c r="L296" s="16"/>
      <c r="M296" s="16"/>
      <c r="N296" s="16">
        <v>62.577342600000001</v>
      </c>
      <c r="O296" s="16"/>
      <c r="P296" s="16"/>
      <c r="Q296" s="16"/>
      <c r="R296" s="16"/>
      <c r="S296" s="16"/>
      <c r="T296" s="16"/>
    </row>
    <row r="297" spans="1:20" x14ac:dyDescent="0.2">
      <c r="A297">
        <v>848</v>
      </c>
      <c r="B297" s="8">
        <v>46218</v>
      </c>
      <c r="C297" s="9">
        <v>0.46803240740740742</v>
      </c>
      <c r="D297" s="7" t="s">
        <v>25</v>
      </c>
      <c r="E297" s="13" t="s">
        <v>33</v>
      </c>
      <c r="F297" s="16">
        <v>86.260112199999995</v>
      </c>
      <c r="G297" s="129">
        <v>1929.97253</v>
      </c>
      <c r="H297" s="22">
        <v>1</v>
      </c>
      <c r="I297" s="19" t="s">
        <v>38</v>
      </c>
      <c r="J297" s="7" t="s">
        <v>29</v>
      </c>
      <c r="K297" s="16"/>
      <c r="L297" s="16"/>
      <c r="M297" s="16"/>
      <c r="N297" s="16">
        <v>61.447785699999997</v>
      </c>
      <c r="O297" s="16"/>
      <c r="P297" s="16"/>
      <c r="Q297" s="16"/>
      <c r="R297" s="16"/>
      <c r="S297" s="16"/>
      <c r="T297" s="16"/>
    </row>
    <row r="298" spans="1:20" x14ac:dyDescent="0.2">
      <c r="A298">
        <v>849</v>
      </c>
      <c r="B298" s="8">
        <v>46218</v>
      </c>
      <c r="C298" s="9">
        <v>0.46828703703703706</v>
      </c>
      <c r="D298" s="7" t="s">
        <v>25</v>
      </c>
      <c r="E298" s="13" t="s">
        <v>33</v>
      </c>
      <c r="F298" s="16">
        <v>84.481555900000004</v>
      </c>
      <c r="G298" s="129">
        <v>1900.73621</v>
      </c>
      <c r="H298" s="22">
        <v>0</v>
      </c>
      <c r="I298" s="19"/>
      <c r="J298" s="7" t="s">
        <v>29</v>
      </c>
      <c r="K298" s="16"/>
      <c r="L298" s="16"/>
      <c r="M298" s="16"/>
      <c r="N298" s="16"/>
      <c r="O298" s="16"/>
      <c r="P298" s="16"/>
      <c r="Q298" s="16"/>
      <c r="R298" s="16"/>
      <c r="S298" s="16"/>
      <c r="T298" s="16"/>
    </row>
    <row r="299" spans="1:20" x14ac:dyDescent="0.2">
      <c r="A299">
        <v>850</v>
      </c>
      <c r="B299" s="8">
        <v>46218</v>
      </c>
      <c r="C299" s="9">
        <v>0.46855324074074073</v>
      </c>
      <c r="D299" s="7" t="s">
        <v>25</v>
      </c>
      <c r="E299" s="13" t="s">
        <v>33</v>
      </c>
      <c r="F299" s="16">
        <v>86.704753400000001</v>
      </c>
      <c r="G299" s="129">
        <v>2031.75452</v>
      </c>
      <c r="H299" s="22">
        <v>0</v>
      </c>
      <c r="I299" s="19"/>
      <c r="J299" s="7" t="s">
        <v>29</v>
      </c>
      <c r="K299" s="16"/>
      <c r="L299" s="16"/>
      <c r="M299" s="16"/>
      <c r="N299" s="16"/>
      <c r="O299" s="16"/>
      <c r="P299" s="16"/>
      <c r="Q299" s="16"/>
      <c r="R299" s="16"/>
      <c r="S299" s="16"/>
      <c r="T299" s="16"/>
    </row>
    <row r="300" spans="1:20" x14ac:dyDescent="0.2">
      <c r="A300">
        <v>851</v>
      </c>
      <c r="B300" s="8">
        <v>46218</v>
      </c>
      <c r="C300" s="9">
        <v>0.46903935185185186</v>
      </c>
      <c r="D300" s="7" t="s">
        <v>25</v>
      </c>
      <c r="E300" s="13" t="s">
        <v>33</v>
      </c>
      <c r="F300" s="16">
        <v>85.878992499999995</v>
      </c>
      <c r="G300" s="129">
        <v>1984.9428700000001</v>
      </c>
      <c r="H300" s="22">
        <v>1</v>
      </c>
      <c r="I300" s="19" t="s">
        <v>40</v>
      </c>
      <c r="J300" s="7" t="s">
        <v>29</v>
      </c>
      <c r="K300" s="16">
        <v>61.075561800000003</v>
      </c>
      <c r="L300" s="16">
        <v>32.033481600000002</v>
      </c>
      <c r="M300" s="16">
        <v>7.0858335500000003</v>
      </c>
      <c r="N300" s="16">
        <v>66.756694300000007</v>
      </c>
      <c r="O300" s="16">
        <v>1224.49011</v>
      </c>
      <c r="P300" s="16">
        <v>180</v>
      </c>
      <c r="Q300" s="16">
        <v>0.91489792000000003</v>
      </c>
      <c r="R300" s="16">
        <v>1.6220831899999999</v>
      </c>
      <c r="S300" s="16">
        <v>108.28491699999999</v>
      </c>
      <c r="T300" s="16">
        <v>0.56402649000000005</v>
      </c>
    </row>
    <row r="301" spans="1:20" x14ac:dyDescent="0.2">
      <c r="A301">
        <v>869</v>
      </c>
      <c r="B301" s="8">
        <v>46218</v>
      </c>
      <c r="C301" s="9">
        <v>0.47812500000000002</v>
      </c>
      <c r="D301" s="7" t="s">
        <v>25</v>
      </c>
      <c r="E301" s="13" t="s">
        <v>33</v>
      </c>
      <c r="F301" s="16">
        <v>85.227915199999998</v>
      </c>
      <c r="G301" s="129">
        <v>1821.2436499999999</v>
      </c>
      <c r="H301" s="22">
        <v>1</v>
      </c>
      <c r="I301" s="19" t="s">
        <v>39</v>
      </c>
      <c r="J301" s="7" t="s">
        <v>29</v>
      </c>
      <c r="K301" s="16"/>
      <c r="L301" s="16"/>
      <c r="M301" s="16"/>
      <c r="N301" s="16">
        <v>67.152038899999994</v>
      </c>
      <c r="O301" s="16"/>
      <c r="P301" s="16"/>
      <c r="Q301" s="16"/>
      <c r="R301" s="16"/>
      <c r="S301" s="16"/>
      <c r="T301" s="16"/>
    </row>
    <row r="302" spans="1:20" x14ac:dyDescent="0.2">
      <c r="A302">
        <v>870</v>
      </c>
      <c r="B302" s="8">
        <v>46218</v>
      </c>
      <c r="C302" s="9">
        <v>0.47832175925925924</v>
      </c>
      <c r="D302" s="7" t="s">
        <v>25</v>
      </c>
      <c r="E302" s="13" t="s">
        <v>37</v>
      </c>
      <c r="F302" s="16">
        <v>72.412756099999996</v>
      </c>
      <c r="G302" s="129">
        <v>2182.1904300000001</v>
      </c>
      <c r="H302" s="22">
        <v>1</v>
      </c>
      <c r="I302" s="19" t="s">
        <v>38</v>
      </c>
      <c r="J302" s="7" t="s">
        <v>29</v>
      </c>
      <c r="K302" s="16"/>
      <c r="L302" s="16"/>
      <c r="M302" s="16"/>
      <c r="N302" s="16">
        <v>65.570664300000004</v>
      </c>
      <c r="O302" s="16"/>
      <c r="P302" s="16"/>
      <c r="Q302" s="16"/>
      <c r="R302" s="16"/>
      <c r="S302" s="16"/>
      <c r="T302" s="16"/>
    </row>
    <row r="303" spans="1:20" x14ac:dyDescent="0.2">
      <c r="A303">
        <v>871</v>
      </c>
      <c r="B303" s="8">
        <v>46218</v>
      </c>
      <c r="C303" s="9">
        <v>0.47856481481481483</v>
      </c>
      <c r="D303" s="7" t="s">
        <v>25</v>
      </c>
      <c r="E303" s="13" t="s">
        <v>37</v>
      </c>
      <c r="F303" s="16">
        <v>77.351433400000005</v>
      </c>
      <c r="G303" s="129">
        <v>2263.4643599999999</v>
      </c>
      <c r="H303" s="22">
        <v>0</v>
      </c>
      <c r="I303" s="19"/>
      <c r="J303" s="7" t="s">
        <v>29</v>
      </c>
      <c r="K303" s="16"/>
      <c r="L303" s="16"/>
      <c r="M303" s="16"/>
      <c r="N303" s="16"/>
      <c r="O303" s="16"/>
      <c r="P303" s="16"/>
      <c r="Q303" s="16"/>
      <c r="R303" s="16"/>
      <c r="S303" s="16"/>
      <c r="T303" s="16"/>
    </row>
    <row r="304" spans="1:20" x14ac:dyDescent="0.2">
      <c r="A304">
        <v>872</v>
      </c>
      <c r="B304" s="8">
        <v>46218</v>
      </c>
      <c r="C304" s="9">
        <v>0.47876157407407405</v>
      </c>
      <c r="D304" s="7" t="s">
        <v>25</v>
      </c>
      <c r="E304" s="13" t="s">
        <v>33</v>
      </c>
      <c r="F304" s="16">
        <v>86.641228799999993</v>
      </c>
      <c r="G304" s="129">
        <v>1899.1694299999999</v>
      </c>
      <c r="H304" s="22">
        <v>0</v>
      </c>
      <c r="I304" s="19"/>
      <c r="J304" s="7" t="s">
        <v>29</v>
      </c>
      <c r="K304" s="16"/>
      <c r="L304" s="16"/>
      <c r="M304" s="16"/>
      <c r="N304" s="16"/>
      <c r="O304" s="16"/>
      <c r="P304" s="16"/>
      <c r="Q304" s="16"/>
      <c r="R304" s="16"/>
      <c r="S304" s="16"/>
      <c r="T304" s="16"/>
    </row>
    <row r="305" spans="1:20" x14ac:dyDescent="0.2">
      <c r="A305">
        <v>873</v>
      </c>
      <c r="B305" s="8">
        <v>46218</v>
      </c>
      <c r="C305" s="9">
        <v>0.47892361111111109</v>
      </c>
      <c r="D305" s="7" t="s">
        <v>25</v>
      </c>
      <c r="E305" s="13" t="s">
        <v>33</v>
      </c>
      <c r="F305" s="16">
        <v>85.021470600000001</v>
      </c>
      <c r="G305" s="129">
        <v>2015.77917</v>
      </c>
      <c r="H305" s="22">
        <v>0</v>
      </c>
      <c r="I305" s="19"/>
      <c r="J305" s="7" t="s">
        <v>29</v>
      </c>
      <c r="K305" s="16"/>
      <c r="L305" s="16"/>
      <c r="M305" s="16"/>
      <c r="N305" s="16"/>
      <c r="O305" s="16"/>
      <c r="P305" s="16"/>
      <c r="Q305" s="16"/>
      <c r="R305" s="16"/>
      <c r="S305" s="16"/>
      <c r="T305" s="16"/>
    </row>
    <row r="306" spans="1:20" x14ac:dyDescent="0.2">
      <c r="A306">
        <v>874</v>
      </c>
      <c r="B306" s="8">
        <v>46218</v>
      </c>
      <c r="C306" s="9">
        <v>0.47910879629629627</v>
      </c>
      <c r="D306" s="7" t="s">
        <v>25</v>
      </c>
      <c r="E306" s="13" t="s">
        <v>33</v>
      </c>
      <c r="F306" s="16">
        <v>83.782837799999996</v>
      </c>
      <c r="G306" s="129">
        <v>1949.8</v>
      </c>
      <c r="H306" s="22">
        <v>1</v>
      </c>
      <c r="I306" s="19" t="s">
        <v>38</v>
      </c>
      <c r="J306" s="7" t="s">
        <v>29</v>
      </c>
      <c r="K306" s="16"/>
      <c r="L306" s="16"/>
      <c r="M306" s="16"/>
      <c r="N306" s="16">
        <v>68.225114300000001</v>
      </c>
      <c r="O306" s="16"/>
      <c r="P306" s="16"/>
      <c r="Q306" s="16"/>
      <c r="R306" s="16"/>
      <c r="S306" s="16"/>
      <c r="T306" s="16"/>
    </row>
    <row r="307" spans="1:20" x14ac:dyDescent="0.2">
      <c r="A307">
        <v>875</v>
      </c>
      <c r="B307" s="8">
        <v>46218</v>
      </c>
      <c r="C307" s="9">
        <v>0.47939814814814813</v>
      </c>
      <c r="D307" s="7" t="s">
        <v>25</v>
      </c>
      <c r="E307" s="13" t="s">
        <v>37</v>
      </c>
      <c r="F307" s="16">
        <v>74.937680400000005</v>
      </c>
      <c r="G307" s="129">
        <v>2043.07458</v>
      </c>
      <c r="H307" s="22">
        <v>0</v>
      </c>
      <c r="I307" s="19" t="s">
        <v>48</v>
      </c>
      <c r="J307" s="7" t="s">
        <v>29</v>
      </c>
      <c r="K307" s="16"/>
      <c r="L307" s="16"/>
      <c r="M307" s="16"/>
      <c r="N307" s="16"/>
      <c r="O307" s="16"/>
      <c r="P307" s="16"/>
      <c r="Q307" s="16"/>
      <c r="R307" s="16"/>
      <c r="S307" s="16"/>
      <c r="T307" s="16"/>
    </row>
    <row r="308" spans="1:20" x14ac:dyDescent="0.2">
      <c r="A308">
        <v>876</v>
      </c>
      <c r="B308" s="8">
        <v>46218</v>
      </c>
      <c r="C308" s="9">
        <v>0.4795949074074074</v>
      </c>
      <c r="D308" s="7" t="s">
        <v>25</v>
      </c>
      <c r="E308" s="13" t="s">
        <v>33</v>
      </c>
      <c r="F308" s="16">
        <v>89.134386899999996</v>
      </c>
      <c r="G308" s="129">
        <v>2075.8168900000001</v>
      </c>
      <c r="H308" s="22">
        <v>1</v>
      </c>
      <c r="I308" s="19" t="s">
        <v>39</v>
      </c>
      <c r="J308" s="7" t="s">
        <v>29</v>
      </c>
      <c r="K308" s="16"/>
      <c r="L308" s="16"/>
      <c r="M308" s="16"/>
      <c r="N308" s="16">
        <v>59.188676100000002</v>
      </c>
      <c r="O308" s="16"/>
      <c r="P308" s="16"/>
      <c r="Q308" s="16"/>
      <c r="R308" s="16"/>
      <c r="S308" s="16"/>
      <c r="T308" s="16"/>
    </row>
    <row r="309" spans="1:20" x14ac:dyDescent="0.2">
      <c r="A309">
        <v>908</v>
      </c>
      <c r="B309" s="8">
        <v>46221</v>
      </c>
      <c r="C309" s="9">
        <v>0.43233796296296295</v>
      </c>
      <c r="D309" s="7" t="s">
        <v>18</v>
      </c>
      <c r="E309" s="13" t="s">
        <v>36</v>
      </c>
      <c r="F309" s="16">
        <v>76.859159599999998</v>
      </c>
      <c r="G309" s="129">
        <v>745.03814699999998</v>
      </c>
      <c r="H309" s="22">
        <v>0</v>
      </c>
      <c r="I309" s="19"/>
      <c r="J309" s="7" t="s">
        <v>29</v>
      </c>
      <c r="K309" s="16"/>
      <c r="L309" s="16"/>
      <c r="M309" s="16"/>
      <c r="N309" s="16"/>
      <c r="O309" s="16"/>
      <c r="P309" s="16"/>
      <c r="Q309" s="16"/>
      <c r="R309" s="16"/>
      <c r="S309" s="16"/>
      <c r="T309" s="16"/>
    </row>
    <row r="310" spans="1:20" x14ac:dyDescent="0.2">
      <c r="A310">
        <v>909</v>
      </c>
      <c r="B310" s="8">
        <v>46221</v>
      </c>
      <c r="C310" s="9">
        <v>0.43253472222222222</v>
      </c>
      <c r="D310" s="7" t="s">
        <v>18</v>
      </c>
      <c r="E310" s="13" t="s">
        <v>37</v>
      </c>
      <c r="F310" s="16">
        <v>73.047961599999994</v>
      </c>
      <c r="G310" s="129">
        <v>2196.5976599999999</v>
      </c>
      <c r="H310" s="22">
        <v>1</v>
      </c>
      <c r="I310" s="19"/>
      <c r="J310" s="7" t="s">
        <v>29</v>
      </c>
      <c r="K310" s="16"/>
      <c r="L310" s="16"/>
      <c r="M310" s="16"/>
      <c r="N310" s="16"/>
      <c r="O310" s="16"/>
      <c r="P310" s="16"/>
      <c r="Q310" s="16"/>
      <c r="R310" s="16"/>
      <c r="S310" s="16"/>
      <c r="T310" s="16"/>
    </row>
    <row r="311" spans="1:20" x14ac:dyDescent="0.2">
      <c r="A311">
        <v>910</v>
      </c>
      <c r="B311" s="8">
        <v>46221</v>
      </c>
      <c r="C311" s="9">
        <v>0.43275462962962963</v>
      </c>
      <c r="D311" s="7" t="s">
        <v>18</v>
      </c>
      <c r="E311" s="13" t="s">
        <v>36</v>
      </c>
      <c r="F311" s="16">
        <v>76.668595499999995</v>
      </c>
      <c r="G311" s="129">
        <v>1129.8978300000001</v>
      </c>
      <c r="H311" s="22">
        <v>1</v>
      </c>
      <c r="I311" s="19" t="s">
        <v>39</v>
      </c>
      <c r="J311" s="7" t="s">
        <v>29</v>
      </c>
      <c r="K311" s="16"/>
      <c r="L311" s="16"/>
      <c r="M311" s="16"/>
      <c r="N311" s="16">
        <v>57.776024800000002</v>
      </c>
      <c r="O311" s="16"/>
      <c r="P311" s="16"/>
      <c r="Q311" s="16"/>
      <c r="R311" s="16"/>
      <c r="S311" s="16"/>
      <c r="T311" s="16"/>
    </row>
    <row r="312" spans="1:20" x14ac:dyDescent="0.2">
      <c r="A312">
        <v>911</v>
      </c>
      <c r="B312" s="8">
        <v>46221</v>
      </c>
      <c r="C312" s="9">
        <v>0.43302083333333335</v>
      </c>
      <c r="D312" s="7" t="s">
        <v>18</v>
      </c>
      <c r="E312" s="13" t="s">
        <v>33</v>
      </c>
      <c r="F312" s="16">
        <v>84.989710000000002</v>
      </c>
      <c r="G312" s="129">
        <v>2285.13159</v>
      </c>
      <c r="H312" s="22">
        <v>0</v>
      </c>
      <c r="I312" s="19"/>
      <c r="J312" s="7" t="s">
        <v>29</v>
      </c>
      <c r="K312" s="16"/>
      <c r="L312" s="16"/>
      <c r="M312" s="16"/>
      <c r="N312" s="16"/>
      <c r="O312" s="16"/>
      <c r="P312" s="16"/>
      <c r="Q312" s="16"/>
      <c r="R312" s="16"/>
      <c r="S312" s="16"/>
      <c r="T312" s="16"/>
    </row>
    <row r="313" spans="1:20" x14ac:dyDescent="0.2">
      <c r="A313">
        <v>912</v>
      </c>
      <c r="B313" s="8">
        <v>46221</v>
      </c>
      <c r="C313" s="9">
        <v>0.43328703703703703</v>
      </c>
      <c r="D313" s="7" t="s">
        <v>18</v>
      </c>
      <c r="E313" s="13" t="s">
        <v>37</v>
      </c>
      <c r="F313" s="16">
        <v>74.302474900000007</v>
      </c>
      <c r="G313" s="129">
        <v>2160.44238</v>
      </c>
      <c r="H313" s="22">
        <v>1</v>
      </c>
      <c r="I313" s="19" t="s">
        <v>45</v>
      </c>
      <c r="J313" s="7" t="s">
        <v>29</v>
      </c>
      <c r="K313" s="16"/>
      <c r="L313" s="16"/>
      <c r="M313" s="16"/>
      <c r="N313" s="16">
        <v>63.491981500000001</v>
      </c>
      <c r="O313" s="16"/>
      <c r="P313" s="16"/>
      <c r="Q313" s="16"/>
      <c r="R313" s="16"/>
      <c r="S313" s="16"/>
      <c r="T313" s="16"/>
    </row>
    <row r="314" spans="1:20" x14ac:dyDescent="0.2">
      <c r="A314">
        <v>934</v>
      </c>
      <c r="B314" s="8">
        <v>46221</v>
      </c>
      <c r="C314" s="9">
        <v>0.44284722222222223</v>
      </c>
      <c r="D314" s="7" t="s">
        <v>18</v>
      </c>
      <c r="E314" s="13" t="s">
        <v>33</v>
      </c>
      <c r="F314" s="16">
        <v>83.4017178</v>
      </c>
      <c r="G314" s="129">
        <v>2253.9057600000001</v>
      </c>
      <c r="H314" s="22">
        <v>1</v>
      </c>
      <c r="I314" s="19" t="s">
        <v>40</v>
      </c>
      <c r="J314" s="7" t="s">
        <v>29</v>
      </c>
      <c r="K314" s="16">
        <v>76.780312499999994</v>
      </c>
      <c r="L314" s="16">
        <v>0.38075638000000001</v>
      </c>
      <c r="M314" s="16">
        <v>-27.068054</v>
      </c>
      <c r="N314" s="16">
        <v>67.863011</v>
      </c>
      <c r="O314" s="16">
        <v>3557.0187999999998</v>
      </c>
      <c r="P314" s="16">
        <v>27</v>
      </c>
      <c r="Q314" s="16">
        <v>1.1314015399999999</v>
      </c>
      <c r="R314" s="16">
        <v>1.60818744</v>
      </c>
      <c r="S314" s="16">
        <v>109.13643999999999</v>
      </c>
      <c r="T314" s="16">
        <v>0.70352592999999997</v>
      </c>
    </row>
    <row r="315" spans="1:20" x14ac:dyDescent="0.2">
      <c r="A315">
        <v>989</v>
      </c>
      <c r="B315" s="8">
        <v>46221</v>
      </c>
      <c r="C315" s="9">
        <v>0.4636689814814815</v>
      </c>
      <c r="D315" s="7" t="s">
        <v>18</v>
      </c>
      <c r="E315" s="13" t="s">
        <v>37</v>
      </c>
      <c r="F315" s="16">
        <v>74.890039200000004</v>
      </c>
      <c r="G315" s="129">
        <v>1170.55664</v>
      </c>
      <c r="H315" s="22">
        <v>0</v>
      </c>
      <c r="I315" s="19"/>
      <c r="J315" s="7" t="s">
        <v>29</v>
      </c>
      <c r="K315" s="16"/>
      <c r="L315" s="16"/>
      <c r="M315" s="16"/>
      <c r="N315" s="16"/>
      <c r="O315" s="16"/>
      <c r="P315" s="16"/>
      <c r="Q315" s="16"/>
      <c r="R315" s="16"/>
      <c r="S315" s="16"/>
      <c r="T315" s="16"/>
    </row>
    <row r="316" spans="1:20" s="114" customFormat="1" x14ac:dyDescent="0.2">
      <c r="A316" s="114">
        <v>990</v>
      </c>
      <c r="B316" s="108">
        <v>46221</v>
      </c>
      <c r="C316" s="109">
        <v>0.46386574074074072</v>
      </c>
      <c r="D316" s="107" t="s">
        <v>18</v>
      </c>
      <c r="E316" s="110" t="s">
        <v>33</v>
      </c>
      <c r="F316" s="111">
        <v>85.672556400000005</v>
      </c>
      <c r="G316" s="228">
        <v>1197.84717</v>
      </c>
      <c r="H316" s="113">
        <v>1</v>
      </c>
      <c r="I316" s="112" t="s">
        <v>38</v>
      </c>
      <c r="J316" s="107" t="s">
        <v>29</v>
      </c>
      <c r="K316" s="111"/>
      <c r="L316" s="111"/>
      <c r="M316" s="111"/>
      <c r="N316" s="111">
        <v>62.091012200000002</v>
      </c>
      <c r="O316" s="111"/>
      <c r="P316" s="111"/>
      <c r="Q316" s="111"/>
      <c r="R316" s="111"/>
      <c r="S316" s="111"/>
      <c r="T316" s="111"/>
    </row>
    <row r="317" spans="1:20" x14ac:dyDescent="0.2">
      <c r="A317">
        <v>991</v>
      </c>
      <c r="B317" s="8">
        <v>46221</v>
      </c>
      <c r="C317" s="9">
        <v>0.4642013888888889</v>
      </c>
      <c r="D317" s="7" t="s">
        <v>18</v>
      </c>
      <c r="E317" s="13" t="s">
        <v>33</v>
      </c>
      <c r="F317" s="16">
        <v>84.830915000000005</v>
      </c>
      <c r="G317" s="129">
        <v>2286.35986</v>
      </c>
      <c r="H317" s="22">
        <v>1</v>
      </c>
      <c r="I317" s="19"/>
      <c r="J317" s="7" t="s">
        <v>29</v>
      </c>
      <c r="K317" s="16"/>
      <c r="L317" s="16"/>
      <c r="M317" s="16"/>
      <c r="N317" s="16"/>
      <c r="O317" s="16"/>
      <c r="P317" s="16"/>
      <c r="Q317" s="16"/>
      <c r="R317" s="16"/>
      <c r="S317" s="16"/>
      <c r="T317" s="16"/>
    </row>
    <row r="318" spans="1:20" x14ac:dyDescent="0.2">
      <c r="A318">
        <v>992</v>
      </c>
      <c r="B318" s="8">
        <v>46221</v>
      </c>
      <c r="C318" s="9">
        <v>0.46445601851851853</v>
      </c>
      <c r="D318" s="7" t="s">
        <v>18</v>
      </c>
      <c r="E318" s="13" t="s">
        <v>33</v>
      </c>
      <c r="F318" s="16">
        <v>85.481992199999993</v>
      </c>
      <c r="G318" s="129">
        <v>2295.9716800000001</v>
      </c>
      <c r="H318" s="22">
        <v>1</v>
      </c>
      <c r="I318" s="19" t="s">
        <v>45</v>
      </c>
      <c r="J318" s="7" t="s">
        <v>29</v>
      </c>
      <c r="K318" s="16"/>
      <c r="L318" s="16"/>
      <c r="M318" s="16"/>
      <c r="N318" s="16">
        <v>62.034974499999997</v>
      </c>
      <c r="O318" s="16"/>
      <c r="P318" s="16"/>
      <c r="Q318" s="16"/>
      <c r="R318" s="16"/>
      <c r="S318" s="16"/>
      <c r="T318" s="16"/>
    </row>
    <row r="319" spans="1:20" x14ac:dyDescent="0.2">
      <c r="A319">
        <v>1005</v>
      </c>
      <c r="B319" s="8">
        <v>46221</v>
      </c>
      <c r="C319" s="9">
        <v>0.46972222222222221</v>
      </c>
      <c r="D319" s="7" t="s">
        <v>21</v>
      </c>
      <c r="E319" s="13" t="s">
        <v>37</v>
      </c>
      <c r="F319" s="16">
        <v>72.905038399999995</v>
      </c>
      <c r="G319" s="129">
        <v>2262.2697800000001</v>
      </c>
      <c r="H319" s="22">
        <v>1</v>
      </c>
      <c r="I319" s="19" t="s">
        <v>40</v>
      </c>
      <c r="J319" s="7" t="s">
        <v>29</v>
      </c>
      <c r="K319" s="16">
        <v>83.209882199999996</v>
      </c>
      <c r="L319" s="16">
        <v>22.080488200000001</v>
      </c>
      <c r="M319" s="16">
        <v>-4.1296587000000002</v>
      </c>
      <c r="N319" s="16">
        <v>64.220489099999995</v>
      </c>
      <c r="O319" s="16">
        <v>1876.70886</v>
      </c>
      <c r="P319" s="16">
        <v>244</v>
      </c>
      <c r="Q319" s="16">
        <v>1.2956905400000001</v>
      </c>
      <c r="R319" s="16">
        <v>1.59139097</v>
      </c>
      <c r="S319" s="16">
        <v>102.199911</v>
      </c>
      <c r="T319" s="16">
        <v>0.81418747000000002</v>
      </c>
    </row>
    <row r="320" spans="1:20" x14ac:dyDescent="0.2">
      <c r="A320">
        <v>1016</v>
      </c>
      <c r="B320" s="8">
        <v>46221</v>
      </c>
      <c r="C320" s="9">
        <v>0.4748148148148148</v>
      </c>
      <c r="D320" s="7" t="s">
        <v>21</v>
      </c>
      <c r="E320" s="13" t="s">
        <v>53</v>
      </c>
      <c r="F320" s="16">
        <v>69.046203399999996</v>
      </c>
      <c r="G320" s="129">
        <v>1961.23633</v>
      </c>
      <c r="H320" s="22">
        <v>0</v>
      </c>
      <c r="I320" s="19"/>
      <c r="J320" s="7" t="s">
        <v>29</v>
      </c>
      <c r="K320" s="16"/>
      <c r="L320" s="16"/>
      <c r="M320" s="16"/>
      <c r="N320" s="16"/>
      <c r="O320" s="16"/>
      <c r="P320" s="16"/>
      <c r="Q320" s="16"/>
      <c r="R320" s="16"/>
      <c r="S320" s="16"/>
      <c r="T320" s="16"/>
    </row>
    <row r="321" spans="1:20" x14ac:dyDescent="0.2">
      <c r="A321">
        <v>1017</v>
      </c>
      <c r="B321" s="8">
        <v>46221</v>
      </c>
      <c r="C321" s="9">
        <v>0.47497685185185184</v>
      </c>
      <c r="D321" s="7" t="s">
        <v>21</v>
      </c>
      <c r="E321" s="13" t="s">
        <v>37</v>
      </c>
      <c r="F321" s="16">
        <v>71.904602100000005</v>
      </c>
      <c r="G321" s="129">
        <v>2317.1731</v>
      </c>
      <c r="H321" s="22">
        <v>0</v>
      </c>
      <c r="I321" s="19"/>
      <c r="J321" s="7" t="s">
        <v>29</v>
      </c>
      <c r="K321" s="16"/>
      <c r="L321" s="16"/>
      <c r="M321" s="16"/>
      <c r="N321" s="16"/>
      <c r="O321" s="16"/>
      <c r="P321" s="16"/>
      <c r="Q321" s="16"/>
      <c r="R321" s="16"/>
      <c r="S321" s="16"/>
      <c r="T321" s="16"/>
    </row>
    <row r="322" spans="1:20" x14ac:dyDescent="0.2">
      <c r="A322">
        <v>1018</v>
      </c>
      <c r="B322" s="8">
        <v>46221</v>
      </c>
      <c r="C322" s="9">
        <v>0.47513888888888889</v>
      </c>
      <c r="D322" s="7" t="s">
        <v>21</v>
      </c>
      <c r="E322" s="13" t="s">
        <v>33</v>
      </c>
      <c r="F322" s="16">
        <v>83.4017178</v>
      </c>
      <c r="G322" s="129">
        <v>2127.58032</v>
      </c>
      <c r="H322" s="22">
        <v>1</v>
      </c>
      <c r="I322" s="19" t="s">
        <v>40</v>
      </c>
      <c r="J322" s="7" t="s">
        <v>29</v>
      </c>
      <c r="K322" s="16">
        <v>90.093855199999993</v>
      </c>
      <c r="L322" s="16">
        <v>8.9197473499999997</v>
      </c>
      <c r="M322" s="16">
        <v>13.7349081</v>
      </c>
      <c r="N322" s="16">
        <v>67.638855699999993</v>
      </c>
      <c r="O322" s="16">
        <v>2510.9609399999999</v>
      </c>
      <c r="P322" s="16">
        <v>149</v>
      </c>
      <c r="Q322" s="16">
        <v>1.3319836899999999</v>
      </c>
      <c r="R322" s="16">
        <v>1.60834956</v>
      </c>
      <c r="S322" s="16">
        <v>108.78692700000001</v>
      </c>
      <c r="T322" s="16">
        <v>0.82816800000000002</v>
      </c>
    </row>
    <row r="323" spans="1:20" x14ac:dyDescent="0.2">
      <c r="A323">
        <v>1049</v>
      </c>
      <c r="B323" s="8">
        <v>46221</v>
      </c>
      <c r="C323" s="9">
        <v>0.48728009259259258</v>
      </c>
      <c r="D323" s="7" t="s">
        <v>21</v>
      </c>
      <c r="E323" s="13" t="s">
        <v>54</v>
      </c>
      <c r="F323" s="16">
        <v>76.160441500000005</v>
      </c>
      <c r="G323" s="129">
        <v>1942.5169699999999</v>
      </c>
      <c r="H323" s="22">
        <v>1</v>
      </c>
      <c r="I323" s="19"/>
      <c r="J323" s="7" t="s">
        <v>29</v>
      </c>
      <c r="K323" s="16"/>
      <c r="L323" s="16"/>
      <c r="M323" s="16"/>
      <c r="N323" s="16"/>
      <c r="O323" s="16"/>
      <c r="P323" s="16"/>
      <c r="Q323" s="16"/>
      <c r="R323" s="16"/>
      <c r="S323" s="16"/>
      <c r="T323" s="16"/>
    </row>
    <row r="324" spans="1:20" x14ac:dyDescent="0.2">
      <c r="A324">
        <v>1050</v>
      </c>
      <c r="B324" s="8">
        <v>46221</v>
      </c>
      <c r="C324" s="9">
        <v>0.48745370370370372</v>
      </c>
      <c r="D324" s="7" t="s">
        <v>21</v>
      </c>
      <c r="E324" s="13" t="s">
        <v>33</v>
      </c>
      <c r="F324" s="16">
        <v>82.194837199999995</v>
      </c>
      <c r="G324" s="129">
        <v>2076.4477499999998</v>
      </c>
      <c r="H324" s="22">
        <v>0</v>
      </c>
      <c r="I324" s="19"/>
      <c r="J324" s="7" t="s">
        <v>29</v>
      </c>
      <c r="K324" s="16"/>
      <c r="L324" s="16"/>
      <c r="M324" s="16"/>
      <c r="N324" s="16"/>
      <c r="O324" s="16"/>
      <c r="P324" s="16"/>
      <c r="Q324" s="16"/>
      <c r="R324" s="16"/>
      <c r="S324" s="16"/>
      <c r="T324" s="16"/>
    </row>
    <row r="325" spans="1:20" x14ac:dyDescent="0.2">
      <c r="A325">
        <v>1051</v>
      </c>
      <c r="B325" s="8">
        <v>46221</v>
      </c>
      <c r="C325" s="9">
        <v>0.48762731481481481</v>
      </c>
      <c r="D325" s="7" t="s">
        <v>21</v>
      </c>
      <c r="E325" s="13" t="s">
        <v>53</v>
      </c>
      <c r="F325" s="16">
        <v>69.935481699999997</v>
      </c>
      <c r="G325" s="129">
        <v>2035.81836</v>
      </c>
      <c r="H325" s="22">
        <v>1</v>
      </c>
      <c r="I325" s="19"/>
      <c r="J325" s="7" t="s">
        <v>29</v>
      </c>
      <c r="K325" s="16"/>
      <c r="L325" s="16"/>
      <c r="M325" s="16"/>
      <c r="N325" s="16"/>
      <c r="O325" s="16"/>
      <c r="P325" s="16"/>
      <c r="Q325" s="16"/>
      <c r="R325" s="16"/>
      <c r="S325" s="16"/>
      <c r="T325" s="16"/>
    </row>
    <row r="326" spans="1:20" x14ac:dyDescent="0.2">
      <c r="A326">
        <v>1052</v>
      </c>
      <c r="B326" s="8">
        <v>46221</v>
      </c>
      <c r="C326" s="9">
        <v>0.48780092592592594</v>
      </c>
      <c r="D326" s="7" t="s">
        <v>21</v>
      </c>
      <c r="E326" s="13" t="s">
        <v>33</v>
      </c>
      <c r="F326" s="16">
        <v>84.100436200000004</v>
      </c>
      <c r="G326" s="129">
        <v>2189.9482400000002</v>
      </c>
      <c r="H326" s="22">
        <v>0</v>
      </c>
      <c r="I326" s="19"/>
      <c r="J326" s="7" t="s">
        <v>29</v>
      </c>
      <c r="K326" s="16"/>
      <c r="L326" s="16"/>
      <c r="M326" s="16"/>
      <c r="N326" s="16"/>
      <c r="O326" s="16"/>
      <c r="P326" s="16"/>
      <c r="Q326" s="16"/>
      <c r="R326" s="16"/>
      <c r="S326" s="16"/>
      <c r="T326" s="16"/>
    </row>
    <row r="327" spans="1:20" x14ac:dyDescent="0.2">
      <c r="A327">
        <v>1053</v>
      </c>
      <c r="B327" s="8">
        <v>46221</v>
      </c>
      <c r="C327" s="9">
        <v>0.48795138888888889</v>
      </c>
      <c r="D327" s="7" t="s">
        <v>21</v>
      </c>
      <c r="E327" s="13" t="s">
        <v>37</v>
      </c>
      <c r="F327" s="16">
        <v>70.507161300000007</v>
      </c>
      <c r="G327" s="129">
        <v>2109.9641099999999</v>
      </c>
      <c r="H327" s="22">
        <v>0</v>
      </c>
      <c r="I327" s="19"/>
      <c r="J327" s="7" t="s">
        <v>29</v>
      </c>
      <c r="K327" s="16"/>
      <c r="L327" s="16"/>
      <c r="M327" s="16"/>
      <c r="N327" s="16"/>
      <c r="O327" s="16"/>
      <c r="P327" s="16"/>
      <c r="Q327" s="16"/>
      <c r="R327" s="16"/>
      <c r="S327" s="16"/>
      <c r="T327" s="16"/>
    </row>
    <row r="328" spans="1:20" x14ac:dyDescent="0.2">
      <c r="A328">
        <v>1054</v>
      </c>
      <c r="B328" s="8">
        <v>46221</v>
      </c>
      <c r="C328" s="9">
        <v>0.48810185185185184</v>
      </c>
      <c r="D328" s="7" t="s">
        <v>21</v>
      </c>
      <c r="E328" s="13" t="s">
        <v>33</v>
      </c>
      <c r="F328" s="16">
        <v>85.863112000000001</v>
      </c>
      <c r="G328" s="129">
        <v>2253.7602499999998</v>
      </c>
      <c r="H328" s="22">
        <v>1</v>
      </c>
      <c r="I328" s="19" t="s">
        <v>40</v>
      </c>
      <c r="J328" s="7" t="s">
        <v>29</v>
      </c>
      <c r="K328" s="16">
        <v>44.866419700000002</v>
      </c>
      <c r="L328" s="16">
        <v>-35.241855999999999</v>
      </c>
      <c r="M328" s="16"/>
      <c r="N328" s="16">
        <v>63.435943799999997</v>
      </c>
      <c r="O328" s="16"/>
      <c r="P328" s="16">
        <v>5</v>
      </c>
      <c r="Q328" s="16">
        <v>0.70727127999999995</v>
      </c>
      <c r="R328" s="16">
        <v>1.6481602200000001</v>
      </c>
      <c r="S328" s="16">
        <v>104.552599</v>
      </c>
      <c r="T328" s="16">
        <v>0.42912772999999999</v>
      </c>
    </row>
    <row r="329" spans="1:20" x14ac:dyDescent="0.2">
      <c r="A329">
        <v>1095</v>
      </c>
      <c r="B329" s="1">
        <v>46224</v>
      </c>
      <c r="C329" s="2">
        <v>0.74725694444444446</v>
      </c>
      <c r="D329" t="s">
        <v>28</v>
      </c>
      <c r="E329" s="10" t="s">
        <v>37</v>
      </c>
      <c r="F329" s="11">
        <v>70.415130391000005</v>
      </c>
      <c r="G329" s="4">
        <v>2361.8325199999999</v>
      </c>
      <c r="H329" s="20">
        <v>0</v>
      </c>
      <c r="J329" t="s">
        <v>29</v>
      </c>
    </row>
    <row r="330" spans="1:20" x14ac:dyDescent="0.2">
      <c r="A330">
        <v>1096</v>
      </c>
      <c r="B330" s="1">
        <v>46224</v>
      </c>
      <c r="C330" s="2">
        <v>0.74751157407407409</v>
      </c>
      <c r="D330" t="s">
        <v>28</v>
      </c>
      <c r="E330" s="10" t="s">
        <v>37</v>
      </c>
      <c r="F330" s="11">
        <v>70.542232870999996</v>
      </c>
      <c r="G330" s="4">
        <v>2360.6894499999999</v>
      </c>
      <c r="H330" s="20">
        <v>1</v>
      </c>
      <c r="J330" t="s">
        <v>29</v>
      </c>
    </row>
    <row r="331" spans="1:20" x14ac:dyDescent="0.2">
      <c r="A331">
        <v>1097</v>
      </c>
      <c r="B331" s="1">
        <v>46224</v>
      </c>
      <c r="C331" s="2">
        <v>0.74775462962962957</v>
      </c>
      <c r="D331" t="s">
        <v>28</v>
      </c>
      <c r="E331" s="10" t="s">
        <v>33</v>
      </c>
      <c r="F331" s="11">
        <v>76.198316822999999</v>
      </c>
      <c r="G331" s="4">
        <v>1948.21802</v>
      </c>
      <c r="H331" s="20">
        <v>0</v>
      </c>
      <c r="J331" t="s">
        <v>29</v>
      </c>
    </row>
    <row r="332" spans="1:20" x14ac:dyDescent="0.2">
      <c r="A332">
        <v>1098</v>
      </c>
      <c r="B332" s="1">
        <v>46224</v>
      </c>
      <c r="C332" s="2">
        <v>0.74800925925925921</v>
      </c>
      <c r="D332" t="s">
        <v>28</v>
      </c>
      <c r="E332" s="10" t="s">
        <v>37</v>
      </c>
      <c r="F332" s="11">
        <v>69.906720472000003</v>
      </c>
      <c r="G332" s="4">
        <v>2297.3947800000001</v>
      </c>
      <c r="H332" s="20">
        <v>0</v>
      </c>
      <c r="J332" t="s">
        <v>29</v>
      </c>
    </row>
    <row r="333" spans="1:20" x14ac:dyDescent="0.2">
      <c r="A333">
        <v>1099</v>
      </c>
      <c r="B333" s="1">
        <v>46224</v>
      </c>
      <c r="C333" s="2">
        <v>0.74827546296296299</v>
      </c>
      <c r="D333" t="s">
        <v>28</v>
      </c>
      <c r="E333" s="10" t="s">
        <v>37</v>
      </c>
      <c r="F333" s="11">
        <v>69.970271600000004</v>
      </c>
      <c r="G333" s="4">
        <v>2324.8825700000002</v>
      </c>
      <c r="H333" s="20">
        <v>0</v>
      </c>
      <c r="I333" s="17" t="s">
        <v>48</v>
      </c>
      <c r="J333" t="s">
        <v>29</v>
      </c>
    </row>
    <row r="334" spans="1:20" x14ac:dyDescent="0.2">
      <c r="A334">
        <v>1100</v>
      </c>
      <c r="B334" s="1">
        <v>46224</v>
      </c>
      <c r="C334" s="2">
        <v>0.74846064814814817</v>
      </c>
      <c r="D334" t="s">
        <v>28</v>
      </c>
      <c r="E334" s="10" t="s">
        <v>33</v>
      </c>
      <c r="F334" s="11">
        <v>75.499252401000007</v>
      </c>
      <c r="G334" s="4">
        <v>1952.5993699999999</v>
      </c>
      <c r="H334" s="20">
        <v>1</v>
      </c>
      <c r="I334" s="17" t="s">
        <v>40</v>
      </c>
      <c r="J334" t="s">
        <v>29</v>
      </c>
      <c r="K334" s="11">
        <v>88.907573619000004</v>
      </c>
      <c r="L334" s="11">
        <v>34.393500000000003</v>
      </c>
      <c r="M334" s="11">
        <v>-30.714569099999999</v>
      </c>
      <c r="N334" s="11">
        <v>60.970948554000003</v>
      </c>
      <c r="O334" s="11">
        <v>2540.6057099999998</v>
      </c>
      <c r="P334" s="11">
        <v>326</v>
      </c>
      <c r="Q334" s="11">
        <v>1.4581956899999999</v>
      </c>
      <c r="R334" s="11">
        <v>1.62067962</v>
      </c>
      <c r="S334" s="11">
        <v>98.814367691000001</v>
      </c>
      <c r="T334" s="11">
        <v>0.89974334700000003</v>
      </c>
    </row>
    <row r="335" spans="1:20" x14ac:dyDescent="0.2">
      <c r="A335">
        <v>1134</v>
      </c>
      <c r="B335" s="1">
        <v>46224</v>
      </c>
      <c r="C335" s="2">
        <v>0.76230324074074074</v>
      </c>
      <c r="D335" t="s">
        <v>28</v>
      </c>
      <c r="E335" s="10" t="s">
        <v>37</v>
      </c>
      <c r="F335" s="11">
        <v>70.145036474999998</v>
      </c>
      <c r="G335" s="4">
        <v>147.39721700000001</v>
      </c>
      <c r="H335" s="20">
        <v>1</v>
      </c>
      <c r="I335" s="17" t="s">
        <v>38</v>
      </c>
      <c r="J335" t="s">
        <v>29</v>
      </c>
      <c r="N335" s="11">
        <v>61.762043206999998</v>
      </c>
    </row>
    <row r="336" spans="1:20" x14ac:dyDescent="0.2">
      <c r="A336">
        <v>1135</v>
      </c>
      <c r="B336" s="1">
        <v>46224</v>
      </c>
      <c r="C336" s="2">
        <v>0.76253472222222218</v>
      </c>
      <c r="D336" t="s">
        <v>28</v>
      </c>
      <c r="E336" s="10" t="s">
        <v>33</v>
      </c>
      <c r="F336" s="11">
        <v>76.071217922000002</v>
      </c>
      <c r="G336" s="4">
        <v>1925.15417</v>
      </c>
      <c r="H336" s="20">
        <v>0</v>
      </c>
      <c r="J336" t="s">
        <v>29</v>
      </c>
    </row>
    <row r="337" spans="1:20" x14ac:dyDescent="0.2">
      <c r="A337">
        <v>1136</v>
      </c>
      <c r="B337" s="1">
        <v>46224</v>
      </c>
      <c r="C337" s="2">
        <v>0.76273148148148151</v>
      </c>
      <c r="D337" t="s">
        <v>28</v>
      </c>
      <c r="E337" s="10" t="s">
        <v>37</v>
      </c>
      <c r="F337" s="11">
        <v>70.987095913000005</v>
      </c>
      <c r="G337" s="4">
        <v>2295.36328</v>
      </c>
      <c r="H337" s="20">
        <v>0</v>
      </c>
      <c r="J337" t="s">
        <v>29</v>
      </c>
    </row>
    <row r="338" spans="1:20" x14ac:dyDescent="0.2">
      <c r="A338">
        <v>1137</v>
      </c>
      <c r="B338" s="1">
        <v>46224</v>
      </c>
      <c r="C338" s="2">
        <v>0.76295138888888892</v>
      </c>
      <c r="D338" t="s">
        <v>28</v>
      </c>
      <c r="E338" s="10" t="s">
        <v>35</v>
      </c>
      <c r="F338" s="11">
        <v>70.399241658999998</v>
      </c>
      <c r="G338" s="4">
        <v>1665.4727800000001</v>
      </c>
      <c r="H338" s="20">
        <v>0</v>
      </c>
      <c r="J338" t="s">
        <v>29</v>
      </c>
    </row>
    <row r="339" spans="1:20" x14ac:dyDescent="0.2">
      <c r="A339">
        <v>1138</v>
      </c>
      <c r="B339" s="1">
        <v>46224</v>
      </c>
      <c r="C339" s="2">
        <v>0.7631944444444444</v>
      </c>
      <c r="D339" t="s">
        <v>28</v>
      </c>
      <c r="E339" s="10" t="s">
        <v>37</v>
      </c>
      <c r="F339" s="11">
        <v>70.224476559999999</v>
      </c>
      <c r="G339" s="4">
        <v>2242.19092</v>
      </c>
      <c r="H339" s="20">
        <v>1</v>
      </c>
      <c r="I339" s="4"/>
      <c r="J339" t="s">
        <v>29</v>
      </c>
    </row>
    <row r="340" spans="1:20" x14ac:dyDescent="0.2">
      <c r="A340">
        <v>1139</v>
      </c>
      <c r="B340" s="1">
        <v>46224</v>
      </c>
      <c r="C340" s="2">
        <v>0.76342592592592595</v>
      </c>
      <c r="D340" t="s">
        <v>28</v>
      </c>
      <c r="E340" s="10" t="s">
        <v>37</v>
      </c>
      <c r="F340" s="11">
        <v>69.970271600000004</v>
      </c>
      <c r="G340" s="4">
        <v>2311.0878899999998</v>
      </c>
      <c r="H340" s="20">
        <v>0</v>
      </c>
      <c r="I340" s="17" t="s">
        <v>48</v>
      </c>
      <c r="J340" t="s">
        <v>29</v>
      </c>
    </row>
    <row r="341" spans="1:20" x14ac:dyDescent="0.2">
      <c r="A341">
        <v>1140</v>
      </c>
      <c r="B341" s="1">
        <v>46224</v>
      </c>
      <c r="C341" s="2">
        <v>0.76362268518518517</v>
      </c>
      <c r="D341" t="s">
        <v>28</v>
      </c>
      <c r="E341" s="10" t="s">
        <v>33</v>
      </c>
      <c r="F341" s="11">
        <v>74.593645862000002</v>
      </c>
      <c r="G341" s="4">
        <v>1954.1014399999999</v>
      </c>
      <c r="H341" s="20">
        <v>1</v>
      </c>
      <c r="I341" s="17" t="s">
        <v>38</v>
      </c>
      <c r="J341" t="s">
        <v>29</v>
      </c>
      <c r="N341" s="11">
        <v>57.297997172000002</v>
      </c>
    </row>
    <row r="342" spans="1:20" x14ac:dyDescent="0.2">
      <c r="A342">
        <v>1178</v>
      </c>
      <c r="B342" s="1">
        <v>46224</v>
      </c>
      <c r="C342" s="2">
        <v>0.77799768518518519</v>
      </c>
      <c r="D342" t="s">
        <v>25</v>
      </c>
      <c r="E342" s="10" t="s">
        <v>37</v>
      </c>
      <c r="F342" s="11">
        <v>71.670270931000005</v>
      </c>
      <c r="G342" s="4">
        <v>1039.0715299999999</v>
      </c>
      <c r="H342" s="20">
        <v>1</v>
      </c>
      <c r="I342" s="17" t="s">
        <v>39</v>
      </c>
      <c r="J342" t="s">
        <v>29</v>
      </c>
      <c r="N342" s="11">
        <v>59.784299863000001</v>
      </c>
    </row>
    <row r="343" spans="1:20" x14ac:dyDescent="0.2">
      <c r="A343">
        <v>1179</v>
      </c>
      <c r="B343" s="1">
        <v>46224</v>
      </c>
      <c r="C343" s="2">
        <v>0.77826388888888887</v>
      </c>
      <c r="D343" t="s">
        <v>25</v>
      </c>
      <c r="E343" s="10" t="s">
        <v>33</v>
      </c>
      <c r="F343" s="11">
        <v>81.981514662999999</v>
      </c>
      <c r="G343" s="4">
        <v>1947.16968</v>
      </c>
      <c r="H343" s="20">
        <v>1</v>
      </c>
      <c r="J343" t="s">
        <v>29</v>
      </c>
    </row>
    <row r="344" spans="1:20" x14ac:dyDescent="0.2">
      <c r="A344">
        <v>1180</v>
      </c>
      <c r="B344" s="1">
        <v>46224</v>
      </c>
      <c r="C344" s="2">
        <v>0.77850694444444446</v>
      </c>
      <c r="D344" t="s">
        <v>25</v>
      </c>
      <c r="E344" s="10" t="s">
        <v>35</v>
      </c>
      <c r="F344" s="11">
        <v>74.228227156000003</v>
      </c>
      <c r="G344" s="4">
        <v>1859.23315</v>
      </c>
      <c r="H344" s="20">
        <v>1</v>
      </c>
      <c r="I344" s="17" t="s">
        <v>45</v>
      </c>
      <c r="J344" t="s">
        <v>29</v>
      </c>
      <c r="N344" s="11">
        <v>57.750053751999999</v>
      </c>
    </row>
    <row r="345" spans="1:20" x14ac:dyDescent="0.2">
      <c r="A345">
        <v>1</v>
      </c>
      <c r="B345" s="1">
        <v>46193</v>
      </c>
      <c r="C345" s="2">
        <v>0.79833333333333334</v>
      </c>
      <c r="D345" t="s">
        <v>18</v>
      </c>
      <c r="E345" s="10" t="s">
        <v>33</v>
      </c>
      <c r="F345" s="11">
        <v>84.005154117999993</v>
      </c>
      <c r="G345" s="4">
        <v>2205.5835000000002</v>
      </c>
      <c r="H345" s="20">
        <v>0</v>
      </c>
      <c r="J345" t="s">
        <v>22</v>
      </c>
    </row>
    <row r="346" spans="1:20" x14ac:dyDescent="0.2">
      <c r="A346">
        <v>2</v>
      </c>
      <c r="B346" s="1">
        <v>46193</v>
      </c>
      <c r="C346" s="2">
        <v>0.79879629629629634</v>
      </c>
      <c r="D346" t="s">
        <v>18</v>
      </c>
      <c r="E346" s="10" t="s">
        <v>37</v>
      </c>
      <c r="F346" s="11">
        <v>74.191321067000004</v>
      </c>
      <c r="G346" s="4">
        <v>2112.2353499999999</v>
      </c>
      <c r="H346" s="20">
        <v>1</v>
      </c>
      <c r="I346" s="17" t="s">
        <v>39</v>
      </c>
      <c r="J346" t="s">
        <v>22</v>
      </c>
      <c r="N346" s="11">
        <v>60.294519016000002</v>
      </c>
    </row>
    <row r="347" spans="1:20" x14ac:dyDescent="0.2">
      <c r="A347">
        <v>3</v>
      </c>
      <c r="B347" s="1">
        <v>46193</v>
      </c>
      <c r="C347" s="2">
        <v>0.79901620370370374</v>
      </c>
      <c r="D347" t="s">
        <v>18</v>
      </c>
      <c r="E347" s="10" t="s">
        <v>33</v>
      </c>
      <c r="F347" s="11">
        <v>86.641228846000004</v>
      </c>
      <c r="G347" s="4">
        <v>2295.9765600000001</v>
      </c>
      <c r="H347" s="20">
        <v>0</v>
      </c>
      <c r="J347" t="s">
        <v>22</v>
      </c>
    </row>
    <row r="348" spans="1:20" x14ac:dyDescent="0.2">
      <c r="A348">
        <v>4</v>
      </c>
      <c r="B348" s="1">
        <v>46193</v>
      </c>
      <c r="C348" s="2">
        <v>0.79931712962962964</v>
      </c>
      <c r="D348" t="s">
        <v>18</v>
      </c>
      <c r="E348" s="10" t="s">
        <v>36</v>
      </c>
      <c r="F348" s="11">
        <v>78.367758648000006</v>
      </c>
      <c r="G348" s="4">
        <v>1101.5678700000001</v>
      </c>
      <c r="H348" s="20">
        <v>1</v>
      </c>
      <c r="I348" s="17" t="s">
        <v>40</v>
      </c>
      <c r="J348" t="s">
        <v>22</v>
      </c>
      <c r="K348" s="11">
        <v>82.175236229000006</v>
      </c>
      <c r="L348" s="11">
        <v>35.504779800000001</v>
      </c>
      <c r="M348" s="11">
        <v>19.350521100000002</v>
      </c>
      <c r="N348" s="11">
        <v>67.487151846000003</v>
      </c>
      <c r="O348" s="11">
        <v>4348.5107399999997</v>
      </c>
      <c r="P348" s="11">
        <v>291</v>
      </c>
      <c r="Q348" s="11">
        <v>1.2176426600000001</v>
      </c>
      <c r="R348" s="11">
        <v>1.47055376</v>
      </c>
      <c r="S348" s="11">
        <v>99.243486953000001</v>
      </c>
      <c r="T348" s="11">
        <v>0.82801643400000002</v>
      </c>
    </row>
    <row r="349" spans="1:20" x14ac:dyDescent="0.2">
      <c r="A349">
        <v>34</v>
      </c>
      <c r="B349" s="1">
        <v>46193</v>
      </c>
      <c r="C349" s="2">
        <v>0.81199074074074074</v>
      </c>
      <c r="D349" t="s">
        <v>21</v>
      </c>
      <c r="E349" s="10" t="s">
        <v>47</v>
      </c>
      <c r="F349" s="11">
        <v>78.701237264</v>
      </c>
      <c r="G349" s="4">
        <v>2008.0217299999999</v>
      </c>
      <c r="H349" s="20">
        <v>0</v>
      </c>
      <c r="J349" t="s">
        <v>22</v>
      </c>
    </row>
    <row r="350" spans="1:20" x14ac:dyDescent="0.2">
      <c r="A350">
        <v>35</v>
      </c>
      <c r="B350" s="1">
        <v>46193</v>
      </c>
      <c r="C350" s="2">
        <v>0.81212962962962965</v>
      </c>
      <c r="D350" t="s">
        <v>21</v>
      </c>
      <c r="E350" s="10" t="s">
        <v>33</v>
      </c>
      <c r="F350" s="11">
        <v>82.702991170999994</v>
      </c>
      <c r="G350" s="4">
        <v>2192.9953599999999</v>
      </c>
      <c r="H350" s="20">
        <v>1</v>
      </c>
      <c r="J350" t="s">
        <v>22</v>
      </c>
    </row>
    <row r="351" spans="1:20" x14ac:dyDescent="0.2">
      <c r="A351">
        <v>36</v>
      </c>
      <c r="B351" s="1">
        <v>46193</v>
      </c>
      <c r="C351" s="2">
        <v>0.81231481481481482</v>
      </c>
      <c r="D351" t="s">
        <v>21</v>
      </c>
      <c r="E351" s="10" t="s">
        <v>46</v>
      </c>
      <c r="F351" s="11">
        <v>73.111482937999995</v>
      </c>
      <c r="G351" s="4">
        <v>398.13812300000001</v>
      </c>
      <c r="H351" s="20">
        <v>1</v>
      </c>
      <c r="I351" s="17" t="s">
        <v>38</v>
      </c>
      <c r="J351" t="s">
        <v>22</v>
      </c>
      <c r="N351" s="11">
        <v>65.127068492000006</v>
      </c>
    </row>
    <row r="352" spans="1:20" x14ac:dyDescent="0.2">
      <c r="A352">
        <v>37</v>
      </c>
      <c r="B352" s="1">
        <v>46193</v>
      </c>
      <c r="C352" s="2">
        <v>0.81263888888888891</v>
      </c>
      <c r="D352" t="s">
        <v>21</v>
      </c>
      <c r="E352" s="10" t="s">
        <v>46</v>
      </c>
      <c r="F352" s="11">
        <v>72.095157685999993</v>
      </c>
      <c r="G352" s="4">
        <v>927.75555399999996</v>
      </c>
      <c r="H352" s="20">
        <v>0</v>
      </c>
      <c r="J352" t="s">
        <v>22</v>
      </c>
    </row>
    <row r="353" spans="1:20" x14ac:dyDescent="0.2">
      <c r="A353">
        <v>38</v>
      </c>
      <c r="B353" s="1">
        <v>46193</v>
      </c>
      <c r="C353" s="2">
        <v>0.81282407407407409</v>
      </c>
      <c r="D353" t="s">
        <v>21</v>
      </c>
      <c r="E353" s="10" t="s">
        <v>47</v>
      </c>
      <c r="F353" s="11">
        <v>81.035597195999998</v>
      </c>
      <c r="G353" s="4">
        <v>2120.71729</v>
      </c>
      <c r="H353" s="20">
        <v>1</v>
      </c>
      <c r="I353" s="17" t="s">
        <v>40</v>
      </c>
      <c r="J353" t="s">
        <v>22</v>
      </c>
      <c r="K353" s="11">
        <v>81.067101979</v>
      </c>
      <c r="L353" s="11">
        <v>22.161544800000001</v>
      </c>
      <c r="M353" s="11">
        <v>-15.692535400000001</v>
      </c>
      <c r="N353" s="11">
        <v>64.227990004000006</v>
      </c>
      <c r="O353" s="11">
        <v>1486.89185</v>
      </c>
      <c r="P353" s="11">
        <v>238</v>
      </c>
      <c r="Q353" s="11">
        <v>1.2621771100000001</v>
      </c>
      <c r="R353" s="11">
        <v>1.503317</v>
      </c>
      <c r="S353" s="11">
        <v>96.555031908999993</v>
      </c>
      <c r="T353" s="11">
        <v>0.839594803</v>
      </c>
    </row>
    <row r="354" spans="1:20" x14ac:dyDescent="0.2">
      <c r="A354">
        <v>59</v>
      </c>
      <c r="B354" s="1">
        <v>46193</v>
      </c>
      <c r="C354" s="2">
        <v>0.83054398148148145</v>
      </c>
      <c r="D354" t="s">
        <v>21</v>
      </c>
      <c r="E354" s="10" t="s">
        <v>37</v>
      </c>
      <c r="F354" s="11">
        <v>71.507601840000007</v>
      </c>
      <c r="G354" s="4">
        <v>2124.7395000000001</v>
      </c>
      <c r="H354" s="20">
        <v>0</v>
      </c>
      <c r="J354" t="s">
        <v>22</v>
      </c>
    </row>
    <row r="355" spans="1:20" s="155" customFormat="1" x14ac:dyDescent="0.2">
      <c r="A355" s="155">
        <v>60</v>
      </c>
      <c r="B355" s="156">
        <v>46193</v>
      </c>
      <c r="C355" s="157">
        <v>0.83078703703703705</v>
      </c>
      <c r="D355" s="155" t="s">
        <v>21</v>
      </c>
      <c r="E355" s="158" t="s">
        <v>46</v>
      </c>
      <c r="F355" s="159">
        <v>70.888281277999994</v>
      </c>
      <c r="G355" s="160">
        <v>452.68221999999997</v>
      </c>
      <c r="H355" s="161">
        <v>1</v>
      </c>
      <c r="I355" s="162"/>
      <c r="J355" s="155" t="s">
        <v>22</v>
      </c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</row>
    <row r="356" spans="1:20" x14ac:dyDescent="0.2">
      <c r="A356">
        <v>61</v>
      </c>
      <c r="B356" s="1">
        <v>46193</v>
      </c>
      <c r="C356" s="2">
        <v>0.83101851851851849</v>
      </c>
      <c r="D356" t="s">
        <v>21</v>
      </c>
      <c r="E356" s="10" t="s">
        <v>33</v>
      </c>
      <c r="F356" s="11">
        <v>80.527434681000003</v>
      </c>
      <c r="G356" s="4">
        <v>2119.5991199999999</v>
      </c>
      <c r="H356" s="20">
        <v>0</v>
      </c>
      <c r="J356" t="s">
        <v>22</v>
      </c>
    </row>
    <row r="357" spans="1:20" x14ac:dyDescent="0.2">
      <c r="A357">
        <v>62</v>
      </c>
      <c r="B357" s="1">
        <v>46193</v>
      </c>
      <c r="C357" s="2">
        <v>0.83123842592592589</v>
      </c>
      <c r="D357" t="s">
        <v>21</v>
      </c>
      <c r="E357" s="10" t="s">
        <v>46</v>
      </c>
      <c r="F357" s="11">
        <v>70.062520156999994</v>
      </c>
      <c r="G357" s="4">
        <v>398.52328499999999</v>
      </c>
      <c r="H357" s="20">
        <v>0</v>
      </c>
      <c r="J357" t="s">
        <v>22</v>
      </c>
    </row>
    <row r="358" spans="1:20" x14ac:dyDescent="0.2">
      <c r="A358">
        <v>63</v>
      </c>
      <c r="B358" s="1">
        <v>46193</v>
      </c>
      <c r="C358" s="2">
        <v>0.83144675925925926</v>
      </c>
      <c r="D358" t="s">
        <v>21</v>
      </c>
      <c r="E358" s="10" t="s">
        <v>37</v>
      </c>
      <c r="F358" s="11">
        <v>70.237199803999999</v>
      </c>
      <c r="G358" s="4">
        <v>2114.2058099999999</v>
      </c>
      <c r="H358" s="20">
        <v>0</v>
      </c>
      <c r="I358" s="17" t="s">
        <v>48</v>
      </c>
      <c r="J358" t="s">
        <v>22</v>
      </c>
    </row>
    <row r="359" spans="1:20" x14ac:dyDescent="0.2">
      <c r="A359">
        <v>64</v>
      </c>
      <c r="B359" s="1">
        <v>46193</v>
      </c>
      <c r="C359" s="2">
        <v>0.83168981481481485</v>
      </c>
      <c r="D359" t="s">
        <v>21</v>
      </c>
      <c r="E359" s="10" t="s">
        <v>33</v>
      </c>
      <c r="F359" s="11">
        <v>82.766512547999994</v>
      </c>
      <c r="G359" s="4">
        <v>2075.6269499999999</v>
      </c>
      <c r="H359" s="20">
        <v>1</v>
      </c>
      <c r="I359" s="17" t="s">
        <v>40</v>
      </c>
      <c r="J359" t="s">
        <v>22</v>
      </c>
      <c r="K359" s="11">
        <v>83.092285813999993</v>
      </c>
      <c r="L359" s="11">
        <v>39.418464700000001</v>
      </c>
      <c r="M359" s="11">
        <v>-0.52251154200000005</v>
      </c>
      <c r="N359" s="11">
        <v>64.227990004000006</v>
      </c>
      <c r="O359" s="11">
        <v>4560.8305700000001</v>
      </c>
      <c r="P359" s="11">
        <v>302</v>
      </c>
      <c r="Q359" s="11">
        <v>1.2937083199999999</v>
      </c>
      <c r="R359" s="11">
        <v>1.5102742899999999</v>
      </c>
      <c r="S359" s="11">
        <v>97.001883363000005</v>
      </c>
      <c r="T359" s="11">
        <v>0.85660484299999995</v>
      </c>
    </row>
    <row r="360" spans="1:20" x14ac:dyDescent="0.2">
      <c r="A360">
        <v>94</v>
      </c>
      <c r="B360" s="1">
        <v>46193</v>
      </c>
      <c r="C360" s="2">
        <v>0.84851851851851856</v>
      </c>
      <c r="D360" t="s">
        <v>34</v>
      </c>
      <c r="E360" s="10" t="s">
        <v>33</v>
      </c>
      <c r="F360" s="11">
        <v>83.147632307999999</v>
      </c>
      <c r="G360" s="4">
        <v>2259.3232400000002</v>
      </c>
      <c r="H360" s="20">
        <v>1</v>
      </c>
      <c r="I360" s="17" t="s">
        <v>40</v>
      </c>
      <c r="J360" t="s">
        <v>22</v>
      </c>
      <c r="K360" s="11">
        <v>93.343447010999995</v>
      </c>
      <c r="L360" s="11">
        <v>19.674821900000001</v>
      </c>
      <c r="M360" s="11">
        <v>-18.441987999999998</v>
      </c>
      <c r="N360" s="11">
        <v>62.092676216999998</v>
      </c>
      <c r="P360" s="11">
        <v>287</v>
      </c>
      <c r="Q360" s="11">
        <v>1.5032924400000001</v>
      </c>
      <c r="R360" s="11">
        <v>1.5247989900000001</v>
      </c>
      <c r="S360" s="11">
        <v>94.678855525000003</v>
      </c>
      <c r="T360" s="11">
        <v>0.98589538599999904</v>
      </c>
    </row>
    <row r="361" spans="1:20" x14ac:dyDescent="0.2">
      <c r="A361">
        <v>92</v>
      </c>
      <c r="B361" s="1">
        <v>46193</v>
      </c>
      <c r="C361" s="2">
        <v>0.84851851851851856</v>
      </c>
      <c r="D361" t="s">
        <v>34</v>
      </c>
      <c r="E361" s="10" t="s">
        <v>33</v>
      </c>
      <c r="F361" s="11">
        <v>81.305554658999995</v>
      </c>
      <c r="G361" s="4">
        <v>2219.5144</v>
      </c>
      <c r="H361" s="20">
        <v>1</v>
      </c>
      <c r="I361" s="17" t="s">
        <v>40</v>
      </c>
      <c r="J361" t="s">
        <v>22</v>
      </c>
      <c r="K361" s="11">
        <v>68.058025071000003</v>
      </c>
      <c r="L361" s="11">
        <v>64.960372899999996</v>
      </c>
      <c r="M361" s="11">
        <v>40.031089799999997</v>
      </c>
      <c r="N361" s="11">
        <v>60.519288805999999</v>
      </c>
      <c r="P361" s="11">
        <v>175</v>
      </c>
      <c r="Q361" s="11">
        <v>1.1245675100000001</v>
      </c>
      <c r="R361" s="11">
        <v>1.52593362</v>
      </c>
      <c r="S361" s="11">
        <v>92.348420969000003</v>
      </c>
      <c r="T361" s="11">
        <v>0.73697013899999997</v>
      </c>
    </row>
    <row r="362" spans="1:20" x14ac:dyDescent="0.2">
      <c r="A362">
        <v>93</v>
      </c>
      <c r="B362" s="1">
        <v>46193</v>
      </c>
      <c r="C362" s="2">
        <v>0.84851851851851856</v>
      </c>
      <c r="D362" t="s">
        <v>34</v>
      </c>
      <c r="E362" s="10" t="s">
        <v>33</v>
      </c>
      <c r="F362" s="11">
        <v>82.623597837999995</v>
      </c>
      <c r="G362" s="4">
        <v>2312.8842800000002</v>
      </c>
      <c r="J362" t="s">
        <v>22</v>
      </c>
    </row>
    <row r="363" spans="1:20" x14ac:dyDescent="0.2">
      <c r="A363">
        <v>91</v>
      </c>
      <c r="B363" s="1">
        <v>46193</v>
      </c>
      <c r="C363" s="2">
        <v>0.84851851851851856</v>
      </c>
      <c r="D363" t="s">
        <v>34</v>
      </c>
      <c r="E363" s="10" t="s">
        <v>33</v>
      </c>
      <c r="F363" s="11">
        <v>81.861358316999997</v>
      </c>
      <c r="G363" s="4">
        <v>2163.6442900000002</v>
      </c>
      <c r="J363" t="s">
        <v>22</v>
      </c>
    </row>
    <row r="364" spans="1:20" x14ac:dyDescent="0.2">
      <c r="A364">
        <v>95</v>
      </c>
      <c r="B364" s="1">
        <v>46193</v>
      </c>
      <c r="C364" s="2">
        <v>0.84851851851851856</v>
      </c>
      <c r="D364" t="s">
        <v>34</v>
      </c>
      <c r="F364" s="11">
        <v>75.652280746000002</v>
      </c>
      <c r="G364" s="4">
        <v>1388.3614500000001</v>
      </c>
      <c r="J364" t="s">
        <v>22</v>
      </c>
    </row>
    <row r="365" spans="1:20" x14ac:dyDescent="0.2">
      <c r="A365">
        <v>133</v>
      </c>
      <c r="B365" s="1">
        <v>46193</v>
      </c>
      <c r="C365" s="2">
        <v>0.85834490740740743</v>
      </c>
      <c r="D365" t="s">
        <v>34</v>
      </c>
      <c r="E365" s="10" t="s">
        <v>33</v>
      </c>
      <c r="F365" s="11">
        <v>85.053227978999999</v>
      </c>
      <c r="G365" s="4">
        <v>2091.9577599999998</v>
      </c>
      <c r="H365" s="20">
        <v>0</v>
      </c>
      <c r="J365" t="s">
        <v>22</v>
      </c>
    </row>
    <row r="366" spans="1:20" x14ac:dyDescent="0.2">
      <c r="A366">
        <v>134</v>
      </c>
      <c r="B366" s="1">
        <v>46193</v>
      </c>
      <c r="C366" s="2">
        <v>0.85856481481481484</v>
      </c>
      <c r="D366" t="s">
        <v>34</v>
      </c>
      <c r="E366" s="10" t="s">
        <v>37</v>
      </c>
      <c r="F366" s="11">
        <v>74.635962203999995</v>
      </c>
      <c r="G366" s="4">
        <v>1260.44434</v>
      </c>
      <c r="H366" s="20">
        <v>0</v>
      </c>
      <c r="J366" t="s">
        <v>22</v>
      </c>
    </row>
    <row r="367" spans="1:20" x14ac:dyDescent="0.2">
      <c r="A367">
        <v>135</v>
      </c>
      <c r="B367" s="1">
        <v>46193</v>
      </c>
      <c r="C367" s="2">
        <v>0.85876157407407405</v>
      </c>
      <c r="D367" t="s">
        <v>34</v>
      </c>
      <c r="E367" s="10" t="s">
        <v>37</v>
      </c>
      <c r="F367" s="11">
        <v>74.699475081000003</v>
      </c>
      <c r="G367" s="4">
        <v>2194.7197299999998</v>
      </c>
      <c r="H367" s="20">
        <v>0</v>
      </c>
      <c r="J367" t="s">
        <v>22</v>
      </c>
    </row>
    <row r="368" spans="1:20" x14ac:dyDescent="0.2">
      <c r="A368">
        <v>136</v>
      </c>
      <c r="B368" s="1">
        <v>46193</v>
      </c>
      <c r="C368" s="2">
        <v>0.85896990740740742</v>
      </c>
      <c r="D368" t="s">
        <v>34</v>
      </c>
      <c r="E368" s="10" t="s">
        <v>37</v>
      </c>
      <c r="F368" s="11">
        <v>78.447160256999993</v>
      </c>
      <c r="G368" s="4">
        <v>1003.62585</v>
      </c>
      <c r="H368" s="20">
        <v>0</v>
      </c>
      <c r="I368" s="17" t="s">
        <v>48</v>
      </c>
      <c r="J368" t="s">
        <v>22</v>
      </c>
    </row>
    <row r="369" spans="1:20" x14ac:dyDescent="0.2">
      <c r="A369">
        <v>137</v>
      </c>
      <c r="B369" s="1">
        <v>46193</v>
      </c>
      <c r="C369" s="2">
        <v>0.85927083333333332</v>
      </c>
      <c r="D369" t="s">
        <v>34</v>
      </c>
      <c r="E369" s="10" t="s">
        <v>33</v>
      </c>
      <c r="F369" s="11">
        <v>85.370829942</v>
      </c>
      <c r="G369" s="4">
        <v>2150.4597199999998</v>
      </c>
      <c r="H369" s="20">
        <v>1</v>
      </c>
      <c r="I369" s="17" t="s">
        <v>40</v>
      </c>
      <c r="J369" t="s">
        <v>22</v>
      </c>
      <c r="K369" s="11">
        <v>89.750409720999997</v>
      </c>
      <c r="L369" s="11">
        <v>9.4449129099999993</v>
      </c>
      <c r="M369" s="11">
        <v>-18.389049499999999</v>
      </c>
      <c r="N369" s="11">
        <v>59.114475325999997</v>
      </c>
      <c r="O369" s="11">
        <v>924.53765899999996</v>
      </c>
      <c r="P369" s="11">
        <v>166</v>
      </c>
      <c r="Q369" s="11">
        <v>1.5182476</v>
      </c>
      <c r="R369" s="11">
        <v>1.5504247</v>
      </c>
      <c r="S369" s="11">
        <v>91.652535681000003</v>
      </c>
      <c r="T369" s="11">
        <v>0.97924629200000002</v>
      </c>
    </row>
    <row r="370" spans="1:20" x14ac:dyDescent="0.2">
      <c r="A370">
        <v>166</v>
      </c>
      <c r="B370" s="1">
        <v>46193</v>
      </c>
      <c r="C370" s="2">
        <v>0.87200231481481483</v>
      </c>
      <c r="D370" t="s">
        <v>25</v>
      </c>
      <c r="E370" s="10" t="s">
        <v>37</v>
      </c>
      <c r="F370" s="11">
        <v>73.111482937999995</v>
      </c>
      <c r="G370" s="4">
        <v>1108.8118899999999</v>
      </c>
      <c r="H370" s="20">
        <v>0</v>
      </c>
      <c r="J370" t="s">
        <v>22</v>
      </c>
    </row>
    <row r="371" spans="1:20" x14ac:dyDescent="0.2">
      <c r="A371">
        <v>167</v>
      </c>
      <c r="B371" s="1">
        <v>46193</v>
      </c>
      <c r="C371" s="2">
        <v>0.87222222222222223</v>
      </c>
      <c r="D371" t="s">
        <v>25</v>
      </c>
      <c r="E371" s="10" t="s">
        <v>37</v>
      </c>
      <c r="F371" s="11">
        <v>73.047961561999998</v>
      </c>
      <c r="G371" s="4">
        <v>2228.7060499999998</v>
      </c>
      <c r="H371" s="20">
        <v>1</v>
      </c>
      <c r="J371" t="s">
        <v>22</v>
      </c>
    </row>
    <row r="372" spans="1:20" x14ac:dyDescent="0.2">
      <c r="A372">
        <v>168</v>
      </c>
      <c r="B372" s="1">
        <v>46193</v>
      </c>
      <c r="C372" s="2">
        <v>0.87246527777777783</v>
      </c>
      <c r="D372" t="s">
        <v>25</v>
      </c>
      <c r="E372" s="10" t="s">
        <v>33</v>
      </c>
      <c r="F372" s="11">
        <v>87.085873337999999</v>
      </c>
      <c r="G372" s="4">
        <v>2158.2570799999999</v>
      </c>
      <c r="H372" s="20">
        <v>1</v>
      </c>
      <c r="I372" s="17" t="s">
        <v>39</v>
      </c>
      <c r="J372" t="s">
        <v>22</v>
      </c>
      <c r="N372" s="11">
        <v>61.109306400999998</v>
      </c>
    </row>
    <row r="373" spans="1:20" x14ac:dyDescent="0.2">
      <c r="A373">
        <v>169</v>
      </c>
      <c r="B373" s="1">
        <v>46193</v>
      </c>
      <c r="C373" s="2">
        <v>0.87275462962962957</v>
      </c>
      <c r="D373" t="s">
        <v>25</v>
      </c>
      <c r="E373" s="10" t="s">
        <v>37</v>
      </c>
      <c r="F373" s="11">
        <v>79.145878624999995</v>
      </c>
      <c r="G373" s="4">
        <v>2236.5910600000002</v>
      </c>
      <c r="H373" s="20">
        <v>0</v>
      </c>
      <c r="J373" t="s">
        <v>22</v>
      </c>
    </row>
    <row r="374" spans="1:20" x14ac:dyDescent="0.2">
      <c r="A374">
        <v>170</v>
      </c>
      <c r="B374" s="1">
        <v>46193</v>
      </c>
      <c r="C374" s="2">
        <v>0.87313657407407408</v>
      </c>
      <c r="D374" t="s">
        <v>25</v>
      </c>
      <c r="E374" s="10" t="s">
        <v>33</v>
      </c>
      <c r="F374" s="11">
        <v>87.149394715</v>
      </c>
      <c r="G374" s="4">
        <v>2280.0681199999999</v>
      </c>
      <c r="H374" s="20">
        <v>0</v>
      </c>
      <c r="J374" t="s">
        <v>22</v>
      </c>
    </row>
    <row r="375" spans="1:20" x14ac:dyDescent="0.2">
      <c r="A375">
        <v>171</v>
      </c>
      <c r="B375" s="1">
        <v>46193</v>
      </c>
      <c r="C375" s="2">
        <v>0.87344907407407413</v>
      </c>
      <c r="D375" t="s">
        <v>25</v>
      </c>
      <c r="E375" s="10" t="s">
        <v>33</v>
      </c>
      <c r="F375" s="11">
        <v>86.8</v>
      </c>
      <c r="G375" s="4">
        <v>1815.1731</v>
      </c>
      <c r="H375" s="20">
        <v>0</v>
      </c>
      <c r="J375" t="s">
        <v>22</v>
      </c>
    </row>
    <row r="376" spans="1:20" x14ac:dyDescent="0.2">
      <c r="A376">
        <v>172</v>
      </c>
      <c r="B376" s="1">
        <v>46193</v>
      </c>
      <c r="C376" s="2">
        <v>0.87372685185185184</v>
      </c>
      <c r="D376" t="s">
        <v>25</v>
      </c>
      <c r="E376" s="10" t="s">
        <v>33</v>
      </c>
      <c r="F376" s="11">
        <v>87.212916092</v>
      </c>
      <c r="G376" s="4">
        <v>2287.3913600000001</v>
      </c>
      <c r="H376" s="20">
        <v>1</v>
      </c>
      <c r="I376" s="17" t="s">
        <v>38</v>
      </c>
      <c r="J376" t="s">
        <v>22</v>
      </c>
      <c r="N376" s="11">
        <v>61.249788889000001</v>
      </c>
    </row>
    <row r="377" spans="1:20" x14ac:dyDescent="0.2">
      <c r="A377">
        <v>189</v>
      </c>
      <c r="B377" s="1">
        <v>46197</v>
      </c>
      <c r="C377" s="2">
        <v>0.57649305555555552</v>
      </c>
      <c r="D377" t="s">
        <v>25</v>
      </c>
      <c r="E377" s="10" t="s">
        <v>33</v>
      </c>
      <c r="F377" s="11">
        <v>86.752394499000005</v>
      </c>
      <c r="G377" s="4">
        <v>1925.4068600000001</v>
      </c>
      <c r="H377" s="20">
        <v>0</v>
      </c>
      <c r="J377" t="s">
        <v>22</v>
      </c>
    </row>
    <row r="378" spans="1:20" x14ac:dyDescent="0.2">
      <c r="A378">
        <v>190</v>
      </c>
      <c r="B378" s="1">
        <v>46197</v>
      </c>
      <c r="C378" s="2">
        <v>0.57671296296296293</v>
      </c>
      <c r="D378" t="s">
        <v>25</v>
      </c>
      <c r="E378" s="10" t="s">
        <v>33</v>
      </c>
      <c r="F378" s="11">
        <v>86.831796331000007</v>
      </c>
      <c r="G378" s="4">
        <v>1986.79456</v>
      </c>
      <c r="H378" s="20">
        <v>1</v>
      </c>
      <c r="I378" s="17" t="s">
        <v>38</v>
      </c>
      <c r="J378" t="s">
        <v>22</v>
      </c>
      <c r="N378" s="11">
        <v>60.575479967</v>
      </c>
    </row>
    <row r="379" spans="1:20" x14ac:dyDescent="0.2">
      <c r="A379">
        <v>191</v>
      </c>
      <c r="B379" s="1">
        <v>46197</v>
      </c>
      <c r="C379" s="2">
        <v>0.57711805555555551</v>
      </c>
      <c r="D379" t="s">
        <v>25</v>
      </c>
      <c r="E379" s="10" t="s">
        <v>33</v>
      </c>
      <c r="F379" s="11">
        <v>85.497872696000002</v>
      </c>
      <c r="G379" s="4">
        <v>2158.6896999999999</v>
      </c>
      <c r="H379" s="20">
        <v>1</v>
      </c>
      <c r="I379" s="17" t="s">
        <v>38</v>
      </c>
      <c r="J379" t="s">
        <v>22</v>
      </c>
      <c r="K379" s="11">
        <v>69.712704525999996</v>
      </c>
      <c r="L379" s="11">
        <v>-22.112030000000001</v>
      </c>
      <c r="M379" s="11">
        <v>-1.0525072799999999</v>
      </c>
      <c r="N379" s="11">
        <v>63.666063628000003</v>
      </c>
      <c r="P379" s="11">
        <v>6</v>
      </c>
      <c r="Q379" s="11">
        <v>1.09497428</v>
      </c>
      <c r="R379" s="11">
        <v>1.5242859099999999</v>
      </c>
      <c r="S379" s="11">
        <v>97.045283276000006</v>
      </c>
      <c r="T379" s="11">
        <v>0.71835227999999995</v>
      </c>
    </row>
    <row r="380" spans="1:20" x14ac:dyDescent="0.2">
      <c r="A380">
        <v>192</v>
      </c>
      <c r="B380" s="1">
        <v>46197</v>
      </c>
      <c r="C380" s="2">
        <v>0.57759259259259255</v>
      </c>
      <c r="D380" t="s">
        <v>25</v>
      </c>
      <c r="E380" s="10" t="s">
        <v>37</v>
      </c>
      <c r="F380" s="11">
        <v>79.590519763000003</v>
      </c>
      <c r="G380" s="4">
        <v>2231.7343799999999</v>
      </c>
      <c r="H380" s="20">
        <v>0</v>
      </c>
      <c r="J380" t="s">
        <v>22</v>
      </c>
    </row>
    <row r="381" spans="1:20" x14ac:dyDescent="0.2">
      <c r="A381">
        <v>193</v>
      </c>
      <c r="B381" s="1">
        <v>46197</v>
      </c>
      <c r="C381" s="2">
        <v>0.57797453703703705</v>
      </c>
      <c r="D381" t="s">
        <v>25</v>
      </c>
      <c r="E381" s="10" t="s">
        <v>33</v>
      </c>
      <c r="F381" s="11">
        <v>87.085873337999999</v>
      </c>
      <c r="G381" s="4">
        <v>2132.0407700000001</v>
      </c>
      <c r="H381" s="20">
        <v>1</v>
      </c>
      <c r="I381" s="17" t="s">
        <v>38</v>
      </c>
      <c r="J381" t="s">
        <v>22</v>
      </c>
      <c r="N381" s="11">
        <v>66.925229943000005</v>
      </c>
    </row>
    <row r="382" spans="1:20" x14ac:dyDescent="0.2">
      <c r="A382">
        <v>194</v>
      </c>
      <c r="B382" s="1">
        <v>46197</v>
      </c>
      <c r="C382" s="2">
        <v>0.57844907407407409</v>
      </c>
      <c r="D382" t="s">
        <v>25</v>
      </c>
      <c r="E382" s="10" t="s">
        <v>37</v>
      </c>
      <c r="F382" s="11">
        <v>76.922680990999993</v>
      </c>
      <c r="G382" s="4">
        <v>2302.5622600000002</v>
      </c>
      <c r="H382" s="20">
        <v>0</v>
      </c>
      <c r="J382" t="s">
        <v>22</v>
      </c>
    </row>
    <row r="383" spans="1:20" x14ac:dyDescent="0.2">
      <c r="A383">
        <v>195</v>
      </c>
      <c r="B383" s="1">
        <v>46197</v>
      </c>
      <c r="C383" s="2">
        <v>0.57871527777777776</v>
      </c>
      <c r="D383" t="s">
        <v>25</v>
      </c>
      <c r="E383" s="10" t="s">
        <v>33</v>
      </c>
      <c r="F383" s="11">
        <v>86.641228846000004</v>
      </c>
      <c r="G383" s="4">
        <v>1973.80359</v>
      </c>
      <c r="H383" s="20">
        <v>1</v>
      </c>
      <c r="I383" s="17" t="s">
        <v>38</v>
      </c>
      <c r="J383" t="s">
        <v>22</v>
      </c>
      <c r="K383" s="11">
        <v>48.603882343999999</v>
      </c>
      <c r="L383" s="11">
        <v>36.3531494</v>
      </c>
      <c r="M383" s="11">
        <v>32.9054146</v>
      </c>
      <c r="N383" s="11">
        <v>66.026146980999997</v>
      </c>
      <c r="P383" s="11">
        <v>135</v>
      </c>
      <c r="Q383" s="11">
        <v>0.73613083400000001</v>
      </c>
      <c r="R383" s="11">
        <v>1.5148946000000001</v>
      </c>
      <c r="S383" s="11">
        <v>100.022656501</v>
      </c>
      <c r="T383" s="11">
        <v>0.48592876400000001</v>
      </c>
    </row>
    <row r="384" spans="1:20" x14ac:dyDescent="0.2">
      <c r="A384">
        <v>196</v>
      </c>
      <c r="B384" s="1">
        <v>46197</v>
      </c>
      <c r="C384" s="2">
        <v>0.57912037037037034</v>
      </c>
      <c r="D384" t="s">
        <v>25</v>
      </c>
      <c r="E384" s="10" t="s">
        <v>33</v>
      </c>
      <c r="F384" s="11">
        <v>87.339950345000005</v>
      </c>
      <c r="G384" s="4">
        <v>1823.65588</v>
      </c>
      <c r="H384" s="20">
        <v>0</v>
      </c>
      <c r="I384" s="17" t="s">
        <v>48</v>
      </c>
      <c r="J384" t="s">
        <v>22</v>
      </c>
    </row>
    <row r="385" spans="1:20" x14ac:dyDescent="0.2">
      <c r="A385">
        <v>197</v>
      </c>
      <c r="B385" s="1">
        <v>46197</v>
      </c>
      <c r="C385" s="2">
        <v>0.57938657407407412</v>
      </c>
      <c r="D385" t="s">
        <v>25</v>
      </c>
      <c r="E385" s="10" t="s">
        <v>33</v>
      </c>
      <c r="F385" s="11">
        <v>87.784591483</v>
      </c>
      <c r="G385" s="4">
        <v>2011.90723</v>
      </c>
      <c r="H385" s="20">
        <v>1</v>
      </c>
      <c r="I385" s="17" t="s">
        <v>38</v>
      </c>
      <c r="J385" t="s">
        <v>22</v>
      </c>
      <c r="N385" s="11">
        <v>55.293387107999997</v>
      </c>
    </row>
    <row r="386" spans="1:20" x14ac:dyDescent="0.2">
      <c r="A386">
        <v>233</v>
      </c>
      <c r="B386" s="1">
        <v>46197</v>
      </c>
      <c r="C386" s="2">
        <v>0.59329861111111115</v>
      </c>
      <c r="D386" t="s">
        <v>28</v>
      </c>
      <c r="E386" s="10" t="s">
        <v>33</v>
      </c>
      <c r="F386" s="11">
        <v>77.557877981999994</v>
      </c>
      <c r="G386" s="4">
        <v>2070.69751</v>
      </c>
      <c r="H386" s="20">
        <v>0</v>
      </c>
      <c r="J386" t="s">
        <v>22</v>
      </c>
    </row>
    <row r="387" spans="1:20" x14ac:dyDescent="0.2">
      <c r="A387">
        <v>234</v>
      </c>
      <c r="B387" s="1">
        <v>46197</v>
      </c>
      <c r="C387" s="2">
        <v>0.59350694444444441</v>
      </c>
      <c r="D387" t="s">
        <v>28</v>
      </c>
      <c r="E387" s="10" t="s">
        <v>33</v>
      </c>
      <c r="F387" s="11">
        <v>77.367313851999995</v>
      </c>
      <c r="G387" s="4">
        <v>2114.84204</v>
      </c>
      <c r="H387" s="20">
        <v>0</v>
      </c>
      <c r="J387" t="s">
        <v>22</v>
      </c>
    </row>
    <row r="388" spans="1:20" x14ac:dyDescent="0.2">
      <c r="A388">
        <v>235</v>
      </c>
      <c r="B388" s="1">
        <v>46197</v>
      </c>
      <c r="C388" s="2">
        <v>0.59373842592592596</v>
      </c>
      <c r="D388" t="s">
        <v>28</v>
      </c>
      <c r="E388" s="10" t="s">
        <v>33</v>
      </c>
      <c r="F388" s="11">
        <v>76.208073890999998</v>
      </c>
      <c r="G388" s="4">
        <v>2063.5314899999998</v>
      </c>
      <c r="H388" s="20">
        <v>1</v>
      </c>
      <c r="I388" s="17" t="s">
        <v>40</v>
      </c>
      <c r="J388" t="s">
        <v>22</v>
      </c>
      <c r="K388" s="11">
        <v>52.950472685999998</v>
      </c>
      <c r="L388" s="11">
        <v>-34.8240318</v>
      </c>
      <c r="M388" s="11">
        <v>33.565166499999997</v>
      </c>
      <c r="N388" s="11">
        <v>61.783619573000003</v>
      </c>
      <c r="P388" s="11">
        <v>8</v>
      </c>
      <c r="Q388" s="11">
        <v>0.85703092800000003</v>
      </c>
      <c r="R388" s="11">
        <v>1.4960318800000001</v>
      </c>
      <c r="S388" s="11">
        <v>92.430263074999999</v>
      </c>
      <c r="T388" s="11">
        <v>0.57286941499999999</v>
      </c>
    </row>
    <row r="389" spans="1:20" x14ac:dyDescent="0.2">
      <c r="A389">
        <v>267</v>
      </c>
      <c r="B389" s="1">
        <v>46197</v>
      </c>
      <c r="C389" s="2">
        <v>0.60666666666666669</v>
      </c>
      <c r="D389" t="s">
        <v>28</v>
      </c>
      <c r="E389" s="10" t="s">
        <v>37</v>
      </c>
      <c r="F389" s="11">
        <v>74.000756713000001</v>
      </c>
      <c r="G389" s="4">
        <v>2431.2040999999999</v>
      </c>
      <c r="H389" s="20">
        <v>0</v>
      </c>
      <c r="J389" t="s">
        <v>22</v>
      </c>
    </row>
    <row r="390" spans="1:20" x14ac:dyDescent="0.2">
      <c r="A390">
        <v>268</v>
      </c>
      <c r="B390" s="1">
        <v>46197</v>
      </c>
      <c r="C390" s="2">
        <v>0.60688657407407409</v>
      </c>
      <c r="D390" t="s">
        <v>28</v>
      </c>
      <c r="E390" s="10" t="s">
        <v>37</v>
      </c>
      <c r="F390" s="11">
        <v>72.793876053999995</v>
      </c>
      <c r="G390" s="4">
        <v>2436.66626</v>
      </c>
      <c r="H390" s="20">
        <v>0</v>
      </c>
      <c r="J390" t="s">
        <v>22</v>
      </c>
    </row>
    <row r="391" spans="1:20" x14ac:dyDescent="0.2">
      <c r="A391">
        <v>269</v>
      </c>
      <c r="B391" s="1">
        <v>46197</v>
      </c>
      <c r="C391" s="2">
        <v>0.60717592592592595</v>
      </c>
      <c r="D391" t="s">
        <v>28</v>
      </c>
      <c r="E391" s="10" t="s">
        <v>33</v>
      </c>
      <c r="F391" s="11">
        <v>78.574194509999998</v>
      </c>
      <c r="G391" s="4">
        <v>2265.7670899999998</v>
      </c>
      <c r="H391" s="20">
        <v>0</v>
      </c>
      <c r="J391" t="s">
        <v>22</v>
      </c>
    </row>
    <row r="392" spans="1:20" x14ac:dyDescent="0.2">
      <c r="A392">
        <v>270</v>
      </c>
      <c r="B392" s="1">
        <v>46197</v>
      </c>
      <c r="C392" s="2">
        <v>0.60741898148148143</v>
      </c>
      <c r="D392" t="s">
        <v>28</v>
      </c>
      <c r="E392" s="10" t="s">
        <v>33</v>
      </c>
      <c r="F392" s="11">
        <v>77.351433396000004</v>
      </c>
      <c r="G392" s="4">
        <v>2051.40454</v>
      </c>
      <c r="H392" s="20">
        <v>0</v>
      </c>
      <c r="J392" t="s">
        <v>22</v>
      </c>
    </row>
    <row r="393" spans="1:20" x14ac:dyDescent="0.2">
      <c r="A393">
        <v>271</v>
      </c>
      <c r="B393" s="1">
        <v>46197</v>
      </c>
      <c r="C393" s="2">
        <v>0.6076273148148148</v>
      </c>
      <c r="D393" t="s">
        <v>28</v>
      </c>
      <c r="E393" s="10" t="s">
        <v>33</v>
      </c>
      <c r="F393" s="11">
        <v>77.684920735999995</v>
      </c>
      <c r="G393" s="4">
        <v>2116.6481899999999</v>
      </c>
      <c r="H393" s="20">
        <v>0</v>
      </c>
      <c r="I393" s="17" t="s">
        <v>48</v>
      </c>
      <c r="J393" t="s">
        <v>22</v>
      </c>
    </row>
    <row r="394" spans="1:20" x14ac:dyDescent="0.2">
      <c r="A394">
        <v>298</v>
      </c>
      <c r="B394" s="8">
        <v>46197</v>
      </c>
      <c r="C394" s="9">
        <v>0.62086805555555558</v>
      </c>
      <c r="D394" s="7" t="s">
        <v>24</v>
      </c>
      <c r="E394" s="13" t="s">
        <v>35</v>
      </c>
      <c r="F394" s="16">
        <v>73.603756700000005</v>
      </c>
      <c r="G394" s="129">
        <v>1280.0640900000001</v>
      </c>
      <c r="H394" s="22">
        <v>0</v>
      </c>
      <c r="I394" s="19"/>
      <c r="J394" s="7" t="s">
        <v>22</v>
      </c>
      <c r="K394" s="16"/>
      <c r="L394" s="16"/>
      <c r="M394" s="16"/>
      <c r="N394" s="16"/>
      <c r="O394" s="16"/>
      <c r="P394" s="16"/>
      <c r="Q394" s="16"/>
      <c r="R394" s="16"/>
      <c r="S394" s="16"/>
      <c r="T394" s="16"/>
    </row>
    <row r="395" spans="1:20" x14ac:dyDescent="0.2">
      <c r="A395">
        <v>299</v>
      </c>
      <c r="B395" s="8">
        <v>46197</v>
      </c>
      <c r="C395" s="9">
        <v>0.62124999999999997</v>
      </c>
      <c r="D395" s="7" t="s">
        <v>24</v>
      </c>
      <c r="E395" s="13" t="s">
        <v>33</v>
      </c>
      <c r="F395" s="16">
        <v>82.830033900000004</v>
      </c>
      <c r="G395" s="129">
        <v>1127.23071</v>
      </c>
      <c r="H395" s="22">
        <v>0</v>
      </c>
      <c r="I395" s="19"/>
      <c r="J395" s="7" t="s">
        <v>22</v>
      </c>
      <c r="K395" s="16"/>
      <c r="L395" s="16"/>
      <c r="M395" s="16"/>
      <c r="N395" s="16"/>
      <c r="O395" s="16"/>
      <c r="P395" s="16"/>
      <c r="Q395" s="16"/>
      <c r="R395" s="16"/>
      <c r="S395" s="16"/>
      <c r="T395" s="16"/>
    </row>
    <row r="396" spans="1:20" x14ac:dyDescent="0.2">
      <c r="A396">
        <v>300</v>
      </c>
      <c r="B396" s="8">
        <v>46197</v>
      </c>
      <c r="C396" s="9">
        <v>0.62151620370370375</v>
      </c>
      <c r="D396" s="7" t="s">
        <v>24</v>
      </c>
      <c r="E396" s="13" t="s">
        <v>49</v>
      </c>
      <c r="F396" s="16">
        <v>66.695963199999994</v>
      </c>
      <c r="G396" s="129">
        <v>1770.44849</v>
      </c>
      <c r="H396" s="22">
        <v>0</v>
      </c>
      <c r="I396" s="19"/>
      <c r="J396" s="7" t="s">
        <v>22</v>
      </c>
      <c r="K396" s="16"/>
      <c r="L396" s="16"/>
      <c r="M396" s="16"/>
      <c r="N396" s="16"/>
      <c r="O396" s="16"/>
      <c r="P396" s="16"/>
      <c r="Q396" s="16"/>
      <c r="R396" s="16"/>
      <c r="S396" s="16"/>
      <c r="T396" s="16"/>
    </row>
    <row r="397" spans="1:20" x14ac:dyDescent="0.2">
      <c r="A397">
        <v>301</v>
      </c>
      <c r="B397" s="8">
        <v>46197</v>
      </c>
      <c r="C397" s="9">
        <v>0.62193287037037037</v>
      </c>
      <c r="D397" s="7" t="s">
        <v>24</v>
      </c>
      <c r="E397" s="13" t="s">
        <v>33</v>
      </c>
      <c r="F397" s="16">
        <v>81.416717199999994</v>
      </c>
      <c r="G397" s="129">
        <v>2211.5273400000001</v>
      </c>
      <c r="H397" s="22">
        <v>1</v>
      </c>
      <c r="I397" s="19" t="s">
        <v>38</v>
      </c>
      <c r="J397" s="7" t="s">
        <v>22</v>
      </c>
      <c r="K397" s="16"/>
      <c r="L397" s="16"/>
      <c r="M397" s="16"/>
      <c r="N397" s="16">
        <v>62.654602400000002</v>
      </c>
      <c r="O397" s="16"/>
      <c r="P397" s="16"/>
      <c r="Q397" s="16"/>
      <c r="R397" s="16"/>
      <c r="S397" s="16"/>
      <c r="T397" s="16"/>
    </row>
    <row r="398" spans="1:20" x14ac:dyDescent="0.2">
      <c r="A398">
        <v>302</v>
      </c>
      <c r="B398" s="8">
        <v>46197</v>
      </c>
      <c r="C398" s="9">
        <v>0.62229166666666669</v>
      </c>
      <c r="D398" s="7" t="s">
        <v>24</v>
      </c>
      <c r="E398" s="13" t="s">
        <v>33</v>
      </c>
      <c r="F398" s="16">
        <v>81.940755199999998</v>
      </c>
      <c r="G398" s="129">
        <v>2157.8859900000002</v>
      </c>
      <c r="H398" s="22">
        <v>1</v>
      </c>
      <c r="I398" s="19" t="s">
        <v>40</v>
      </c>
      <c r="J398" s="7" t="s">
        <v>22</v>
      </c>
      <c r="K398" s="16">
        <v>59.5776976</v>
      </c>
      <c r="L398" s="16">
        <v>-18.233640999999999</v>
      </c>
      <c r="M398" s="16">
        <v>-13.201433</v>
      </c>
      <c r="N398" s="16">
        <v>63.834642000000002</v>
      </c>
      <c r="O398" s="16"/>
      <c r="P398" s="16">
        <v>14</v>
      </c>
      <c r="Q398" s="16">
        <v>0.93331295000000003</v>
      </c>
      <c r="R398" s="16">
        <v>1.50898468</v>
      </c>
      <c r="S398" s="16">
        <v>96.325496599999994</v>
      </c>
      <c r="T398" s="16">
        <v>0.61850391000000005</v>
      </c>
    </row>
    <row r="399" spans="1:20" x14ac:dyDescent="0.2">
      <c r="A399">
        <v>308</v>
      </c>
      <c r="B399" s="8">
        <v>46200</v>
      </c>
      <c r="C399" s="9">
        <v>0.73606481481481478</v>
      </c>
      <c r="D399" s="7" t="s">
        <v>18</v>
      </c>
      <c r="E399" s="13" t="s">
        <v>37</v>
      </c>
      <c r="F399" s="16">
        <v>72.206320199999993</v>
      </c>
      <c r="G399" s="129">
        <v>2138.5288099999998</v>
      </c>
      <c r="H399" s="22">
        <v>0</v>
      </c>
      <c r="I399" s="19"/>
      <c r="J399" s="7" t="s">
        <v>22</v>
      </c>
      <c r="K399" s="16"/>
      <c r="L399" s="16"/>
      <c r="M399" s="16"/>
      <c r="N399" s="16"/>
      <c r="O399" s="16"/>
      <c r="P399" s="16"/>
      <c r="Q399" s="16"/>
      <c r="R399" s="16"/>
      <c r="S399" s="16"/>
      <c r="T399" s="16"/>
    </row>
    <row r="400" spans="1:20" x14ac:dyDescent="0.2">
      <c r="A400">
        <v>309</v>
      </c>
      <c r="B400" s="8">
        <v>46200</v>
      </c>
      <c r="C400" s="9">
        <v>0.73648148148148151</v>
      </c>
      <c r="D400" s="7" t="s">
        <v>18</v>
      </c>
      <c r="E400" s="13" t="s">
        <v>44</v>
      </c>
      <c r="F400" s="16">
        <v>71.0153198</v>
      </c>
      <c r="G400" s="129">
        <v>2206.4589799999999</v>
      </c>
      <c r="H400" s="22">
        <v>1</v>
      </c>
      <c r="I400" s="19"/>
      <c r="J400" s="7" t="s">
        <v>22</v>
      </c>
      <c r="K400" s="16"/>
      <c r="L400" s="16"/>
      <c r="M400" s="16"/>
      <c r="N400" s="16"/>
      <c r="O400" s="16"/>
      <c r="P400" s="16"/>
      <c r="Q400" s="16"/>
      <c r="R400" s="16"/>
      <c r="S400" s="16"/>
      <c r="T400" s="16"/>
    </row>
    <row r="401" spans="1:20" x14ac:dyDescent="0.2">
      <c r="A401">
        <v>310</v>
      </c>
      <c r="B401" s="8">
        <v>46200</v>
      </c>
      <c r="C401" s="9">
        <v>0.73670138888888892</v>
      </c>
      <c r="D401" s="7" t="s">
        <v>18</v>
      </c>
      <c r="E401" s="13" t="s">
        <v>37</v>
      </c>
      <c r="F401" s="16">
        <v>71.253520600000002</v>
      </c>
      <c r="G401" s="129">
        <v>2144.4856</v>
      </c>
      <c r="H401" s="22">
        <v>1</v>
      </c>
      <c r="I401" s="19" t="s">
        <v>40</v>
      </c>
      <c r="J401" s="7" t="s">
        <v>22</v>
      </c>
      <c r="K401" s="16">
        <v>58.930153099999998</v>
      </c>
      <c r="L401" s="16">
        <v>56.5157089</v>
      </c>
      <c r="M401" s="16">
        <v>12.751541100000001</v>
      </c>
      <c r="N401" s="16">
        <v>57.934435700000002</v>
      </c>
      <c r="O401" s="16">
        <v>4731.4404299999997</v>
      </c>
      <c r="P401" s="16">
        <v>167</v>
      </c>
      <c r="Q401" s="16">
        <v>1.0171870000000001</v>
      </c>
      <c r="R401" s="16">
        <v>1.49511075</v>
      </c>
      <c r="S401" s="16">
        <v>86.618397099999996</v>
      </c>
      <c r="T401" s="16">
        <v>0.68034218000000002</v>
      </c>
    </row>
    <row r="402" spans="1:20" x14ac:dyDescent="0.2">
      <c r="A402">
        <v>334</v>
      </c>
      <c r="B402" s="8">
        <v>46200</v>
      </c>
      <c r="C402" s="9">
        <v>0.74608796296296298</v>
      </c>
      <c r="D402" s="7" t="s">
        <v>21</v>
      </c>
      <c r="E402" s="13" t="s">
        <v>37</v>
      </c>
      <c r="F402" s="16">
        <v>72.793876100000006</v>
      </c>
      <c r="G402" s="129">
        <v>2197.5895999999998</v>
      </c>
      <c r="H402" s="22">
        <v>0</v>
      </c>
      <c r="I402" s="19"/>
      <c r="J402" s="7" t="s">
        <v>22</v>
      </c>
      <c r="K402" s="16"/>
      <c r="L402" s="16"/>
      <c r="M402" s="16"/>
      <c r="N402" s="16"/>
      <c r="O402" s="16"/>
      <c r="P402" s="16"/>
      <c r="Q402" s="16"/>
      <c r="R402" s="16"/>
      <c r="S402" s="16"/>
      <c r="T402" s="16"/>
    </row>
    <row r="403" spans="1:20" x14ac:dyDescent="0.2">
      <c r="A403">
        <v>335</v>
      </c>
      <c r="B403" s="8">
        <v>46200</v>
      </c>
      <c r="C403" s="9">
        <v>0.74631944444444442</v>
      </c>
      <c r="D403" s="7" t="s">
        <v>21</v>
      </c>
      <c r="E403" s="13" t="s">
        <v>33</v>
      </c>
      <c r="F403" s="16">
        <v>82.7029912</v>
      </c>
      <c r="G403" s="129">
        <v>2163.2907700000001</v>
      </c>
      <c r="H403" s="22">
        <v>0</v>
      </c>
      <c r="I403" s="19"/>
      <c r="J403" s="7" t="s">
        <v>22</v>
      </c>
      <c r="K403" s="16"/>
      <c r="L403" s="16"/>
      <c r="M403" s="16"/>
      <c r="N403" s="16"/>
      <c r="O403" s="16"/>
      <c r="P403" s="16"/>
      <c r="Q403" s="16"/>
      <c r="R403" s="16"/>
      <c r="S403" s="16"/>
      <c r="T403" s="16"/>
    </row>
    <row r="404" spans="1:20" x14ac:dyDescent="0.2">
      <c r="A404">
        <v>336</v>
      </c>
      <c r="B404" s="8">
        <v>46200</v>
      </c>
      <c r="C404" s="9">
        <v>0.74652777777777779</v>
      </c>
      <c r="D404" s="7" t="s">
        <v>21</v>
      </c>
      <c r="E404" s="13" t="s">
        <v>33</v>
      </c>
      <c r="F404" s="16">
        <v>83.147632299999998</v>
      </c>
      <c r="G404" s="129">
        <v>2063.4147899999998</v>
      </c>
      <c r="H404" s="22">
        <v>1</v>
      </c>
      <c r="I404" s="19"/>
      <c r="J404" s="7" t="s">
        <v>22</v>
      </c>
      <c r="K404" s="16"/>
      <c r="L404" s="16"/>
      <c r="M404" s="16"/>
      <c r="N404" s="16"/>
      <c r="O404" s="16"/>
      <c r="P404" s="16"/>
      <c r="Q404" s="16"/>
      <c r="R404" s="16"/>
      <c r="S404" s="16"/>
      <c r="T404" s="16"/>
    </row>
    <row r="405" spans="1:20" x14ac:dyDescent="0.2">
      <c r="A405">
        <v>337</v>
      </c>
      <c r="B405" s="8">
        <v>46200</v>
      </c>
      <c r="C405" s="9">
        <v>0.74673611111111116</v>
      </c>
      <c r="D405" s="7" t="s">
        <v>21</v>
      </c>
      <c r="E405" s="13" t="s">
        <v>37</v>
      </c>
      <c r="F405" s="16">
        <v>73.556115599999998</v>
      </c>
      <c r="G405" s="129">
        <v>774.15527299999997</v>
      </c>
      <c r="H405" s="22">
        <v>1</v>
      </c>
      <c r="I405" s="19" t="s">
        <v>39</v>
      </c>
      <c r="J405" s="7" t="s">
        <v>22</v>
      </c>
      <c r="K405" s="16"/>
      <c r="L405" s="16"/>
      <c r="M405" s="16"/>
      <c r="N405" s="16">
        <v>60.238323399999999</v>
      </c>
      <c r="O405" s="16"/>
      <c r="P405" s="16"/>
      <c r="Q405" s="16"/>
      <c r="R405" s="16"/>
      <c r="S405" s="16"/>
      <c r="T405" s="16"/>
    </row>
    <row r="406" spans="1:20" x14ac:dyDescent="0.2">
      <c r="A406">
        <v>338</v>
      </c>
      <c r="B406" s="8">
        <v>46200</v>
      </c>
      <c r="C406" s="9">
        <v>0.74697916666666664</v>
      </c>
      <c r="D406" s="7" t="s">
        <v>21</v>
      </c>
      <c r="E406" s="13" t="s">
        <v>37</v>
      </c>
      <c r="F406" s="16">
        <v>74.048397600000001</v>
      </c>
      <c r="G406" s="129">
        <v>742.75006099999996</v>
      </c>
      <c r="H406" s="22">
        <v>1</v>
      </c>
      <c r="I406" s="19" t="s">
        <v>40</v>
      </c>
      <c r="J406" s="7" t="s">
        <v>22</v>
      </c>
      <c r="K406" s="16">
        <v>63.281769400000002</v>
      </c>
      <c r="L406" s="16">
        <v>-21.109677999999999</v>
      </c>
      <c r="M406" s="16">
        <v>-28.946097999999999</v>
      </c>
      <c r="N406" s="16">
        <v>57.822048600000002</v>
      </c>
      <c r="O406" s="16"/>
      <c r="P406" s="16">
        <v>5</v>
      </c>
      <c r="Q406" s="16">
        <v>1.0944228199999999</v>
      </c>
      <c r="R406" s="16">
        <v>1.50067627</v>
      </c>
      <c r="S406" s="16">
        <v>86.7721746</v>
      </c>
      <c r="T406" s="16">
        <v>0.72928641999999999</v>
      </c>
    </row>
    <row r="407" spans="1:20" x14ac:dyDescent="0.2">
      <c r="A407">
        <v>371</v>
      </c>
      <c r="B407" s="8">
        <v>46200</v>
      </c>
      <c r="C407" s="9">
        <v>0.75819444444444439</v>
      </c>
      <c r="D407" s="7" t="s">
        <v>21</v>
      </c>
      <c r="E407" s="13" t="s">
        <v>37</v>
      </c>
      <c r="F407" s="16">
        <v>73.174995800000005</v>
      </c>
      <c r="G407" s="129">
        <v>2124.8356899999999</v>
      </c>
      <c r="H407" s="22">
        <v>1</v>
      </c>
      <c r="I407" s="19" t="s">
        <v>39</v>
      </c>
      <c r="J407" s="7" t="s">
        <v>22</v>
      </c>
      <c r="K407" s="16"/>
      <c r="L407" s="16"/>
      <c r="M407" s="16"/>
      <c r="N407" s="16">
        <v>61.896002099999997</v>
      </c>
      <c r="O407" s="16"/>
      <c r="P407" s="16"/>
      <c r="Q407" s="16"/>
      <c r="R407" s="16"/>
      <c r="S407" s="16"/>
      <c r="T407" s="16"/>
    </row>
    <row r="408" spans="1:20" x14ac:dyDescent="0.2">
      <c r="A408">
        <v>372</v>
      </c>
      <c r="B408" s="8">
        <v>46200</v>
      </c>
      <c r="C408" s="9">
        <v>0.75843749999999999</v>
      </c>
      <c r="D408" s="7" t="s">
        <v>21</v>
      </c>
      <c r="E408" s="13" t="s">
        <v>46</v>
      </c>
      <c r="F408" s="16">
        <v>71.459960899999999</v>
      </c>
      <c r="G408" s="129">
        <v>322.40194700000001</v>
      </c>
      <c r="H408" s="22">
        <v>0</v>
      </c>
      <c r="I408" s="19"/>
      <c r="J408" s="7" t="s">
        <v>22</v>
      </c>
      <c r="K408" s="16"/>
      <c r="L408" s="16"/>
      <c r="M408" s="16"/>
      <c r="N408" s="16"/>
      <c r="O408" s="16"/>
      <c r="P408" s="16"/>
      <c r="Q408" s="16"/>
      <c r="R408" s="16"/>
      <c r="S408" s="16"/>
      <c r="T408" s="16"/>
    </row>
    <row r="409" spans="1:20" s="155" customFormat="1" x14ac:dyDescent="0.2">
      <c r="A409" s="155">
        <v>373</v>
      </c>
      <c r="B409" s="163">
        <v>46200</v>
      </c>
      <c r="C409" s="164">
        <v>0.75864583333333335</v>
      </c>
      <c r="D409" s="165" t="s">
        <v>21</v>
      </c>
      <c r="E409" s="166" t="s">
        <v>33</v>
      </c>
      <c r="F409" s="167">
        <v>81.226152799999994</v>
      </c>
      <c r="G409" s="168">
        <v>2018.83276</v>
      </c>
      <c r="H409" s="169">
        <v>1</v>
      </c>
      <c r="I409" s="170" t="s">
        <v>40</v>
      </c>
      <c r="J409" s="165" t="s">
        <v>22</v>
      </c>
      <c r="K409" s="167"/>
      <c r="L409" s="167"/>
      <c r="M409" s="167"/>
      <c r="N409" s="167">
        <v>65.492320800000002</v>
      </c>
      <c r="O409" s="167"/>
      <c r="P409" s="167"/>
      <c r="Q409" s="167"/>
      <c r="R409" s="167"/>
      <c r="S409" s="167"/>
      <c r="T409" s="167"/>
    </row>
    <row r="410" spans="1:20" x14ac:dyDescent="0.2">
      <c r="A410">
        <v>411</v>
      </c>
      <c r="B410" s="8">
        <v>46200</v>
      </c>
      <c r="C410" s="9">
        <v>0.77238425925925924</v>
      </c>
      <c r="D410" s="7" t="s">
        <v>21</v>
      </c>
      <c r="E410" s="13" t="s">
        <v>33</v>
      </c>
      <c r="F410" s="16">
        <v>81.353195799999995</v>
      </c>
      <c r="G410" s="129">
        <v>2057.3383800000001</v>
      </c>
      <c r="H410" s="22">
        <v>1</v>
      </c>
      <c r="I410" s="19"/>
      <c r="J410" s="7" t="s">
        <v>22</v>
      </c>
      <c r="K410" s="16"/>
      <c r="L410" s="16"/>
      <c r="M410" s="16"/>
      <c r="N410" s="16"/>
      <c r="O410" s="16"/>
      <c r="P410" s="16"/>
      <c r="Q410" s="16"/>
      <c r="R410" s="16"/>
      <c r="S410" s="16"/>
      <c r="T410" s="16"/>
    </row>
    <row r="411" spans="1:20" x14ac:dyDescent="0.2">
      <c r="A411">
        <v>412</v>
      </c>
      <c r="B411" s="8">
        <v>46200</v>
      </c>
      <c r="C411" s="9">
        <v>0.77252314814814815</v>
      </c>
      <c r="D411" s="7" t="s">
        <v>21</v>
      </c>
      <c r="E411" s="13" t="s">
        <v>37</v>
      </c>
      <c r="F411" s="16">
        <v>73.603756700000005</v>
      </c>
      <c r="G411" s="129">
        <v>2192.9355500000001</v>
      </c>
      <c r="H411" s="22">
        <v>1</v>
      </c>
      <c r="I411" s="19" t="s">
        <v>40</v>
      </c>
      <c r="J411" s="7" t="s">
        <v>22</v>
      </c>
      <c r="K411" s="16"/>
      <c r="L411" s="16"/>
      <c r="M411" s="16"/>
      <c r="N411" s="16">
        <v>58.215396599999998</v>
      </c>
      <c r="O411" s="16"/>
      <c r="P411" s="16"/>
      <c r="Q411" s="16"/>
      <c r="R411" s="16"/>
      <c r="S411" s="16"/>
      <c r="T411" s="16"/>
    </row>
    <row r="412" spans="1:20" x14ac:dyDescent="0.2">
      <c r="A412">
        <v>432</v>
      </c>
      <c r="B412" s="8">
        <v>46200</v>
      </c>
      <c r="C412" s="9">
        <v>0.78104166666666663</v>
      </c>
      <c r="D412" s="7" t="s">
        <v>25</v>
      </c>
      <c r="E412" s="13" t="s">
        <v>37</v>
      </c>
      <c r="F412" s="16">
        <v>69.983122600000002</v>
      </c>
      <c r="G412" s="129">
        <v>2044.03235</v>
      </c>
      <c r="H412" s="22">
        <v>0</v>
      </c>
      <c r="I412" s="19"/>
      <c r="J412" s="7" t="s">
        <v>22</v>
      </c>
      <c r="K412" s="16"/>
      <c r="L412" s="16"/>
      <c r="M412" s="16"/>
      <c r="N412" s="16"/>
      <c r="O412" s="16"/>
      <c r="P412" s="16"/>
      <c r="Q412" s="16"/>
      <c r="R412" s="16"/>
      <c r="S412" s="16"/>
      <c r="T412" s="16"/>
    </row>
    <row r="413" spans="1:20" x14ac:dyDescent="0.2">
      <c r="A413">
        <v>433</v>
      </c>
      <c r="B413" s="8">
        <v>46200</v>
      </c>
      <c r="C413" s="9">
        <v>0.78121527777777777</v>
      </c>
      <c r="D413" s="7" t="s">
        <v>25</v>
      </c>
      <c r="E413" s="13" t="s">
        <v>37</v>
      </c>
      <c r="F413" s="16">
        <v>70.761242600000003</v>
      </c>
      <c r="G413" s="129">
        <v>2092.2873500000001</v>
      </c>
      <c r="H413" s="22">
        <v>1</v>
      </c>
      <c r="I413" s="19" t="s">
        <v>40</v>
      </c>
      <c r="J413" s="7" t="s">
        <v>22</v>
      </c>
      <c r="K413" s="16">
        <v>70.344262000000001</v>
      </c>
      <c r="L413" s="16">
        <v>23.3094</v>
      </c>
      <c r="M413" s="16">
        <v>-28.553661000000002</v>
      </c>
      <c r="N413" s="16">
        <v>59.957362400000001</v>
      </c>
      <c r="O413" s="16">
        <v>1475.4451899999999</v>
      </c>
      <c r="P413" s="16">
        <v>193</v>
      </c>
      <c r="Q413" s="16">
        <v>1.17323804</v>
      </c>
      <c r="R413" s="16">
        <v>1.48227859</v>
      </c>
      <c r="S413" s="16">
        <v>88.873508900000004</v>
      </c>
      <c r="T413" s="16">
        <v>0.79150986000000001</v>
      </c>
    </row>
    <row r="414" spans="1:20" x14ac:dyDescent="0.2">
      <c r="A414">
        <v>434</v>
      </c>
      <c r="B414" s="8">
        <v>46200</v>
      </c>
      <c r="C414" s="9">
        <v>0.78148148148148144</v>
      </c>
      <c r="D414" s="7" t="s">
        <v>25</v>
      </c>
      <c r="E414" s="13" t="s">
        <v>33</v>
      </c>
      <c r="F414" s="16">
        <v>84.624470700000003</v>
      </c>
      <c r="G414" s="129">
        <v>1955.8625500000001</v>
      </c>
      <c r="H414" s="22">
        <v>0</v>
      </c>
      <c r="I414" s="19"/>
      <c r="J414" s="7" t="s">
        <v>22</v>
      </c>
      <c r="K414" s="16"/>
      <c r="L414" s="16"/>
      <c r="M414" s="16"/>
      <c r="N414" s="16"/>
      <c r="O414" s="16"/>
      <c r="P414" s="16"/>
      <c r="Q414" s="16"/>
      <c r="R414" s="16"/>
      <c r="S414" s="16"/>
      <c r="T414" s="16"/>
    </row>
    <row r="415" spans="1:20" x14ac:dyDescent="0.2">
      <c r="A415">
        <v>435</v>
      </c>
      <c r="B415" s="8">
        <v>46200</v>
      </c>
      <c r="C415" s="9">
        <v>0.78167824074074077</v>
      </c>
      <c r="D415" s="7" t="s">
        <v>25</v>
      </c>
      <c r="E415" s="13" t="s">
        <v>37</v>
      </c>
      <c r="F415" s="16">
        <v>75.4934753</v>
      </c>
      <c r="G415" s="129">
        <v>1112.0201400000001</v>
      </c>
      <c r="H415" s="22">
        <v>0</v>
      </c>
      <c r="I415" s="19"/>
      <c r="J415" s="7" t="s">
        <v>22</v>
      </c>
      <c r="K415" s="16"/>
      <c r="L415" s="16"/>
      <c r="M415" s="16"/>
      <c r="N415" s="16"/>
      <c r="O415" s="16"/>
      <c r="P415" s="16"/>
      <c r="Q415" s="16"/>
      <c r="R415" s="16"/>
      <c r="S415" s="16"/>
      <c r="T415" s="16"/>
    </row>
    <row r="416" spans="1:20" x14ac:dyDescent="0.2">
      <c r="A416">
        <v>436</v>
      </c>
      <c r="B416" s="8">
        <v>46200</v>
      </c>
      <c r="C416" s="9">
        <v>0.78228009259259257</v>
      </c>
      <c r="D416" s="7" t="s">
        <v>25</v>
      </c>
      <c r="E416" s="13" t="s">
        <v>37</v>
      </c>
      <c r="F416" s="16">
        <v>74.985321299999995</v>
      </c>
      <c r="G416" s="129">
        <v>2132.0322299999998</v>
      </c>
      <c r="H416" s="22">
        <v>1</v>
      </c>
      <c r="I416" s="19" t="s">
        <v>38</v>
      </c>
      <c r="J416" s="7" t="s">
        <v>22</v>
      </c>
      <c r="K416" s="16">
        <v>71.708218299999999</v>
      </c>
      <c r="L416" s="16">
        <v>58.625300000000003</v>
      </c>
      <c r="M416" s="16">
        <v>32.086788200000001</v>
      </c>
      <c r="N416" s="16">
        <v>64.143702899999994</v>
      </c>
      <c r="O416" s="16">
        <v>4141.6035199999997</v>
      </c>
      <c r="P416" s="16">
        <v>215</v>
      </c>
      <c r="Q416" s="16">
        <v>1.1179307700000001</v>
      </c>
      <c r="R416" s="16">
        <v>1.4793944400000001</v>
      </c>
      <c r="S416" s="16">
        <v>94.893833400000005</v>
      </c>
      <c r="T416" s="16">
        <v>0.7556678</v>
      </c>
    </row>
    <row r="417" spans="1:20" x14ac:dyDescent="0.2">
      <c r="A417">
        <v>462</v>
      </c>
      <c r="B417" s="8">
        <v>46200</v>
      </c>
      <c r="C417" s="9">
        <v>0.79137731481481477</v>
      </c>
      <c r="D417" s="7" t="s">
        <v>21</v>
      </c>
      <c r="E417" s="13" t="s">
        <v>33</v>
      </c>
      <c r="F417" s="16">
        <v>82.512435499999995</v>
      </c>
      <c r="G417" s="129">
        <v>2152.6848100000002</v>
      </c>
      <c r="H417" s="22">
        <v>1</v>
      </c>
      <c r="I417" s="19"/>
      <c r="J417" s="7" t="s">
        <v>22</v>
      </c>
      <c r="K417" s="16"/>
      <c r="L417" s="16"/>
      <c r="M417" s="16"/>
      <c r="N417" s="16"/>
      <c r="O417" s="16"/>
      <c r="P417" s="16"/>
      <c r="Q417" s="16"/>
      <c r="R417" s="16"/>
      <c r="S417" s="16"/>
      <c r="T417" s="16"/>
    </row>
    <row r="418" spans="1:20" x14ac:dyDescent="0.2">
      <c r="A418">
        <v>463</v>
      </c>
      <c r="B418" s="8">
        <v>46200</v>
      </c>
      <c r="C418" s="9">
        <v>0.79158564814814814</v>
      </c>
      <c r="D418" s="7" t="s">
        <v>21</v>
      </c>
      <c r="E418" s="13" t="s">
        <v>37</v>
      </c>
      <c r="F418" s="16">
        <v>75.064714600000002</v>
      </c>
      <c r="G418" s="129">
        <v>2212.6440400000001</v>
      </c>
      <c r="H418" s="22">
        <v>1</v>
      </c>
      <c r="I418" s="19" t="s">
        <v>39</v>
      </c>
      <c r="J418" s="7" t="s">
        <v>22</v>
      </c>
      <c r="K418" s="16"/>
      <c r="L418" s="16"/>
      <c r="M418" s="16"/>
      <c r="N418" s="16">
        <v>61.586945499999999</v>
      </c>
      <c r="O418" s="16"/>
      <c r="P418" s="16"/>
      <c r="Q418" s="16"/>
      <c r="R418" s="16"/>
      <c r="S418" s="16"/>
      <c r="T418" s="16"/>
    </row>
    <row r="419" spans="1:20" x14ac:dyDescent="0.2">
      <c r="A419">
        <v>464</v>
      </c>
      <c r="B419" s="8">
        <v>46200</v>
      </c>
      <c r="C419" s="9">
        <v>0.79199074074074072</v>
      </c>
      <c r="D419" s="7" t="s">
        <v>21</v>
      </c>
      <c r="E419" s="13" t="s">
        <v>46</v>
      </c>
      <c r="F419" s="16">
        <v>70.316601399999996</v>
      </c>
      <c r="G419" s="129">
        <v>156.30914300000001</v>
      </c>
      <c r="H419" s="22">
        <v>0</v>
      </c>
      <c r="I419" s="19" t="s">
        <v>41</v>
      </c>
      <c r="J419" s="7" t="s">
        <v>22</v>
      </c>
      <c r="K419" s="16"/>
      <c r="L419" s="16"/>
      <c r="M419" s="16"/>
      <c r="N419" s="16"/>
      <c r="O419" s="16"/>
      <c r="P419" s="16"/>
      <c r="Q419" s="16"/>
      <c r="R419" s="16"/>
      <c r="S419" s="16"/>
      <c r="T419" s="16"/>
    </row>
    <row r="420" spans="1:20" x14ac:dyDescent="0.2">
      <c r="A420">
        <v>465</v>
      </c>
      <c r="B420" s="8">
        <v>46200</v>
      </c>
      <c r="C420" s="9">
        <v>0.79229166666666662</v>
      </c>
      <c r="D420" s="7" t="s">
        <v>21</v>
      </c>
      <c r="E420" s="13" t="s">
        <v>33</v>
      </c>
      <c r="F420" s="16">
        <v>82.814153500000003</v>
      </c>
      <c r="G420" s="129">
        <v>2131.3645000000001</v>
      </c>
      <c r="H420" s="22">
        <v>0</v>
      </c>
      <c r="I420" s="19"/>
      <c r="J420" s="7" t="s">
        <v>22</v>
      </c>
      <c r="K420" s="16"/>
      <c r="L420" s="16"/>
      <c r="M420" s="16"/>
      <c r="N420" s="16"/>
      <c r="O420" s="16"/>
      <c r="P420" s="16"/>
      <c r="Q420" s="16"/>
      <c r="R420" s="16"/>
      <c r="S420" s="16"/>
      <c r="T420" s="16"/>
    </row>
    <row r="421" spans="1:20" x14ac:dyDescent="0.2">
      <c r="A421">
        <v>466</v>
      </c>
      <c r="B421" s="8">
        <v>46200</v>
      </c>
      <c r="C421" s="9">
        <v>0.79248842592592594</v>
      </c>
      <c r="D421" s="7" t="s">
        <v>21</v>
      </c>
      <c r="E421" s="13" t="s">
        <v>33</v>
      </c>
      <c r="F421" s="16">
        <v>82.2583585</v>
      </c>
      <c r="G421" s="129">
        <v>1106.7966300000001</v>
      </c>
      <c r="H421" s="22">
        <v>0</v>
      </c>
      <c r="I421" s="19"/>
      <c r="J421" s="7" t="s">
        <v>22</v>
      </c>
      <c r="K421" s="16"/>
      <c r="L421" s="16"/>
      <c r="M421" s="16"/>
      <c r="N421" s="16"/>
      <c r="O421" s="16"/>
      <c r="P421" s="16"/>
      <c r="Q421" s="16"/>
      <c r="R421" s="16"/>
      <c r="S421" s="16"/>
      <c r="T421" s="16"/>
    </row>
    <row r="422" spans="1:20" x14ac:dyDescent="0.2">
      <c r="A422">
        <v>467</v>
      </c>
      <c r="B422" s="8">
        <v>46200</v>
      </c>
      <c r="C422" s="9">
        <v>0.79278935185185184</v>
      </c>
      <c r="D422" s="7" t="s">
        <v>21</v>
      </c>
      <c r="E422" s="13" t="s">
        <v>33</v>
      </c>
      <c r="F422" s="16">
        <v>81.226152799999994</v>
      </c>
      <c r="G422" s="129">
        <v>2123.8562000000002</v>
      </c>
      <c r="H422" s="22">
        <v>0</v>
      </c>
      <c r="I422" s="19"/>
      <c r="J422" s="7" t="s">
        <v>22</v>
      </c>
      <c r="K422" s="16"/>
      <c r="L422" s="16"/>
      <c r="M422" s="16"/>
      <c r="N422" s="16"/>
      <c r="O422" s="16"/>
      <c r="P422" s="16"/>
      <c r="Q422" s="16"/>
      <c r="R422" s="16"/>
      <c r="S422" s="16"/>
      <c r="T422" s="16"/>
    </row>
    <row r="423" spans="1:20" x14ac:dyDescent="0.2">
      <c r="A423">
        <v>468</v>
      </c>
      <c r="B423" s="8">
        <v>46200</v>
      </c>
      <c r="C423" s="9">
        <v>0.79299768518518521</v>
      </c>
      <c r="D423" s="7" t="s">
        <v>21</v>
      </c>
      <c r="E423" s="13" t="s">
        <v>33</v>
      </c>
      <c r="F423" s="16">
        <v>81.623153000000002</v>
      </c>
      <c r="G423" s="129">
        <v>2242.74487</v>
      </c>
      <c r="H423" s="22">
        <v>1</v>
      </c>
      <c r="I423" s="19" t="s">
        <v>38</v>
      </c>
      <c r="J423" s="7" t="s">
        <v>22</v>
      </c>
      <c r="K423" s="16"/>
      <c r="L423" s="16"/>
      <c r="M423" s="16"/>
      <c r="N423" s="16">
        <v>67.234286600000004</v>
      </c>
      <c r="O423" s="16"/>
      <c r="P423" s="16"/>
      <c r="Q423" s="16"/>
      <c r="R423" s="16"/>
      <c r="S423" s="16"/>
      <c r="T423" s="16"/>
    </row>
    <row r="424" spans="1:20" x14ac:dyDescent="0.2">
      <c r="A424">
        <v>469</v>
      </c>
      <c r="B424" s="8">
        <v>46200</v>
      </c>
      <c r="C424" s="9">
        <v>0.79325231481481484</v>
      </c>
      <c r="D424" s="7" t="s">
        <v>21</v>
      </c>
      <c r="E424" s="13" t="s">
        <v>33</v>
      </c>
      <c r="F424" s="16">
        <v>83.512873900000002</v>
      </c>
      <c r="G424" s="129">
        <v>1078.7659900000001</v>
      </c>
      <c r="H424" s="22">
        <v>1</v>
      </c>
      <c r="I424" s="19" t="s">
        <v>40</v>
      </c>
      <c r="J424" s="7" t="s">
        <v>22</v>
      </c>
      <c r="K424" s="16">
        <v>48.9620435</v>
      </c>
      <c r="L424" s="16">
        <v>28.978210399999998</v>
      </c>
      <c r="M424" s="16">
        <v>-4.8873056999999998</v>
      </c>
      <c r="N424" s="16">
        <v>57.597279100000002</v>
      </c>
      <c r="O424" s="16"/>
      <c r="P424" s="16"/>
      <c r="Q424" s="16">
        <v>0.85007560000000004</v>
      </c>
      <c r="R424" s="16">
        <v>1.54339206</v>
      </c>
      <c r="S424" s="16">
        <v>88.895183200000005</v>
      </c>
      <c r="T424" s="16">
        <v>0.55078400000000005</v>
      </c>
    </row>
    <row r="425" spans="1:20" x14ac:dyDescent="0.2">
      <c r="A425">
        <v>470</v>
      </c>
      <c r="B425" s="8">
        <v>46203</v>
      </c>
      <c r="C425" s="9">
        <v>0.7756481481481482</v>
      </c>
      <c r="D425" s="7" t="s">
        <v>24</v>
      </c>
      <c r="E425" s="13" t="s">
        <v>49</v>
      </c>
      <c r="F425" s="16">
        <v>64.218684400000001</v>
      </c>
      <c r="G425" s="129">
        <v>2018.4032</v>
      </c>
      <c r="H425" s="22">
        <v>0</v>
      </c>
      <c r="I425" s="19"/>
      <c r="J425" s="7" t="s">
        <v>22</v>
      </c>
      <c r="K425" s="16"/>
      <c r="L425" s="16"/>
      <c r="M425" s="16"/>
      <c r="N425" s="16"/>
      <c r="O425" s="16"/>
      <c r="P425" s="16"/>
      <c r="Q425" s="16"/>
      <c r="R425" s="16"/>
      <c r="S425" s="16"/>
      <c r="T425" s="16"/>
    </row>
    <row r="426" spans="1:20" x14ac:dyDescent="0.2">
      <c r="A426">
        <v>471</v>
      </c>
      <c r="B426" s="8">
        <v>46203</v>
      </c>
      <c r="C426" s="9">
        <v>0.77605324074074078</v>
      </c>
      <c r="D426" s="7" t="s">
        <v>24</v>
      </c>
      <c r="E426" s="13" t="s">
        <v>33</v>
      </c>
      <c r="F426" s="16">
        <v>82.099555100000003</v>
      </c>
      <c r="G426" s="129">
        <v>2114.7385300000001</v>
      </c>
      <c r="H426" s="22">
        <v>1</v>
      </c>
      <c r="I426" s="19" t="s">
        <v>40</v>
      </c>
      <c r="J426" s="7" t="s">
        <v>22</v>
      </c>
      <c r="K426" s="16">
        <v>84.090691199999995</v>
      </c>
      <c r="L426" s="16">
        <v>25.603441199999999</v>
      </c>
      <c r="M426" s="16">
        <v>23.296526</v>
      </c>
      <c r="N426" s="16">
        <v>59.283054200000002</v>
      </c>
      <c r="O426" s="16">
        <v>3188.2426799999998</v>
      </c>
      <c r="P426" s="16">
        <v>269</v>
      </c>
      <c r="Q426" s="16">
        <v>1.41846085</v>
      </c>
      <c r="R426" s="16">
        <v>1.53511906</v>
      </c>
      <c r="S426" s="16">
        <v>91.006544399999996</v>
      </c>
      <c r="T426" s="16">
        <v>0.92400700000000002</v>
      </c>
    </row>
    <row r="427" spans="1:20" x14ac:dyDescent="0.2">
      <c r="A427">
        <v>501</v>
      </c>
      <c r="B427" s="8">
        <v>46203</v>
      </c>
      <c r="C427" s="9">
        <v>0.78785879629629629</v>
      </c>
      <c r="D427" s="7" t="s">
        <v>28</v>
      </c>
      <c r="E427" s="13" t="s">
        <v>33</v>
      </c>
      <c r="F427" s="16">
        <v>77.160877799999994</v>
      </c>
      <c r="G427" s="129">
        <v>2130.6335399999998</v>
      </c>
      <c r="H427" s="22">
        <v>0</v>
      </c>
      <c r="I427" s="19"/>
      <c r="J427" s="7" t="s">
        <v>22</v>
      </c>
      <c r="K427" s="16"/>
      <c r="L427" s="16"/>
      <c r="M427" s="16"/>
      <c r="N427" s="16"/>
      <c r="O427" s="16"/>
      <c r="P427" s="16"/>
      <c r="Q427" s="16"/>
      <c r="R427" s="16"/>
      <c r="S427" s="16"/>
      <c r="T427" s="16"/>
    </row>
    <row r="428" spans="1:20" x14ac:dyDescent="0.2">
      <c r="A428">
        <v>502</v>
      </c>
      <c r="B428" s="8">
        <v>46203</v>
      </c>
      <c r="C428" s="9">
        <v>0.78806712962962966</v>
      </c>
      <c r="D428" s="7" t="s">
        <v>28</v>
      </c>
      <c r="E428" s="13" t="s">
        <v>33</v>
      </c>
      <c r="F428" s="16">
        <v>74.7629965</v>
      </c>
      <c r="G428" s="129">
        <v>1984.85815</v>
      </c>
      <c r="H428" s="22">
        <v>1</v>
      </c>
      <c r="I428" s="19" t="s">
        <v>38</v>
      </c>
      <c r="J428" s="7" t="s">
        <v>22</v>
      </c>
      <c r="K428" s="16"/>
      <c r="L428" s="16"/>
      <c r="M428" s="16"/>
      <c r="N428" s="16">
        <v>59.957362400000001</v>
      </c>
      <c r="O428" s="16"/>
      <c r="P428" s="16"/>
      <c r="Q428" s="16"/>
      <c r="R428" s="16"/>
      <c r="S428" s="16"/>
      <c r="T428" s="16"/>
    </row>
    <row r="429" spans="1:20" x14ac:dyDescent="0.2">
      <c r="A429">
        <v>503</v>
      </c>
      <c r="B429" s="8">
        <v>46203</v>
      </c>
      <c r="C429" s="9">
        <v>0.78836805555555556</v>
      </c>
      <c r="D429" s="7" t="s">
        <v>28</v>
      </c>
      <c r="E429" s="13" t="s">
        <v>37</v>
      </c>
      <c r="F429" s="16">
        <v>72.031636300000002</v>
      </c>
      <c r="G429" s="129">
        <v>818.14837599999998</v>
      </c>
      <c r="H429" s="22">
        <v>0</v>
      </c>
      <c r="I429" s="19"/>
      <c r="J429" s="7" t="s">
        <v>22</v>
      </c>
      <c r="K429" s="16"/>
      <c r="L429" s="16"/>
      <c r="M429" s="16"/>
      <c r="N429" s="16"/>
      <c r="O429" s="16"/>
      <c r="P429" s="16"/>
      <c r="Q429" s="16"/>
      <c r="R429" s="16"/>
      <c r="S429" s="16"/>
      <c r="T429" s="16"/>
    </row>
    <row r="430" spans="1:20" x14ac:dyDescent="0.2">
      <c r="A430">
        <v>504</v>
      </c>
      <c r="B430" s="8">
        <v>46203</v>
      </c>
      <c r="C430" s="9">
        <v>0.78857638888888892</v>
      </c>
      <c r="D430" s="7" t="s">
        <v>28</v>
      </c>
      <c r="E430" s="13" t="s">
        <v>33</v>
      </c>
      <c r="F430" s="16">
        <v>76.859159599999998</v>
      </c>
      <c r="G430" s="129">
        <v>2103.67236</v>
      </c>
      <c r="H430" s="22">
        <v>1</v>
      </c>
      <c r="I430" s="19" t="s">
        <v>38</v>
      </c>
      <c r="J430" s="7" t="s">
        <v>22</v>
      </c>
      <c r="K430" s="16"/>
      <c r="L430" s="16"/>
      <c r="M430" s="16"/>
      <c r="N430" s="16"/>
      <c r="O430" s="16"/>
      <c r="P430" s="16"/>
      <c r="Q430" s="16"/>
      <c r="R430" s="16"/>
      <c r="S430" s="16"/>
      <c r="T430" s="16"/>
    </row>
    <row r="431" spans="1:20" x14ac:dyDescent="0.2">
      <c r="A431">
        <v>505</v>
      </c>
      <c r="B431" s="8">
        <v>46203</v>
      </c>
      <c r="C431" s="9">
        <v>0.78886574074074078</v>
      </c>
      <c r="D431" s="7" t="s">
        <v>28</v>
      </c>
      <c r="E431" s="13" t="s">
        <v>37</v>
      </c>
      <c r="F431" s="16">
        <v>72.920918799999995</v>
      </c>
      <c r="G431" s="129">
        <v>2397.38</v>
      </c>
      <c r="H431" s="22">
        <v>1</v>
      </c>
      <c r="I431" s="19" t="s">
        <v>38</v>
      </c>
      <c r="J431" s="7" t="s">
        <v>22</v>
      </c>
      <c r="K431" s="16"/>
      <c r="L431" s="16"/>
      <c r="M431" s="16"/>
      <c r="N431" s="16">
        <v>53.607612699999997</v>
      </c>
      <c r="O431" s="16"/>
      <c r="P431" s="16"/>
      <c r="Q431" s="16"/>
      <c r="R431" s="16"/>
      <c r="S431" s="16"/>
      <c r="T431" s="16"/>
    </row>
    <row r="432" spans="1:20" x14ac:dyDescent="0.2">
      <c r="A432">
        <v>506</v>
      </c>
      <c r="B432" s="8">
        <v>46203</v>
      </c>
      <c r="C432" s="9">
        <v>0.78923611111111114</v>
      </c>
      <c r="D432" s="7" t="s">
        <v>28</v>
      </c>
      <c r="E432" s="13" t="s">
        <v>33</v>
      </c>
      <c r="F432" s="16">
        <v>76.922680999999997</v>
      </c>
      <c r="G432" s="129">
        <v>2159.4123500000001</v>
      </c>
      <c r="H432" s="22">
        <v>0</v>
      </c>
      <c r="I432" s="19"/>
      <c r="J432" s="7" t="s">
        <v>22</v>
      </c>
      <c r="K432" s="16"/>
      <c r="L432" s="16"/>
      <c r="M432" s="16"/>
      <c r="N432" s="16"/>
      <c r="O432" s="16"/>
      <c r="P432" s="16"/>
      <c r="Q432" s="16"/>
      <c r="R432" s="16"/>
      <c r="S432" s="16"/>
      <c r="T432" s="16"/>
    </row>
    <row r="433" spans="1:20" x14ac:dyDescent="0.2">
      <c r="A433">
        <v>507</v>
      </c>
      <c r="B433" s="8">
        <v>46203</v>
      </c>
      <c r="C433" s="9">
        <v>0.78957175925925926</v>
      </c>
      <c r="D433" s="7" t="s">
        <v>28</v>
      </c>
      <c r="E433" s="13" t="s">
        <v>37</v>
      </c>
      <c r="F433" s="16">
        <v>73.174995800000005</v>
      </c>
      <c r="G433" s="129">
        <v>2383.6550299999999</v>
      </c>
      <c r="H433" s="22">
        <v>1</v>
      </c>
      <c r="I433" s="19" t="s">
        <v>45</v>
      </c>
      <c r="J433" s="7" t="s">
        <v>22</v>
      </c>
      <c r="K433" s="16"/>
      <c r="L433" s="16"/>
      <c r="M433" s="16"/>
      <c r="N433" s="16">
        <v>57.709661799999999</v>
      </c>
      <c r="O433" s="16"/>
      <c r="P433" s="16"/>
      <c r="Q433" s="16"/>
      <c r="R433" s="16"/>
      <c r="S433" s="16"/>
      <c r="T433" s="16"/>
    </row>
    <row r="434" spans="1:20" x14ac:dyDescent="0.2">
      <c r="A434">
        <v>549</v>
      </c>
      <c r="B434" s="8">
        <v>46203</v>
      </c>
      <c r="C434" s="9">
        <v>0.80523148148148149</v>
      </c>
      <c r="D434" s="7" t="s">
        <v>28</v>
      </c>
      <c r="E434" s="13" t="s">
        <v>33</v>
      </c>
      <c r="F434" s="16">
        <v>75.652280700000006</v>
      </c>
      <c r="G434" s="129">
        <v>2074.1633299999999</v>
      </c>
      <c r="H434" s="22">
        <v>0</v>
      </c>
      <c r="I434" s="19"/>
      <c r="J434" s="7" t="s">
        <v>22</v>
      </c>
      <c r="K434" s="16"/>
      <c r="L434" s="16"/>
      <c r="M434" s="16"/>
      <c r="N434" s="16"/>
      <c r="O434" s="16"/>
      <c r="P434" s="16"/>
      <c r="Q434" s="16"/>
      <c r="R434" s="16"/>
      <c r="S434" s="16"/>
      <c r="T434" s="16"/>
    </row>
    <row r="435" spans="1:20" x14ac:dyDescent="0.2">
      <c r="A435">
        <v>550</v>
      </c>
      <c r="B435" s="8">
        <v>46203</v>
      </c>
      <c r="C435" s="9">
        <v>0.80542824074074071</v>
      </c>
      <c r="D435" s="7" t="s">
        <v>28</v>
      </c>
      <c r="E435" s="13" t="s">
        <v>37</v>
      </c>
      <c r="F435" s="16">
        <v>69.983122600000002</v>
      </c>
      <c r="G435" s="129">
        <v>793.654358</v>
      </c>
      <c r="H435" s="22">
        <v>0</v>
      </c>
      <c r="I435" s="19"/>
      <c r="J435" s="7" t="s">
        <v>22</v>
      </c>
      <c r="K435" s="16"/>
      <c r="L435" s="16"/>
      <c r="M435" s="16"/>
      <c r="N435" s="16"/>
      <c r="O435" s="16"/>
      <c r="P435" s="16"/>
      <c r="Q435" s="16"/>
      <c r="R435" s="16"/>
      <c r="S435" s="16"/>
      <c r="T435" s="16"/>
    </row>
    <row r="436" spans="1:20" x14ac:dyDescent="0.2">
      <c r="A436">
        <v>551</v>
      </c>
      <c r="B436" s="8">
        <v>46203</v>
      </c>
      <c r="C436" s="9">
        <v>0.80570601851851853</v>
      </c>
      <c r="D436" s="7" t="s">
        <v>28</v>
      </c>
      <c r="E436" s="13" t="s">
        <v>33</v>
      </c>
      <c r="F436" s="16">
        <v>76.732116899999994</v>
      </c>
      <c r="G436" s="129">
        <v>2134.6752900000001</v>
      </c>
      <c r="H436" s="22">
        <v>0</v>
      </c>
      <c r="I436" s="19"/>
      <c r="J436" s="7" t="s">
        <v>22</v>
      </c>
      <c r="K436" s="16"/>
      <c r="L436" s="16"/>
      <c r="M436" s="16"/>
      <c r="N436" s="16"/>
      <c r="O436" s="16"/>
      <c r="P436" s="16"/>
      <c r="Q436" s="16"/>
      <c r="R436" s="16"/>
      <c r="S436" s="16"/>
      <c r="T436" s="16"/>
    </row>
    <row r="437" spans="1:20" x14ac:dyDescent="0.2">
      <c r="A437">
        <v>552</v>
      </c>
      <c r="B437" s="8">
        <v>46203</v>
      </c>
      <c r="C437" s="9">
        <v>0.80594907407407412</v>
      </c>
      <c r="D437" s="7" t="s">
        <v>28</v>
      </c>
      <c r="E437" s="13" t="s">
        <v>33</v>
      </c>
      <c r="F437" s="16">
        <v>76.795638199999999</v>
      </c>
      <c r="G437" s="129">
        <v>1053.90588</v>
      </c>
      <c r="H437" s="22">
        <v>1</v>
      </c>
      <c r="I437" s="19" t="s">
        <v>38</v>
      </c>
      <c r="J437" s="7" t="s">
        <v>22</v>
      </c>
      <c r="K437" s="16"/>
      <c r="L437" s="16"/>
      <c r="M437" s="16"/>
      <c r="N437" s="16">
        <v>64.003220200000001</v>
      </c>
      <c r="O437" s="16"/>
      <c r="P437" s="16"/>
      <c r="Q437" s="16"/>
      <c r="R437" s="16"/>
      <c r="S437" s="16"/>
      <c r="T437" s="16"/>
    </row>
    <row r="438" spans="1:20" x14ac:dyDescent="0.2">
      <c r="A438">
        <v>553</v>
      </c>
      <c r="B438" s="8">
        <v>46203</v>
      </c>
      <c r="C438" s="9">
        <v>0.80622685185185183</v>
      </c>
      <c r="D438" s="7" t="s">
        <v>28</v>
      </c>
      <c r="E438" s="13" t="s">
        <v>33</v>
      </c>
      <c r="F438" s="16">
        <v>75.652280700000006</v>
      </c>
      <c r="G438" s="129">
        <v>2055.5964399999998</v>
      </c>
      <c r="H438" s="22">
        <v>1</v>
      </c>
      <c r="I438" s="19" t="s">
        <v>38</v>
      </c>
      <c r="J438" s="7" t="s">
        <v>22</v>
      </c>
      <c r="K438" s="16"/>
      <c r="L438" s="16"/>
      <c r="M438" s="16"/>
      <c r="N438" s="16">
        <v>62.542215599999999</v>
      </c>
      <c r="O438" s="16"/>
      <c r="P438" s="16"/>
      <c r="Q438" s="16"/>
      <c r="R438" s="16"/>
      <c r="S438" s="16"/>
      <c r="T438" s="16"/>
    </row>
    <row r="439" spans="1:20" x14ac:dyDescent="0.2">
      <c r="A439">
        <v>554</v>
      </c>
      <c r="B439" s="8">
        <v>46203</v>
      </c>
      <c r="C439" s="9">
        <v>0.80655092592592592</v>
      </c>
      <c r="D439" s="7" t="s">
        <v>28</v>
      </c>
      <c r="E439" s="13" t="s">
        <v>37</v>
      </c>
      <c r="F439" s="16">
        <v>72.857397399999996</v>
      </c>
      <c r="G439" s="129">
        <v>2452.5009799999998</v>
      </c>
      <c r="H439" s="22">
        <v>1</v>
      </c>
      <c r="I439" s="19" t="s">
        <v>38</v>
      </c>
      <c r="J439" s="7" t="s">
        <v>22</v>
      </c>
      <c r="K439" s="16">
        <v>78.060886400000001</v>
      </c>
      <c r="L439" s="16">
        <v>50.898849499999997</v>
      </c>
      <c r="M439" s="16">
        <v>33.5339508</v>
      </c>
      <c r="N439" s="16">
        <v>61.0812107</v>
      </c>
      <c r="O439" s="16">
        <v>4420.8442400000004</v>
      </c>
      <c r="P439" s="16">
        <v>269</v>
      </c>
      <c r="Q439" s="16">
        <v>1.2779852199999999</v>
      </c>
      <c r="R439" s="16">
        <v>1.48853791</v>
      </c>
      <c r="S439" s="16">
        <v>90.921698300000003</v>
      </c>
      <c r="T439" s="16">
        <v>0.85855064000000003</v>
      </c>
    </row>
    <row r="440" spans="1:20" x14ac:dyDescent="0.2">
      <c r="A440">
        <v>555</v>
      </c>
      <c r="B440" s="8">
        <v>46203</v>
      </c>
      <c r="C440" s="9">
        <v>0.80688657407407405</v>
      </c>
      <c r="D440" s="7" t="s">
        <v>28</v>
      </c>
      <c r="E440" s="13" t="s">
        <v>37</v>
      </c>
      <c r="F440" s="16">
        <v>72.920918799999995</v>
      </c>
      <c r="G440" s="129">
        <v>834.89569100000006</v>
      </c>
      <c r="H440" s="22">
        <v>0</v>
      </c>
      <c r="I440" s="19" t="s">
        <v>48</v>
      </c>
      <c r="J440" s="7" t="s">
        <v>22</v>
      </c>
      <c r="K440" s="16"/>
      <c r="L440" s="16"/>
      <c r="M440" s="16"/>
      <c r="N440" s="16"/>
      <c r="O440" s="16"/>
      <c r="P440" s="16"/>
      <c r="Q440" s="16"/>
      <c r="R440" s="16"/>
      <c r="S440" s="16"/>
      <c r="T440" s="16"/>
    </row>
    <row r="441" spans="1:20" x14ac:dyDescent="0.2">
      <c r="A441">
        <v>556</v>
      </c>
      <c r="B441" s="8">
        <v>46203</v>
      </c>
      <c r="C441" s="9">
        <v>0.80722222222222217</v>
      </c>
      <c r="D441" s="7" t="s">
        <v>28</v>
      </c>
      <c r="E441" s="13" t="s">
        <v>33</v>
      </c>
      <c r="F441" s="16">
        <v>75.1917574</v>
      </c>
      <c r="G441" s="129">
        <v>1022.8707900000001</v>
      </c>
      <c r="H441" s="22">
        <v>0</v>
      </c>
      <c r="I441" s="19"/>
      <c r="J441" s="7" t="s">
        <v>22</v>
      </c>
      <c r="K441" s="16"/>
      <c r="L441" s="16"/>
      <c r="M441" s="16"/>
      <c r="N441" s="16"/>
      <c r="O441" s="16"/>
      <c r="P441" s="16"/>
      <c r="Q441" s="16"/>
      <c r="R441" s="16"/>
      <c r="S441" s="16"/>
      <c r="T441" s="16"/>
    </row>
    <row r="442" spans="1:20" x14ac:dyDescent="0.2">
      <c r="A442">
        <v>618</v>
      </c>
      <c r="B442" s="8">
        <v>46214</v>
      </c>
      <c r="C442" s="9">
        <v>0.4682175925925926</v>
      </c>
      <c r="D442" s="7" t="s">
        <v>18</v>
      </c>
      <c r="E442" s="13" t="s">
        <v>36</v>
      </c>
      <c r="F442" s="16">
        <v>79.272912899999994</v>
      </c>
      <c r="G442" s="129">
        <v>2201.8808600000002</v>
      </c>
      <c r="H442" s="22">
        <v>1</v>
      </c>
      <c r="I442" s="19" t="s">
        <v>38</v>
      </c>
      <c r="J442" s="7" t="s">
        <v>22</v>
      </c>
      <c r="K442" s="16">
        <v>67.0817421</v>
      </c>
      <c r="L442" s="16">
        <v>52.7724075</v>
      </c>
      <c r="M442" s="16">
        <v>39.477577199999999</v>
      </c>
      <c r="N442" s="16">
        <v>58.961819900000002</v>
      </c>
      <c r="O442" s="16">
        <v>4732.5024400000002</v>
      </c>
      <c r="P442" s="16">
        <v>210</v>
      </c>
      <c r="Q442" s="16">
        <v>1.13771486</v>
      </c>
      <c r="R442" s="16">
        <v>1.6547893300000001</v>
      </c>
      <c r="S442" s="16">
        <v>97.569394500000001</v>
      </c>
      <c r="T442" s="16">
        <v>0.68752853000000003</v>
      </c>
    </row>
    <row r="443" spans="1:20" x14ac:dyDescent="0.2">
      <c r="A443">
        <v>619</v>
      </c>
      <c r="B443" s="8">
        <v>46214</v>
      </c>
      <c r="C443" s="9">
        <v>0.46856481481481482</v>
      </c>
      <c r="D443" s="7" t="s">
        <v>18</v>
      </c>
      <c r="E443" s="13" t="s">
        <v>37</v>
      </c>
      <c r="F443" s="16">
        <v>74.810637400000005</v>
      </c>
      <c r="G443" s="129">
        <v>2345.55737</v>
      </c>
      <c r="H443" s="22">
        <v>1</v>
      </c>
      <c r="I443" s="19" t="s">
        <v>40</v>
      </c>
      <c r="J443" s="7" t="s">
        <v>22</v>
      </c>
      <c r="K443" s="16"/>
      <c r="L443" s="16"/>
      <c r="M443" s="16"/>
      <c r="N443" s="16">
        <v>61.884618799999998</v>
      </c>
      <c r="O443" s="16"/>
      <c r="P443" s="16"/>
      <c r="Q443" s="16"/>
      <c r="R443" s="16"/>
      <c r="S443" s="16"/>
      <c r="T443" s="16"/>
    </row>
    <row r="444" spans="1:20" x14ac:dyDescent="0.2">
      <c r="A444">
        <v>643</v>
      </c>
      <c r="B444" s="8">
        <v>46214</v>
      </c>
      <c r="C444" s="9">
        <v>0.47758101851851853</v>
      </c>
      <c r="D444" s="7" t="s">
        <v>18</v>
      </c>
      <c r="E444" s="13" t="s">
        <v>36</v>
      </c>
      <c r="F444" s="16">
        <v>78.9553145</v>
      </c>
      <c r="G444" s="129">
        <v>2152.7077599999998</v>
      </c>
      <c r="H444" s="22">
        <v>0</v>
      </c>
      <c r="I444" s="19"/>
      <c r="J444" s="7" t="s">
        <v>22</v>
      </c>
      <c r="K444" s="16"/>
      <c r="L444" s="16"/>
      <c r="M444" s="16"/>
      <c r="N444" s="16"/>
      <c r="O444" s="16"/>
      <c r="P444" s="16"/>
      <c r="Q444" s="16"/>
      <c r="R444" s="16"/>
      <c r="S444" s="16"/>
      <c r="T444" s="16"/>
    </row>
    <row r="445" spans="1:20" x14ac:dyDescent="0.2">
      <c r="A445">
        <v>644</v>
      </c>
      <c r="B445" s="8">
        <v>46214</v>
      </c>
      <c r="C445" s="9">
        <v>0.47778935185185184</v>
      </c>
      <c r="D445" s="7" t="s">
        <v>18</v>
      </c>
      <c r="E445" s="13" t="s">
        <v>35</v>
      </c>
      <c r="F445" s="16">
        <v>80.019272200000003</v>
      </c>
      <c r="G445" s="129">
        <v>1640.3298299999999</v>
      </c>
      <c r="H445" s="22">
        <v>1</v>
      </c>
      <c r="I445" s="19" t="s">
        <v>38</v>
      </c>
      <c r="J445" s="7" t="s">
        <v>22</v>
      </c>
      <c r="K445" s="16"/>
      <c r="L445" s="16"/>
      <c r="M445" s="16"/>
      <c r="N445" s="16">
        <v>63.458432999999999</v>
      </c>
      <c r="O445" s="16"/>
      <c r="P445" s="16"/>
      <c r="Q445" s="16"/>
      <c r="R445" s="16"/>
      <c r="S445" s="16"/>
      <c r="T445" s="16"/>
    </row>
    <row r="446" spans="1:20" x14ac:dyDescent="0.2">
      <c r="A446">
        <v>645</v>
      </c>
      <c r="B446" s="8">
        <v>46214</v>
      </c>
      <c r="C446" s="9">
        <v>0.47813657407407406</v>
      </c>
      <c r="D446" s="7" t="s">
        <v>18</v>
      </c>
      <c r="E446" s="13" t="s">
        <v>37</v>
      </c>
      <c r="F446" s="16">
        <v>73.238517200000004</v>
      </c>
      <c r="G446" s="129">
        <v>2189.0258800000001</v>
      </c>
      <c r="H446" s="22">
        <v>0</v>
      </c>
      <c r="I446" s="19"/>
      <c r="J446" s="7" t="s">
        <v>22</v>
      </c>
      <c r="K446" s="16"/>
      <c r="L446" s="16"/>
      <c r="M446" s="16"/>
      <c r="N446" s="16"/>
      <c r="O446" s="16"/>
      <c r="P446" s="16"/>
      <c r="Q446" s="16"/>
      <c r="R446" s="16"/>
      <c r="S446" s="16"/>
      <c r="T446" s="16"/>
    </row>
    <row r="447" spans="1:20" x14ac:dyDescent="0.2">
      <c r="A447">
        <v>646</v>
      </c>
      <c r="B447" s="8">
        <v>46214</v>
      </c>
      <c r="C447" s="9">
        <v>0.47839120370370369</v>
      </c>
      <c r="D447" s="7" t="s">
        <v>18</v>
      </c>
      <c r="E447" s="13" t="s">
        <v>36</v>
      </c>
      <c r="F447" s="16">
        <v>78.812400199999999</v>
      </c>
      <c r="G447" s="129">
        <v>1362.19092</v>
      </c>
      <c r="H447" s="22">
        <v>1</v>
      </c>
      <c r="I447" s="19" t="s">
        <v>39</v>
      </c>
      <c r="J447" s="7" t="s">
        <v>22</v>
      </c>
      <c r="K447" s="16"/>
      <c r="L447" s="16"/>
      <c r="M447" s="16"/>
      <c r="N447" s="16">
        <v>58.0624982</v>
      </c>
      <c r="O447" s="16"/>
      <c r="P447" s="16"/>
      <c r="Q447" s="16"/>
      <c r="R447" s="16"/>
      <c r="S447" s="16"/>
      <c r="T447" s="16"/>
    </row>
    <row r="448" spans="1:20" x14ac:dyDescent="0.2">
      <c r="A448">
        <v>647</v>
      </c>
      <c r="B448" s="8">
        <v>46214</v>
      </c>
      <c r="C448" s="9">
        <v>0.4788425925925926</v>
      </c>
      <c r="D448" s="7" t="s">
        <v>18</v>
      </c>
      <c r="E448" s="13" t="s">
        <v>33</v>
      </c>
      <c r="F448" s="16">
        <v>81.7501958</v>
      </c>
      <c r="G448" s="129">
        <v>2203.97388</v>
      </c>
      <c r="H448" s="22">
        <v>1</v>
      </c>
      <c r="I448" s="19" t="s">
        <v>38</v>
      </c>
      <c r="J448" s="7" t="s">
        <v>22</v>
      </c>
      <c r="K448" s="16"/>
      <c r="L448" s="16"/>
      <c r="M448" s="16"/>
      <c r="N448" s="16">
        <v>57.106968000000002</v>
      </c>
      <c r="O448" s="16"/>
      <c r="P448" s="16"/>
      <c r="Q448" s="16"/>
      <c r="R448" s="16"/>
      <c r="S448" s="16"/>
      <c r="T448" s="16"/>
    </row>
    <row r="449" spans="1:20" x14ac:dyDescent="0.2">
      <c r="A449">
        <v>648</v>
      </c>
      <c r="B449" s="8">
        <v>46214</v>
      </c>
      <c r="C449" s="9">
        <v>0.47913194444444446</v>
      </c>
      <c r="D449" s="7" t="s">
        <v>18</v>
      </c>
      <c r="E449" s="13" t="s">
        <v>33</v>
      </c>
      <c r="F449" s="16">
        <v>84.481555900000004</v>
      </c>
      <c r="G449" s="129">
        <v>2287.2280300000002</v>
      </c>
      <c r="H449" s="22">
        <v>0</v>
      </c>
      <c r="I449" s="19"/>
      <c r="J449" s="7" t="s">
        <v>22</v>
      </c>
      <c r="K449" s="16"/>
      <c r="L449" s="16"/>
      <c r="M449" s="16"/>
      <c r="N449" s="16"/>
      <c r="O449" s="16"/>
      <c r="P449" s="16"/>
      <c r="Q449" s="16"/>
      <c r="R449" s="16"/>
      <c r="S449" s="16"/>
      <c r="T449" s="16"/>
    </row>
    <row r="450" spans="1:20" x14ac:dyDescent="0.2">
      <c r="A450">
        <v>649</v>
      </c>
      <c r="B450" s="8">
        <v>46214</v>
      </c>
      <c r="C450" s="9">
        <v>0.47934027777777777</v>
      </c>
      <c r="D450" s="7" t="s">
        <v>18</v>
      </c>
      <c r="E450" s="13" t="s">
        <v>37</v>
      </c>
      <c r="F450" s="16">
        <v>73.413201099999995</v>
      </c>
      <c r="G450" s="129">
        <v>2191.8525399999999</v>
      </c>
      <c r="H450" s="22">
        <v>0</v>
      </c>
      <c r="I450" s="19"/>
      <c r="J450" s="7" t="s">
        <v>22</v>
      </c>
      <c r="K450" s="16"/>
      <c r="L450" s="16"/>
      <c r="M450" s="16"/>
      <c r="N450" s="16"/>
      <c r="O450" s="16"/>
      <c r="P450" s="16"/>
      <c r="Q450" s="16"/>
      <c r="R450" s="16"/>
      <c r="S450" s="16"/>
      <c r="T450" s="16"/>
    </row>
    <row r="451" spans="1:20" x14ac:dyDescent="0.2">
      <c r="A451">
        <v>650</v>
      </c>
      <c r="B451" s="8">
        <v>46214</v>
      </c>
      <c r="C451" s="9">
        <v>0.47962962962962963</v>
      </c>
      <c r="D451" s="7" t="s">
        <v>18</v>
      </c>
      <c r="E451" s="13" t="s">
        <v>33</v>
      </c>
      <c r="F451" s="16">
        <v>82.957076700000002</v>
      </c>
      <c r="G451" s="129">
        <v>2167.3195799999999</v>
      </c>
      <c r="H451" s="22">
        <v>1</v>
      </c>
      <c r="I451" s="19" t="s">
        <v>42</v>
      </c>
      <c r="J451" s="7" t="s">
        <v>22</v>
      </c>
      <c r="K451" s="16"/>
      <c r="L451" s="16"/>
      <c r="M451" s="16"/>
      <c r="N451" s="16"/>
      <c r="O451" s="16"/>
      <c r="P451" s="16"/>
      <c r="Q451" s="16"/>
      <c r="R451" s="16"/>
      <c r="S451" s="16"/>
      <c r="T451" s="16"/>
    </row>
    <row r="452" spans="1:20" x14ac:dyDescent="0.2">
      <c r="A452">
        <v>683</v>
      </c>
      <c r="B452" s="8">
        <v>46214</v>
      </c>
      <c r="C452" s="9">
        <v>0.49328703703703702</v>
      </c>
      <c r="D452" s="7" t="s">
        <v>18</v>
      </c>
      <c r="E452" s="13" t="s">
        <v>37</v>
      </c>
      <c r="F452" s="16">
        <v>73.937235299999998</v>
      </c>
      <c r="G452" s="129">
        <v>718.55877699999996</v>
      </c>
      <c r="H452" s="22">
        <v>1</v>
      </c>
      <c r="I452" s="19" t="s">
        <v>38</v>
      </c>
      <c r="J452" s="7" t="s">
        <v>22</v>
      </c>
      <c r="K452" s="16"/>
      <c r="L452" s="16"/>
      <c r="M452" s="16"/>
      <c r="N452" s="16">
        <v>60.423220499999999</v>
      </c>
      <c r="O452" s="16"/>
      <c r="P452" s="16"/>
      <c r="Q452" s="16"/>
      <c r="R452" s="16"/>
      <c r="S452" s="16"/>
      <c r="T452" s="16"/>
    </row>
    <row r="453" spans="1:20" x14ac:dyDescent="0.2">
      <c r="A453">
        <v>684</v>
      </c>
      <c r="B453" s="8">
        <v>46214</v>
      </c>
      <c r="C453" s="9">
        <v>0.49359953703703702</v>
      </c>
      <c r="D453" s="7" t="s">
        <v>18</v>
      </c>
      <c r="E453" s="13" t="s">
        <v>37</v>
      </c>
      <c r="F453" s="16">
        <v>74.048397600000001</v>
      </c>
      <c r="G453" s="129">
        <v>1124.4428700000001</v>
      </c>
      <c r="H453" s="22">
        <v>0</v>
      </c>
      <c r="I453" s="19"/>
      <c r="J453" s="7" t="s">
        <v>22</v>
      </c>
      <c r="K453" s="16"/>
      <c r="L453" s="16"/>
      <c r="M453" s="16"/>
      <c r="N453" s="16"/>
      <c r="O453" s="16"/>
      <c r="P453" s="16"/>
      <c r="Q453" s="16"/>
      <c r="R453" s="16"/>
      <c r="S453" s="16"/>
      <c r="T453" s="16"/>
    </row>
    <row r="454" spans="1:20" x14ac:dyDescent="0.2">
      <c r="A454">
        <v>685</v>
      </c>
      <c r="B454" s="8">
        <v>46214</v>
      </c>
      <c r="C454" s="9">
        <v>0.49406250000000002</v>
      </c>
      <c r="D454" s="7" t="s">
        <v>18</v>
      </c>
      <c r="E454" s="13" t="s">
        <v>33</v>
      </c>
      <c r="F454" s="16">
        <v>83.4017178</v>
      </c>
      <c r="G454" s="129">
        <v>2321.43237</v>
      </c>
      <c r="H454" s="22">
        <v>1</v>
      </c>
      <c r="I454" s="19" t="s">
        <v>38</v>
      </c>
      <c r="J454" s="7" t="s">
        <v>22</v>
      </c>
      <c r="K454" s="16"/>
      <c r="L454" s="16"/>
      <c r="M454" s="16"/>
      <c r="N454" s="16">
        <v>63.851887699999999</v>
      </c>
      <c r="O454" s="16"/>
      <c r="P454" s="16"/>
      <c r="Q454" s="16"/>
      <c r="R454" s="16"/>
      <c r="S454" s="16"/>
      <c r="T454" s="16"/>
    </row>
    <row r="455" spans="1:20" x14ac:dyDescent="0.2">
      <c r="A455">
        <v>686</v>
      </c>
      <c r="B455" s="8">
        <v>46214</v>
      </c>
      <c r="C455" s="9">
        <v>0.49442129629629628</v>
      </c>
      <c r="D455" s="7" t="s">
        <v>18</v>
      </c>
      <c r="E455" s="13" t="s">
        <v>33</v>
      </c>
      <c r="F455" s="16">
        <v>85.100874700000006</v>
      </c>
      <c r="G455" s="129">
        <v>1175.8367900000001</v>
      </c>
      <c r="H455" s="22">
        <v>1</v>
      </c>
      <c r="I455" s="19" t="s">
        <v>45</v>
      </c>
      <c r="J455" s="7" t="s">
        <v>22</v>
      </c>
      <c r="K455" s="16"/>
      <c r="L455" s="16"/>
      <c r="M455" s="16"/>
      <c r="N455" s="16">
        <v>62.615319800000002</v>
      </c>
      <c r="O455" s="16"/>
      <c r="P455" s="16"/>
      <c r="Q455" s="16"/>
      <c r="R455" s="16"/>
      <c r="S455" s="16"/>
      <c r="T455" s="16"/>
    </row>
    <row r="456" spans="1:20" x14ac:dyDescent="0.2">
      <c r="A456">
        <v>723</v>
      </c>
      <c r="B456" s="8">
        <v>46214</v>
      </c>
      <c r="C456" s="9">
        <v>0.50738425925925923</v>
      </c>
      <c r="D456" s="7" t="s">
        <v>21</v>
      </c>
      <c r="E456" s="13" t="s">
        <v>37</v>
      </c>
      <c r="F456" s="16">
        <v>73.984876499999999</v>
      </c>
      <c r="G456" s="129">
        <v>2247.2038600000001</v>
      </c>
      <c r="H456" s="22">
        <v>1</v>
      </c>
      <c r="I456" s="19" t="s">
        <v>38</v>
      </c>
      <c r="J456" s="7" t="s">
        <v>22</v>
      </c>
      <c r="K456" s="16"/>
      <c r="L456" s="16"/>
      <c r="M456" s="16"/>
      <c r="N456" s="16">
        <v>61.828410400000003</v>
      </c>
      <c r="O456" s="16"/>
      <c r="P456" s="16"/>
      <c r="Q456" s="16"/>
      <c r="R456" s="16"/>
      <c r="S456" s="16"/>
      <c r="T456" s="16"/>
    </row>
    <row r="457" spans="1:20" x14ac:dyDescent="0.2">
      <c r="A457">
        <v>724</v>
      </c>
      <c r="B457" s="8">
        <v>46214</v>
      </c>
      <c r="C457" s="9">
        <v>0.50766203703703705</v>
      </c>
      <c r="D457" s="7" t="s">
        <v>21</v>
      </c>
      <c r="E457" s="13" t="s">
        <v>46</v>
      </c>
      <c r="F457" s="16">
        <v>69.300280400000005</v>
      </c>
      <c r="G457" s="129">
        <v>349.76644900000002</v>
      </c>
      <c r="H457" s="22">
        <v>0</v>
      </c>
      <c r="I457" s="19"/>
      <c r="J457" s="7" t="s">
        <v>22</v>
      </c>
      <c r="K457" s="16"/>
      <c r="L457" s="16"/>
      <c r="M457" s="16"/>
      <c r="N457" s="16"/>
      <c r="O457" s="16"/>
      <c r="P457" s="16"/>
      <c r="Q457" s="16"/>
      <c r="R457" s="16"/>
      <c r="S457" s="16"/>
      <c r="T457" s="16"/>
    </row>
    <row r="458" spans="1:20" x14ac:dyDescent="0.2">
      <c r="A458">
        <v>725</v>
      </c>
      <c r="B458" s="8">
        <v>46214</v>
      </c>
      <c r="C458" s="9">
        <v>0.50782407407407404</v>
      </c>
      <c r="D458" s="7" t="s">
        <v>21</v>
      </c>
      <c r="E458" s="13" t="s">
        <v>33</v>
      </c>
      <c r="F458" s="16">
        <v>83.719316399999997</v>
      </c>
      <c r="G458" s="129">
        <v>2127.5104999999999</v>
      </c>
      <c r="H458" s="22">
        <v>1</v>
      </c>
      <c r="I458" s="19" t="s">
        <v>38</v>
      </c>
      <c r="J458" s="7" t="s">
        <v>22</v>
      </c>
      <c r="K458" s="16"/>
      <c r="L458" s="16"/>
      <c r="M458" s="16"/>
      <c r="N458" s="16">
        <v>65.706739600000006</v>
      </c>
      <c r="O458" s="16"/>
      <c r="P458" s="16"/>
      <c r="Q458" s="16"/>
      <c r="R458" s="16"/>
      <c r="S458" s="16"/>
      <c r="T458" s="16"/>
    </row>
    <row r="459" spans="1:20" x14ac:dyDescent="0.2">
      <c r="A459">
        <v>726</v>
      </c>
      <c r="B459" s="8">
        <v>46214</v>
      </c>
      <c r="C459" s="9">
        <v>0.508275462962963</v>
      </c>
      <c r="D459" s="7" t="s">
        <v>21</v>
      </c>
      <c r="E459" s="13" t="s">
        <v>37</v>
      </c>
      <c r="F459" s="16">
        <v>72.603320400000001</v>
      </c>
      <c r="G459" s="129">
        <v>2183.9228499999999</v>
      </c>
      <c r="H459" s="22">
        <v>1</v>
      </c>
      <c r="I459" s="19" t="s">
        <v>38</v>
      </c>
      <c r="J459" s="7" t="s">
        <v>22</v>
      </c>
      <c r="K459" s="16"/>
      <c r="L459" s="16"/>
      <c r="M459" s="16"/>
      <c r="N459" s="16">
        <v>62.671528100000003</v>
      </c>
      <c r="O459" s="16"/>
      <c r="P459" s="16"/>
      <c r="Q459" s="16"/>
      <c r="R459" s="16"/>
      <c r="S459" s="16"/>
      <c r="T459" s="16"/>
    </row>
    <row r="460" spans="1:20" x14ac:dyDescent="0.2">
      <c r="A460">
        <v>727</v>
      </c>
      <c r="B460" s="8">
        <v>46214</v>
      </c>
      <c r="C460" s="9">
        <v>0.50858796296296294</v>
      </c>
      <c r="D460" s="7" t="s">
        <v>21</v>
      </c>
      <c r="E460" s="13" t="s">
        <v>37</v>
      </c>
      <c r="F460" s="16">
        <v>75.779321699999997</v>
      </c>
      <c r="G460" s="129">
        <v>1714.9540999999999</v>
      </c>
      <c r="H460" s="22">
        <v>0</v>
      </c>
      <c r="I460" s="19"/>
      <c r="J460" s="7" t="s">
        <v>22</v>
      </c>
      <c r="K460" s="16"/>
      <c r="L460" s="16"/>
      <c r="M460" s="16"/>
      <c r="N460" s="16"/>
      <c r="O460" s="16"/>
      <c r="P460" s="16"/>
      <c r="Q460" s="16"/>
      <c r="R460" s="16"/>
      <c r="S460" s="16"/>
      <c r="T460" s="16"/>
    </row>
    <row r="461" spans="1:20" x14ac:dyDescent="0.2">
      <c r="A461">
        <v>728</v>
      </c>
      <c r="B461" s="8">
        <v>46214</v>
      </c>
      <c r="C461" s="9">
        <v>0.50880787037037034</v>
      </c>
      <c r="D461" s="7" t="s">
        <v>21</v>
      </c>
      <c r="E461" s="13" t="s">
        <v>33</v>
      </c>
      <c r="F461" s="16">
        <v>83.211153699999997</v>
      </c>
      <c r="G461" s="129">
        <v>1053.72156</v>
      </c>
      <c r="H461" s="22">
        <v>1</v>
      </c>
      <c r="I461" s="19" t="s">
        <v>40</v>
      </c>
      <c r="J461" s="7" t="s">
        <v>22</v>
      </c>
      <c r="K461" s="16">
        <v>96.627445100000003</v>
      </c>
      <c r="L461" s="16">
        <v>4.3925805100000002</v>
      </c>
      <c r="M461" s="16">
        <v>-40.855473000000003</v>
      </c>
      <c r="N461" s="16">
        <v>66.1563984</v>
      </c>
      <c r="O461" s="16">
        <v>1192.6286600000001</v>
      </c>
      <c r="P461" s="16">
        <v>120</v>
      </c>
      <c r="Q461" s="16">
        <v>1.4605910799999999</v>
      </c>
      <c r="R461" s="16">
        <v>1.60645485</v>
      </c>
      <c r="S461" s="16">
        <v>106.277261</v>
      </c>
      <c r="T461" s="16">
        <v>0.90920151000000005</v>
      </c>
    </row>
    <row r="462" spans="1:20" x14ac:dyDescent="0.2">
      <c r="A462">
        <v>777</v>
      </c>
      <c r="B462" s="8">
        <v>46214</v>
      </c>
      <c r="C462" s="9">
        <v>0.53738425925925926</v>
      </c>
      <c r="D462" s="7" t="s">
        <v>25</v>
      </c>
      <c r="E462" s="13" t="s">
        <v>33</v>
      </c>
      <c r="F462" s="16">
        <v>87.324069899999998</v>
      </c>
      <c r="G462" s="129">
        <v>1939.3167699999999</v>
      </c>
      <c r="H462" s="22">
        <v>1</v>
      </c>
      <c r="I462" s="19"/>
      <c r="J462" s="7" t="s">
        <v>22</v>
      </c>
      <c r="K462" s="16"/>
      <c r="L462" s="16"/>
      <c r="M462" s="16"/>
      <c r="N462" s="16"/>
      <c r="O462" s="16"/>
      <c r="P462" s="16"/>
      <c r="Q462" s="16"/>
      <c r="R462" s="16"/>
      <c r="S462" s="16"/>
      <c r="T462" s="16"/>
    </row>
    <row r="463" spans="1:20" x14ac:dyDescent="0.2">
      <c r="A463">
        <v>778</v>
      </c>
      <c r="B463" s="8">
        <v>46214</v>
      </c>
      <c r="C463" s="9">
        <v>0.53765046296296293</v>
      </c>
      <c r="D463" s="7" t="s">
        <v>25</v>
      </c>
      <c r="E463" s="13" t="s">
        <v>33</v>
      </c>
      <c r="F463" s="16">
        <v>85.878992499999995</v>
      </c>
      <c r="G463" s="129">
        <v>1771.18604</v>
      </c>
      <c r="H463" s="22">
        <v>1</v>
      </c>
      <c r="I463" s="19" t="s">
        <v>38</v>
      </c>
      <c r="J463" s="7" t="s">
        <v>22</v>
      </c>
      <c r="K463" s="16"/>
      <c r="L463" s="16"/>
      <c r="M463" s="16"/>
      <c r="N463" s="16">
        <v>56.488683999999999</v>
      </c>
      <c r="O463" s="16"/>
      <c r="P463" s="16"/>
      <c r="Q463" s="16"/>
      <c r="R463" s="16"/>
      <c r="S463" s="16"/>
      <c r="T463" s="16"/>
    </row>
    <row r="464" spans="1:20" x14ac:dyDescent="0.2">
      <c r="A464">
        <v>779</v>
      </c>
      <c r="B464" s="8">
        <v>46214</v>
      </c>
      <c r="C464" s="9">
        <v>0.53795138888888894</v>
      </c>
      <c r="D464" s="7" t="s">
        <v>25</v>
      </c>
      <c r="E464" s="13" t="s">
        <v>33</v>
      </c>
      <c r="F464" s="16">
        <v>88.721514900000003</v>
      </c>
      <c r="G464" s="129">
        <v>1921.08386</v>
      </c>
      <c r="H464" s="22">
        <v>1</v>
      </c>
      <c r="I464" s="19" t="s">
        <v>45</v>
      </c>
      <c r="J464" s="7" t="s">
        <v>22</v>
      </c>
      <c r="K464" s="16"/>
      <c r="L464" s="16"/>
      <c r="M464" s="16"/>
      <c r="N464" s="16">
        <v>48.900651099999997</v>
      </c>
      <c r="O464" s="16"/>
      <c r="P464" s="16"/>
      <c r="Q464" s="16"/>
      <c r="R464" s="16"/>
      <c r="S464" s="16"/>
      <c r="T464" s="16"/>
    </row>
    <row r="465" spans="1:20" x14ac:dyDescent="0.2">
      <c r="A465">
        <v>793</v>
      </c>
      <c r="B465" s="8">
        <v>46218</v>
      </c>
      <c r="C465" s="9">
        <v>0.44697916666666665</v>
      </c>
      <c r="D465" s="7" t="s">
        <v>28</v>
      </c>
      <c r="E465" s="13" t="s">
        <v>33</v>
      </c>
      <c r="F465" s="16">
        <v>77.176758000000007</v>
      </c>
      <c r="G465" s="129">
        <v>1939.6510000000001</v>
      </c>
      <c r="H465" s="22">
        <v>0</v>
      </c>
      <c r="I465" s="19"/>
      <c r="J465" s="7" t="s">
        <v>22</v>
      </c>
      <c r="K465" s="16"/>
      <c r="L465" s="16"/>
      <c r="M465" s="16"/>
      <c r="N465" s="16"/>
      <c r="O465" s="16"/>
      <c r="P465" s="16"/>
      <c r="Q465" s="16"/>
      <c r="R465" s="16"/>
      <c r="S465" s="16"/>
      <c r="T465" s="16"/>
    </row>
    <row r="466" spans="1:20" x14ac:dyDescent="0.2">
      <c r="A466">
        <v>794</v>
      </c>
      <c r="B466" s="8">
        <v>46218</v>
      </c>
      <c r="C466" s="9">
        <v>0.44717592592592592</v>
      </c>
      <c r="D466" s="7" t="s">
        <v>28</v>
      </c>
      <c r="E466" s="13" t="s">
        <v>35</v>
      </c>
      <c r="F466" s="16">
        <v>73.857842199999993</v>
      </c>
      <c r="G466" s="129">
        <v>1576.9271200000001</v>
      </c>
      <c r="H466" s="22">
        <v>1</v>
      </c>
      <c r="I466" s="19" t="s">
        <v>39</v>
      </c>
      <c r="J466" s="7" t="s">
        <v>22</v>
      </c>
      <c r="K466" s="16"/>
      <c r="L466" s="16"/>
      <c r="M466" s="16"/>
      <c r="N466" s="16">
        <v>61.956084699999998</v>
      </c>
      <c r="O466" s="16"/>
      <c r="P466" s="16"/>
      <c r="Q466" s="16"/>
      <c r="R466" s="16"/>
      <c r="S466" s="16"/>
      <c r="T466" s="16"/>
    </row>
    <row r="467" spans="1:20" x14ac:dyDescent="0.2">
      <c r="A467">
        <v>795</v>
      </c>
      <c r="B467" s="8">
        <v>46218</v>
      </c>
      <c r="C467" s="9">
        <v>0.44738425925925923</v>
      </c>
      <c r="D467" s="7" t="s">
        <v>28</v>
      </c>
      <c r="E467" s="13" t="s">
        <v>37</v>
      </c>
      <c r="F467" s="16">
        <v>72.412756099999996</v>
      </c>
      <c r="G467" s="129">
        <v>2360.9709499999999</v>
      </c>
      <c r="H467" s="22">
        <v>0</v>
      </c>
      <c r="I467" s="19"/>
      <c r="J467" s="7" t="s">
        <v>22</v>
      </c>
      <c r="K467" s="16"/>
      <c r="L467" s="16"/>
      <c r="M467" s="16"/>
      <c r="N467" s="16"/>
      <c r="O467" s="16"/>
      <c r="P467" s="16"/>
      <c r="Q467" s="16"/>
      <c r="R467" s="16"/>
      <c r="S467" s="16"/>
      <c r="T467" s="16"/>
    </row>
    <row r="468" spans="1:20" x14ac:dyDescent="0.2">
      <c r="A468">
        <v>796</v>
      </c>
      <c r="B468" s="8">
        <v>46218</v>
      </c>
      <c r="C468" s="9">
        <v>0.4475925925925926</v>
      </c>
      <c r="D468" s="7" t="s">
        <v>28</v>
      </c>
      <c r="E468" s="13" t="s">
        <v>37</v>
      </c>
      <c r="F468" s="16">
        <v>70.316601399999996</v>
      </c>
      <c r="G468" s="129">
        <v>2374.0864299999998</v>
      </c>
      <c r="H468" s="22">
        <v>0</v>
      </c>
      <c r="I468" s="19"/>
      <c r="J468" s="7" t="s">
        <v>22</v>
      </c>
      <c r="K468" s="16"/>
      <c r="L468" s="16"/>
      <c r="M468" s="16"/>
      <c r="N468" s="16"/>
      <c r="O468" s="16"/>
      <c r="P468" s="16"/>
      <c r="Q468" s="16"/>
      <c r="R468" s="16"/>
      <c r="S468" s="16"/>
      <c r="T468" s="16"/>
    </row>
    <row r="469" spans="1:20" x14ac:dyDescent="0.2">
      <c r="A469">
        <v>797</v>
      </c>
      <c r="B469" s="8">
        <v>46218</v>
      </c>
      <c r="C469" s="9">
        <v>0.4478125</v>
      </c>
      <c r="D469" s="7" t="s">
        <v>28</v>
      </c>
      <c r="E469" s="13" t="s">
        <v>33</v>
      </c>
      <c r="F469" s="16">
        <v>75.461714599999993</v>
      </c>
      <c r="G469" s="129">
        <v>1928.31323</v>
      </c>
      <c r="H469" s="22">
        <v>0</v>
      </c>
      <c r="I469" s="19" t="s">
        <v>48</v>
      </c>
      <c r="J469" s="7" t="s">
        <v>22</v>
      </c>
      <c r="K469" s="16"/>
      <c r="L469" s="16"/>
      <c r="M469" s="16"/>
      <c r="N469" s="16"/>
      <c r="O469" s="16"/>
      <c r="P469" s="16"/>
      <c r="Q469" s="16"/>
      <c r="R469" s="16"/>
      <c r="S469" s="16"/>
      <c r="T469" s="16"/>
    </row>
    <row r="470" spans="1:20" x14ac:dyDescent="0.2">
      <c r="A470">
        <v>798</v>
      </c>
      <c r="B470" s="8">
        <v>46218</v>
      </c>
      <c r="C470" s="9">
        <v>0.44802083333333331</v>
      </c>
      <c r="D470" s="7" t="s">
        <v>28</v>
      </c>
      <c r="E470" s="13" t="s">
        <v>33</v>
      </c>
      <c r="F470" s="16">
        <v>76.732116899999994</v>
      </c>
      <c r="G470" s="129">
        <v>2027.5529799999999</v>
      </c>
      <c r="H470" s="22">
        <v>0</v>
      </c>
      <c r="I470" s="19"/>
      <c r="J470" s="7" t="s">
        <v>22</v>
      </c>
      <c r="K470" s="16"/>
      <c r="L470" s="16"/>
      <c r="M470" s="16"/>
      <c r="N470" s="16"/>
      <c r="O470" s="16"/>
      <c r="P470" s="16"/>
      <c r="Q470" s="16"/>
      <c r="R470" s="16"/>
      <c r="S470" s="16"/>
      <c r="T470" s="16"/>
    </row>
    <row r="471" spans="1:20" x14ac:dyDescent="0.2">
      <c r="A471">
        <v>830</v>
      </c>
      <c r="B471" s="8">
        <v>46218</v>
      </c>
      <c r="C471" s="9">
        <v>0.46069444444444446</v>
      </c>
      <c r="D471" s="7" t="s">
        <v>28</v>
      </c>
      <c r="E471" s="13" t="s">
        <v>33</v>
      </c>
      <c r="F471" s="16">
        <v>75.969877299999993</v>
      </c>
      <c r="G471" s="129">
        <v>2026.33862</v>
      </c>
      <c r="H471" s="22">
        <v>0</v>
      </c>
      <c r="I471" s="19"/>
      <c r="J471" s="7" t="s">
        <v>22</v>
      </c>
      <c r="K471" s="16"/>
      <c r="L471" s="16"/>
      <c r="M471" s="16"/>
      <c r="N471" s="16"/>
      <c r="O471" s="16"/>
      <c r="P471" s="16"/>
      <c r="Q471" s="16"/>
      <c r="R471" s="16"/>
      <c r="S471" s="16"/>
      <c r="T471" s="16"/>
    </row>
    <row r="472" spans="1:20" x14ac:dyDescent="0.2">
      <c r="A472">
        <v>831</v>
      </c>
      <c r="B472" s="8">
        <v>46218</v>
      </c>
      <c r="C472" s="9">
        <v>0.46091435185185187</v>
      </c>
      <c r="D472" s="7" t="s">
        <v>28</v>
      </c>
      <c r="E472" s="13" t="s">
        <v>33</v>
      </c>
      <c r="F472" s="16">
        <v>76.287475700000002</v>
      </c>
      <c r="G472" s="129">
        <v>1955.73792</v>
      </c>
      <c r="H472" s="22">
        <v>0</v>
      </c>
      <c r="I472" s="19"/>
      <c r="J472" s="7" t="s">
        <v>22</v>
      </c>
      <c r="K472" s="16"/>
      <c r="L472" s="16"/>
      <c r="M472" s="16"/>
      <c r="N472" s="16"/>
      <c r="O472" s="16"/>
      <c r="P472" s="16"/>
      <c r="Q472" s="16"/>
      <c r="R472" s="16"/>
      <c r="S472" s="16"/>
      <c r="T472" s="16"/>
    </row>
    <row r="473" spans="1:20" x14ac:dyDescent="0.2">
      <c r="A473">
        <v>832</v>
      </c>
      <c r="B473" s="8">
        <v>46218</v>
      </c>
      <c r="C473" s="9">
        <v>0.46120370370370373</v>
      </c>
      <c r="D473" s="7" t="s">
        <v>28</v>
      </c>
      <c r="E473" s="13" t="s">
        <v>37</v>
      </c>
      <c r="F473" s="16">
        <v>71.332922400000001</v>
      </c>
      <c r="G473" s="129">
        <v>2287.3098100000002</v>
      </c>
      <c r="H473" s="22">
        <v>0</v>
      </c>
      <c r="I473" s="19"/>
      <c r="J473" s="7" t="s">
        <v>22</v>
      </c>
      <c r="K473" s="16"/>
      <c r="L473" s="16"/>
      <c r="M473" s="16"/>
      <c r="N473" s="16"/>
      <c r="O473" s="16"/>
      <c r="P473" s="16"/>
      <c r="Q473" s="16"/>
      <c r="R473" s="16"/>
      <c r="S473" s="16"/>
      <c r="T473" s="16"/>
    </row>
    <row r="474" spans="1:20" x14ac:dyDescent="0.2">
      <c r="A474">
        <v>833</v>
      </c>
      <c r="B474" s="8">
        <v>46218</v>
      </c>
      <c r="C474" s="9">
        <v>0.46142361111111113</v>
      </c>
      <c r="D474" s="7" t="s">
        <v>28</v>
      </c>
      <c r="E474" s="13" t="s">
        <v>37</v>
      </c>
      <c r="F474" s="16">
        <v>71.3964395</v>
      </c>
      <c r="G474" s="129">
        <v>2221.5710399999998</v>
      </c>
      <c r="H474" s="22">
        <v>0</v>
      </c>
      <c r="I474" s="19" t="s">
        <v>48</v>
      </c>
      <c r="J474" s="7" t="s">
        <v>22</v>
      </c>
      <c r="K474" s="16"/>
      <c r="L474" s="16"/>
      <c r="M474" s="16"/>
      <c r="N474" s="16"/>
      <c r="O474" s="16"/>
      <c r="P474" s="16"/>
      <c r="Q474" s="16"/>
      <c r="R474" s="16"/>
      <c r="S474" s="16"/>
      <c r="T474" s="16"/>
    </row>
    <row r="475" spans="1:20" x14ac:dyDescent="0.2">
      <c r="A475">
        <v>834</v>
      </c>
      <c r="B475" s="8">
        <v>46218</v>
      </c>
      <c r="C475" s="9">
        <v>0.46162037037037035</v>
      </c>
      <c r="D475" s="7" t="s">
        <v>28</v>
      </c>
      <c r="E475" s="13" t="s">
        <v>33</v>
      </c>
      <c r="F475" s="16">
        <v>77.017954599999996</v>
      </c>
      <c r="G475" s="129">
        <v>2015.46228</v>
      </c>
      <c r="H475" s="22">
        <v>0</v>
      </c>
      <c r="I475" s="19"/>
      <c r="J475" s="7" t="s">
        <v>22</v>
      </c>
      <c r="K475" s="16"/>
      <c r="L475" s="16"/>
      <c r="M475" s="16"/>
      <c r="N475" s="16"/>
      <c r="O475" s="16"/>
      <c r="P475" s="16"/>
      <c r="Q475" s="16"/>
      <c r="R475" s="16"/>
      <c r="S475" s="16"/>
      <c r="T475" s="16"/>
    </row>
    <row r="476" spans="1:20" x14ac:dyDescent="0.2">
      <c r="A476">
        <v>857</v>
      </c>
      <c r="B476" s="8">
        <v>46218</v>
      </c>
      <c r="C476" s="9">
        <v>0.4724652777777778</v>
      </c>
      <c r="D476" s="7" t="s">
        <v>28</v>
      </c>
      <c r="E476" s="13" t="s">
        <v>33</v>
      </c>
      <c r="F476" s="16">
        <v>74.572440799999995</v>
      </c>
      <c r="G476" s="129">
        <v>1866.4290800000001</v>
      </c>
      <c r="H476" s="22">
        <v>1</v>
      </c>
      <c r="I476" s="19" t="s">
        <v>39</v>
      </c>
      <c r="J476" s="7" t="s">
        <v>22</v>
      </c>
      <c r="K476" s="16"/>
      <c r="L476" s="16"/>
      <c r="M476" s="16"/>
      <c r="N476" s="16">
        <v>58.228554899999999</v>
      </c>
      <c r="O476" s="16"/>
      <c r="P476" s="16"/>
      <c r="Q476" s="16"/>
      <c r="R476" s="16"/>
      <c r="S476" s="16"/>
      <c r="T476" s="16"/>
    </row>
    <row r="477" spans="1:20" s="155" customFormat="1" x14ac:dyDescent="0.2">
      <c r="A477" s="155">
        <v>858</v>
      </c>
      <c r="B477" s="163">
        <v>46218</v>
      </c>
      <c r="C477" s="164">
        <v>0.47268518518518521</v>
      </c>
      <c r="D477" s="165" t="s">
        <v>28</v>
      </c>
      <c r="E477" s="166" t="s">
        <v>33</v>
      </c>
      <c r="F477" s="167">
        <v>74.953560600000003</v>
      </c>
      <c r="G477" s="168">
        <v>994.18548599999997</v>
      </c>
      <c r="H477" s="169">
        <v>0</v>
      </c>
      <c r="I477" s="170"/>
      <c r="J477" s="165" t="s">
        <v>22</v>
      </c>
      <c r="K477" s="167"/>
      <c r="L477" s="167"/>
      <c r="M477" s="167"/>
      <c r="N477" s="167"/>
      <c r="O477" s="167"/>
      <c r="P477" s="167"/>
      <c r="Q477" s="167"/>
      <c r="R477" s="167"/>
      <c r="S477" s="167"/>
      <c r="T477" s="167"/>
    </row>
    <row r="478" spans="1:20" x14ac:dyDescent="0.2">
      <c r="A478">
        <v>859</v>
      </c>
      <c r="B478" s="8">
        <v>46218</v>
      </c>
      <c r="C478" s="9">
        <v>0.47289351851851852</v>
      </c>
      <c r="D478" s="7" t="s">
        <v>28</v>
      </c>
      <c r="E478" s="13" t="s">
        <v>37</v>
      </c>
      <c r="F478" s="16">
        <v>70.824759700000001</v>
      </c>
      <c r="G478" s="129">
        <v>2378.61841</v>
      </c>
      <c r="H478" s="22">
        <v>0</v>
      </c>
      <c r="I478" s="19"/>
      <c r="J478" s="7" t="s">
        <v>22</v>
      </c>
      <c r="K478" s="16"/>
      <c r="L478" s="16"/>
      <c r="M478" s="16"/>
      <c r="N478" s="16"/>
      <c r="O478" s="16"/>
      <c r="P478" s="16"/>
      <c r="Q478" s="16"/>
      <c r="R478" s="16"/>
      <c r="S478" s="16"/>
      <c r="T478" s="16"/>
    </row>
    <row r="479" spans="1:20" x14ac:dyDescent="0.2">
      <c r="A479">
        <v>860</v>
      </c>
      <c r="B479" s="8">
        <v>46218</v>
      </c>
      <c r="C479" s="9">
        <v>0.47312500000000002</v>
      </c>
      <c r="D479" s="7" t="s">
        <v>28</v>
      </c>
      <c r="E479" s="13" t="s">
        <v>37</v>
      </c>
      <c r="F479" s="16">
        <v>69.681400400000001</v>
      </c>
      <c r="G479" s="129">
        <v>1143.6453899999999</v>
      </c>
      <c r="H479" s="22">
        <v>0</v>
      </c>
      <c r="I479" s="19"/>
      <c r="J479" s="7" t="s">
        <v>22</v>
      </c>
      <c r="K479" s="16"/>
      <c r="L479" s="16"/>
      <c r="M479" s="16"/>
      <c r="N479" s="16"/>
      <c r="O479" s="16"/>
      <c r="P479" s="16"/>
      <c r="Q479" s="16"/>
      <c r="R479" s="16"/>
      <c r="S479" s="16"/>
      <c r="T479" s="16"/>
    </row>
    <row r="480" spans="1:20" x14ac:dyDescent="0.2">
      <c r="A480">
        <v>861</v>
      </c>
      <c r="B480" s="8">
        <v>46218</v>
      </c>
      <c r="C480" s="9">
        <v>0.47346064814814814</v>
      </c>
      <c r="D480" s="7" t="s">
        <v>28</v>
      </c>
      <c r="E480" s="13" t="s">
        <v>33</v>
      </c>
      <c r="F480" s="16">
        <v>75.144116199999999</v>
      </c>
      <c r="G480" s="129">
        <v>1960.60754</v>
      </c>
      <c r="H480" s="22">
        <v>0</v>
      </c>
      <c r="I480" s="19" t="s">
        <v>48</v>
      </c>
      <c r="J480" s="7" t="s">
        <v>22</v>
      </c>
      <c r="K480" s="16"/>
      <c r="L480" s="16"/>
      <c r="M480" s="16"/>
      <c r="N480" s="16"/>
      <c r="O480" s="16"/>
      <c r="P480" s="16"/>
      <c r="Q480" s="16"/>
      <c r="R480" s="16"/>
      <c r="S480" s="16"/>
      <c r="T480" s="16"/>
    </row>
    <row r="481" spans="1:20" x14ac:dyDescent="0.2">
      <c r="A481">
        <v>862</v>
      </c>
      <c r="B481" s="8">
        <v>46218</v>
      </c>
      <c r="C481" s="9">
        <v>0.47364583333333332</v>
      </c>
      <c r="D481" s="7" t="s">
        <v>28</v>
      </c>
      <c r="E481" s="13" t="s">
        <v>33</v>
      </c>
      <c r="F481" s="16">
        <v>74.826517800000005</v>
      </c>
      <c r="G481" s="129">
        <v>1916.83447</v>
      </c>
      <c r="H481" s="22">
        <v>0</v>
      </c>
      <c r="I481" s="19"/>
      <c r="J481" s="7" t="s">
        <v>22</v>
      </c>
      <c r="K481" s="16"/>
      <c r="L481" s="16"/>
      <c r="M481" s="16"/>
      <c r="N481" s="16"/>
      <c r="O481" s="16"/>
      <c r="P481" s="16"/>
      <c r="Q481" s="16"/>
      <c r="R481" s="16"/>
      <c r="S481" s="16"/>
      <c r="T481" s="16"/>
    </row>
    <row r="482" spans="1:20" x14ac:dyDescent="0.2">
      <c r="A482">
        <v>1077</v>
      </c>
      <c r="B482" s="1">
        <v>46224</v>
      </c>
      <c r="C482" s="2">
        <v>0.73936342592592597</v>
      </c>
      <c r="D482" t="s">
        <v>25</v>
      </c>
      <c r="E482" s="10" t="s">
        <v>35</v>
      </c>
      <c r="F482" s="11">
        <v>73.465603552999994</v>
      </c>
      <c r="G482" s="4">
        <v>1749.86133</v>
      </c>
      <c r="H482" s="20">
        <v>1</v>
      </c>
      <c r="I482" s="17" t="s">
        <v>39</v>
      </c>
      <c r="J482" t="s">
        <v>22</v>
      </c>
      <c r="N482" s="11">
        <v>60.801427279999999</v>
      </c>
    </row>
    <row r="483" spans="1:20" x14ac:dyDescent="0.2">
      <c r="A483">
        <v>1078</v>
      </c>
      <c r="B483" s="1">
        <v>46224</v>
      </c>
      <c r="C483" s="2">
        <v>0.73959490740740741</v>
      </c>
      <c r="D483" t="s">
        <v>25</v>
      </c>
      <c r="E483" s="10" t="s">
        <v>35</v>
      </c>
      <c r="F483" s="11">
        <v>74.021680341000007</v>
      </c>
      <c r="G483" s="4">
        <v>1679.94739</v>
      </c>
      <c r="H483" s="20">
        <v>1</v>
      </c>
      <c r="I483" s="17" t="s">
        <v>38</v>
      </c>
      <c r="J483" t="s">
        <v>22</v>
      </c>
      <c r="K483" s="11">
        <v>52.060695154000001</v>
      </c>
      <c r="L483" s="11">
        <v>-28.0002441</v>
      </c>
      <c r="N483" s="11">
        <v>57.524025461999997</v>
      </c>
      <c r="P483" s="11">
        <v>9</v>
      </c>
      <c r="Q483" s="11">
        <v>0.90502524399999995</v>
      </c>
      <c r="R483" s="11">
        <v>1.6375958900000001</v>
      </c>
      <c r="S483" s="11">
        <v>94.201113774999996</v>
      </c>
      <c r="T483" s="11">
        <v>0.5526548</v>
      </c>
    </row>
    <row r="484" spans="1:20" x14ac:dyDescent="0.2">
      <c r="A484">
        <v>1079</v>
      </c>
      <c r="B484" s="1">
        <v>46224</v>
      </c>
      <c r="C484" s="2">
        <v>0.73987268518518523</v>
      </c>
      <c r="D484" t="s">
        <v>25</v>
      </c>
      <c r="E484" s="10" t="s">
        <v>37</v>
      </c>
      <c r="F484" s="11">
        <v>73.656262752999993</v>
      </c>
      <c r="G484" s="4">
        <v>1955.5660399999999</v>
      </c>
      <c r="H484" s="20">
        <v>0</v>
      </c>
      <c r="J484" t="s">
        <v>22</v>
      </c>
    </row>
    <row r="485" spans="1:20" x14ac:dyDescent="0.2">
      <c r="A485">
        <v>1080</v>
      </c>
      <c r="B485" s="1">
        <v>46224</v>
      </c>
      <c r="C485" s="2">
        <v>0.74004629629629626</v>
      </c>
      <c r="D485" t="s">
        <v>25</v>
      </c>
      <c r="E485" s="10" t="s">
        <v>33</v>
      </c>
      <c r="F485" s="11">
        <v>83.745067805999994</v>
      </c>
      <c r="G485" s="4">
        <v>1895.56104</v>
      </c>
      <c r="H485" s="20">
        <v>1</v>
      </c>
      <c r="I485" s="17" t="s">
        <v>40</v>
      </c>
      <c r="J485" t="s">
        <v>22</v>
      </c>
      <c r="K485" s="11">
        <v>92.175836211999993</v>
      </c>
      <c r="L485" s="11">
        <v>21.856677999999999</v>
      </c>
      <c r="M485" s="11">
        <v>-0.65147149599999998</v>
      </c>
      <c r="N485" s="11">
        <v>64.813416735000004</v>
      </c>
      <c r="O485" s="11">
        <v>2206.0512699999999</v>
      </c>
      <c r="P485" s="11">
        <v>281</v>
      </c>
      <c r="Q485" s="11">
        <v>1.4221721899999999</v>
      </c>
      <c r="R485" s="11">
        <v>1.62606311</v>
      </c>
      <c r="S485" s="11">
        <v>105.39070899399999</v>
      </c>
      <c r="T485" s="11">
        <v>0.87461067199999998</v>
      </c>
    </row>
    <row r="486" spans="1:20" x14ac:dyDescent="0.2">
      <c r="A486">
        <v>1112</v>
      </c>
      <c r="B486" s="1">
        <v>46224</v>
      </c>
      <c r="C486" s="2">
        <v>0.7540162037037037</v>
      </c>
      <c r="D486" t="s">
        <v>25</v>
      </c>
      <c r="E486" s="10" t="s">
        <v>37</v>
      </c>
      <c r="F486" s="11">
        <v>68.635686726000003</v>
      </c>
      <c r="G486" s="4">
        <v>1973.6320800000001</v>
      </c>
      <c r="H486" s="20">
        <v>1</v>
      </c>
      <c r="I486" s="17" t="s">
        <v>40</v>
      </c>
      <c r="J486" t="s">
        <v>22</v>
      </c>
      <c r="K486" s="11">
        <v>52.012994507000002</v>
      </c>
      <c r="L486" s="11">
        <v>-22.1935349</v>
      </c>
      <c r="M486" s="11">
        <v>1.1702002300000001</v>
      </c>
      <c r="N486" s="11">
        <v>57.693546736000002</v>
      </c>
      <c r="P486" s="11">
        <v>8</v>
      </c>
      <c r="Q486" s="11">
        <v>0.90153920700000001</v>
      </c>
      <c r="R486" s="11">
        <v>1.61635208</v>
      </c>
      <c r="S486" s="11">
        <v>93.253088665999996</v>
      </c>
      <c r="T486" s="11">
        <v>0.55776165</v>
      </c>
    </row>
    <row r="487" spans="1:20" x14ac:dyDescent="0.2">
      <c r="A487">
        <v>1146</v>
      </c>
      <c r="B487" s="1">
        <v>46224</v>
      </c>
      <c r="C487" s="2">
        <v>0.76653935185185185</v>
      </c>
      <c r="D487" t="s">
        <v>28</v>
      </c>
      <c r="E487" s="10" t="s">
        <v>33</v>
      </c>
      <c r="F487" s="11">
        <v>73.783364113999994</v>
      </c>
      <c r="G487" s="4">
        <v>1871.75549</v>
      </c>
      <c r="H487" s="20">
        <v>0</v>
      </c>
      <c r="J487" t="s">
        <v>22</v>
      </c>
    </row>
    <row r="488" spans="1:20" x14ac:dyDescent="0.2">
      <c r="A488">
        <v>1147</v>
      </c>
      <c r="B488" s="1">
        <v>46224</v>
      </c>
      <c r="C488" s="2">
        <v>0.76677083333333329</v>
      </c>
      <c r="D488" t="s">
        <v>28</v>
      </c>
      <c r="E488" s="10" t="s">
        <v>33</v>
      </c>
      <c r="F488" s="11">
        <v>73.402056674999997</v>
      </c>
      <c r="G488" s="4">
        <v>1887.47192</v>
      </c>
      <c r="H488" s="20">
        <v>0</v>
      </c>
      <c r="J488" t="s">
        <v>22</v>
      </c>
    </row>
    <row r="489" spans="1:20" x14ac:dyDescent="0.2">
      <c r="A489">
        <v>1148</v>
      </c>
      <c r="B489" s="1">
        <v>46224</v>
      </c>
      <c r="C489" s="2">
        <v>0.76702546296296292</v>
      </c>
      <c r="D489" t="s">
        <v>28</v>
      </c>
      <c r="E489" s="10" t="s">
        <v>37</v>
      </c>
      <c r="F489" s="11">
        <v>69.525408558999999</v>
      </c>
      <c r="G489" s="4">
        <v>2329.3310499999998</v>
      </c>
      <c r="H489" s="20">
        <v>1</v>
      </c>
      <c r="I489" s="17" t="s">
        <v>38</v>
      </c>
      <c r="J489" t="s">
        <v>22</v>
      </c>
      <c r="N489" s="11">
        <v>59.049712225999997</v>
      </c>
    </row>
    <row r="490" spans="1:20" x14ac:dyDescent="0.2">
      <c r="A490">
        <v>1149</v>
      </c>
      <c r="B490" s="1">
        <v>46224</v>
      </c>
      <c r="C490" s="2">
        <v>0.76733796296296297</v>
      </c>
      <c r="D490" t="s">
        <v>28</v>
      </c>
      <c r="E490" s="10" t="s">
        <v>37</v>
      </c>
      <c r="F490" s="11">
        <v>72.321681010000006</v>
      </c>
      <c r="G490" s="4">
        <v>179.170029</v>
      </c>
      <c r="H490" s="20">
        <v>1</v>
      </c>
      <c r="I490" s="17" t="s">
        <v>39</v>
      </c>
      <c r="J490" t="s">
        <v>22</v>
      </c>
      <c r="N490" s="11">
        <v>58.032589283</v>
      </c>
    </row>
    <row r="491" spans="1:20" x14ac:dyDescent="0.2">
      <c r="A491">
        <v>1150</v>
      </c>
      <c r="B491" s="1">
        <v>46224</v>
      </c>
      <c r="C491" s="2">
        <v>0.76762731481481483</v>
      </c>
      <c r="D491" t="s">
        <v>28</v>
      </c>
      <c r="E491" s="10" t="s">
        <v>37</v>
      </c>
      <c r="F491" s="11">
        <v>73.767475157999996</v>
      </c>
      <c r="G491" s="4">
        <v>1543.01746</v>
      </c>
      <c r="H491" s="20">
        <v>0</v>
      </c>
      <c r="J491" t="s">
        <v>22</v>
      </c>
    </row>
    <row r="492" spans="1:20" x14ac:dyDescent="0.2">
      <c r="A492">
        <v>1151</v>
      </c>
      <c r="B492" s="1">
        <v>46224</v>
      </c>
      <c r="C492" s="2">
        <v>0.76798611111111115</v>
      </c>
      <c r="D492" t="s">
        <v>28</v>
      </c>
      <c r="E492" s="10" t="s">
        <v>37</v>
      </c>
      <c r="F492" s="11">
        <v>72.194578531000005</v>
      </c>
      <c r="G492" s="4">
        <v>2400.59204</v>
      </c>
      <c r="H492" s="20">
        <v>0</v>
      </c>
      <c r="I492" s="17" t="s">
        <v>48</v>
      </c>
      <c r="J492" t="s">
        <v>22</v>
      </c>
    </row>
    <row r="493" spans="1:20" x14ac:dyDescent="0.2">
      <c r="A493">
        <v>1152</v>
      </c>
      <c r="B493" s="1">
        <v>46224</v>
      </c>
      <c r="C493" s="2">
        <v>0.76815972222222217</v>
      </c>
      <c r="D493" t="s">
        <v>28</v>
      </c>
      <c r="E493" s="10" t="s">
        <v>33</v>
      </c>
      <c r="F493" s="11">
        <v>76.134773523999996</v>
      </c>
      <c r="G493" s="4">
        <v>2033.6518599999999</v>
      </c>
      <c r="H493" s="20">
        <v>0</v>
      </c>
      <c r="J493" t="s">
        <v>22</v>
      </c>
    </row>
    <row r="494" spans="1:20" x14ac:dyDescent="0.2">
      <c r="A494">
        <v>1183</v>
      </c>
      <c r="B494" s="1">
        <v>46224</v>
      </c>
      <c r="C494" s="2">
        <v>0.7815509259259259</v>
      </c>
      <c r="D494" t="s">
        <v>28</v>
      </c>
      <c r="E494" s="10" t="s">
        <v>33</v>
      </c>
      <c r="F494" s="11">
        <v>75.546921060000003</v>
      </c>
      <c r="G494" s="4">
        <v>1888.4853499999999</v>
      </c>
      <c r="H494" s="20">
        <v>1</v>
      </c>
      <c r="I494" s="17" t="s">
        <v>38</v>
      </c>
      <c r="J494" t="s">
        <v>22</v>
      </c>
      <c r="N494" s="11">
        <v>54.303130883999998</v>
      </c>
    </row>
    <row r="495" spans="1:20" x14ac:dyDescent="0.2">
      <c r="A495">
        <v>1184</v>
      </c>
      <c r="B495" s="1">
        <v>46224</v>
      </c>
      <c r="C495" s="2">
        <v>0.78182870370370372</v>
      </c>
      <c r="D495" t="s">
        <v>28</v>
      </c>
      <c r="E495" s="10" t="s">
        <v>33</v>
      </c>
      <c r="F495" s="11">
        <v>75.674021526999994</v>
      </c>
      <c r="G495" s="4">
        <v>2036.74072</v>
      </c>
      <c r="H495" s="20">
        <v>0</v>
      </c>
      <c r="J495" t="s">
        <v>22</v>
      </c>
    </row>
    <row r="496" spans="1:20" x14ac:dyDescent="0.2">
      <c r="A496">
        <v>1185</v>
      </c>
      <c r="B496" s="1">
        <v>46224</v>
      </c>
      <c r="C496" s="2">
        <v>0.78211805555555558</v>
      </c>
      <c r="D496" t="s">
        <v>28</v>
      </c>
      <c r="E496" s="10" t="s">
        <v>37</v>
      </c>
      <c r="F496" s="11">
        <v>71.876817969000001</v>
      </c>
      <c r="G496" s="4">
        <v>149.312805</v>
      </c>
      <c r="H496" s="20">
        <v>0</v>
      </c>
      <c r="J496" t="s">
        <v>22</v>
      </c>
    </row>
    <row r="497" spans="1:20" x14ac:dyDescent="0.2">
      <c r="A497">
        <v>1186</v>
      </c>
      <c r="B497" s="1">
        <v>46224</v>
      </c>
      <c r="C497" s="2">
        <v>0.78236111111111106</v>
      </c>
      <c r="D497" t="s">
        <v>28</v>
      </c>
      <c r="E497" s="10" t="s">
        <v>33</v>
      </c>
      <c r="F497" s="11">
        <v>72.385227888000003</v>
      </c>
      <c r="G497" s="4">
        <v>1809.9909700000001</v>
      </c>
      <c r="H497" s="20">
        <v>1</v>
      </c>
      <c r="I497" s="17" t="s">
        <v>40</v>
      </c>
      <c r="J497" t="s">
        <v>22</v>
      </c>
      <c r="K497" s="11">
        <v>87.634585685999994</v>
      </c>
      <c r="L497" s="11">
        <v>42.059211699999999</v>
      </c>
      <c r="M497" s="11">
        <v>-8.0754413599999992</v>
      </c>
      <c r="N497" s="11">
        <v>62.948687423999999</v>
      </c>
      <c r="O497" s="11">
        <v>2779.5873999999999</v>
      </c>
      <c r="P497" s="11">
        <v>328</v>
      </c>
      <c r="Q497" s="11">
        <v>1.3921591</v>
      </c>
      <c r="R497" s="11">
        <v>1.59282279</v>
      </c>
      <c r="S497" s="11">
        <v>100.266101127</v>
      </c>
      <c r="T497" s="11">
        <v>0.87402008099999995</v>
      </c>
    </row>
    <row r="498" spans="1:20" x14ac:dyDescent="0.2">
      <c r="A498">
        <v>1247</v>
      </c>
      <c r="B498" s="1">
        <v>46228</v>
      </c>
      <c r="C498" s="2">
        <v>0.44718750000000002</v>
      </c>
      <c r="D498" t="s">
        <v>21</v>
      </c>
      <c r="E498" s="10" t="s">
        <v>33</v>
      </c>
      <c r="F498" s="11">
        <v>80.22571653</v>
      </c>
      <c r="G498" s="4">
        <v>2060.5224600000001</v>
      </c>
      <c r="H498" s="20">
        <v>0</v>
      </c>
      <c r="J498" t="s">
        <v>22</v>
      </c>
      <c r="T498" s="14"/>
    </row>
    <row r="499" spans="1:20" x14ac:dyDescent="0.2">
      <c r="A499">
        <v>1248</v>
      </c>
      <c r="B499" s="1">
        <v>46228</v>
      </c>
      <c r="C499" s="2">
        <v>0.4473611111111111</v>
      </c>
      <c r="D499" t="s">
        <v>21</v>
      </c>
      <c r="E499" s="10" t="s">
        <v>33</v>
      </c>
      <c r="F499" s="11">
        <v>79.971639522999993</v>
      </c>
      <c r="G499" s="4">
        <v>2078.2114299999998</v>
      </c>
      <c r="H499" s="20">
        <v>1</v>
      </c>
      <c r="I499" s="17" t="s">
        <v>40</v>
      </c>
      <c r="J499" t="s">
        <v>22</v>
      </c>
      <c r="K499" s="11">
        <v>84.237710234999994</v>
      </c>
      <c r="L499" s="11">
        <v>48.859893800000002</v>
      </c>
      <c r="M499" s="11">
        <v>-12.975801499999999</v>
      </c>
      <c r="N499" s="11">
        <v>61.133634645000001</v>
      </c>
      <c r="O499" s="11">
        <v>4495.3549800000001</v>
      </c>
      <c r="P499" s="11">
        <v>303</v>
      </c>
      <c r="Q499" s="11">
        <v>1.37792742</v>
      </c>
      <c r="R499" s="11">
        <v>1.63937</v>
      </c>
      <c r="S499" s="11">
        <v>100.220644574</v>
      </c>
      <c r="T499" s="14">
        <v>0.84052253699999901</v>
      </c>
    </row>
    <row r="500" spans="1:20" x14ac:dyDescent="0.2">
      <c r="A500">
        <v>1277</v>
      </c>
      <c r="B500" s="1">
        <v>46228</v>
      </c>
      <c r="C500" s="2">
        <v>0.45738425925925924</v>
      </c>
      <c r="D500" t="s">
        <v>18</v>
      </c>
      <c r="E500" s="10" t="s">
        <v>36</v>
      </c>
      <c r="F500" s="11">
        <v>78.050160263999999</v>
      </c>
      <c r="G500" s="4">
        <v>747.06146200000001</v>
      </c>
      <c r="H500" s="20">
        <v>0</v>
      </c>
      <c r="J500" t="s">
        <v>22</v>
      </c>
      <c r="T500" s="14"/>
    </row>
    <row r="501" spans="1:20" x14ac:dyDescent="0.2">
      <c r="A501">
        <v>1278</v>
      </c>
      <c r="B501" s="1">
        <v>46228</v>
      </c>
      <c r="C501" s="2">
        <v>0.45763888888888887</v>
      </c>
      <c r="D501" t="s">
        <v>18</v>
      </c>
      <c r="E501" s="10" t="s">
        <v>37</v>
      </c>
      <c r="F501" s="11">
        <v>74.683594624999998</v>
      </c>
      <c r="G501" s="4">
        <v>1103.2143599999999</v>
      </c>
      <c r="H501" s="20">
        <v>0</v>
      </c>
      <c r="J501" t="s">
        <v>22</v>
      </c>
      <c r="T501" s="14"/>
    </row>
    <row r="502" spans="1:20" x14ac:dyDescent="0.2">
      <c r="A502">
        <v>1279</v>
      </c>
      <c r="B502" s="1">
        <v>46228</v>
      </c>
      <c r="C502" s="2">
        <v>0.4579050925925926</v>
      </c>
      <c r="D502" t="s">
        <v>18</v>
      </c>
      <c r="E502" s="10" t="s">
        <v>36</v>
      </c>
      <c r="F502" s="11">
        <v>78.701237264</v>
      </c>
      <c r="G502" s="4">
        <v>753.87982199999999</v>
      </c>
      <c r="H502" s="20">
        <v>1</v>
      </c>
      <c r="I502" s="17" t="s">
        <v>38</v>
      </c>
      <c r="J502" t="s">
        <v>22</v>
      </c>
      <c r="N502" s="11">
        <v>57.762717271</v>
      </c>
      <c r="T502" s="14"/>
    </row>
    <row r="503" spans="1:20" x14ac:dyDescent="0.2">
      <c r="A503">
        <v>1280</v>
      </c>
      <c r="B503" s="1">
        <v>46228</v>
      </c>
      <c r="C503" s="2">
        <v>0.4583564814814815</v>
      </c>
      <c r="D503" t="s">
        <v>18</v>
      </c>
      <c r="E503" s="10" t="s">
        <v>33</v>
      </c>
      <c r="F503" s="11">
        <v>85.751949702999994</v>
      </c>
      <c r="G503" s="4">
        <v>2287.4126000000001</v>
      </c>
      <c r="H503" s="20">
        <v>1</v>
      </c>
      <c r="I503" s="17" t="s">
        <v>40</v>
      </c>
      <c r="J503" t="s">
        <v>22</v>
      </c>
      <c r="K503" s="11">
        <v>94.846567565000001</v>
      </c>
      <c r="L503" s="11">
        <v>17.454196899999999</v>
      </c>
      <c r="M503" s="11">
        <v>-20.129653900000001</v>
      </c>
      <c r="N503" s="11">
        <v>72.731882057000007</v>
      </c>
      <c r="O503" s="11">
        <v>1195.3192100000001</v>
      </c>
      <c r="P503" s="11">
        <v>261</v>
      </c>
      <c r="Q503" s="11">
        <v>1.3040575999999999</v>
      </c>
      <c r="R503" s="11">
        <v>1.5879440300000001</v>
      </c>
      <c r="S503" s="11">
        <v>115.49415143900001</v>
      </c>
      <c r="T503" s="14">
        <v>0.82122399999999995</v>
      </c>
    </row>
    <row r="504" spans="1:20" x14ac:dyDescent="0.2">
      <c r="A504">
        <v>1301</v>
      </c>
      <c r="B504" s="1">
        <v>46228</v>
      </c>
      <c r="C504" s="2">
        <v>0.46909722222222222</v>
      </c>
      <c r="D504" t="s">
        <v>21</v>
      </c>
      <c r="E504" s="10" t="s">
        <v>37</v>
      </c>
      <c r="F504" s="11">
        <v>72.349243193999996</v>
      </c>
      <c r="G504" s="4">
        <v>1576.9222400000001</v>
      </c>
      <c r="H504" s="20">
        <v>1</v>
      </c>
      <c r="I504" s="17" t="s">
        <v>40</v>
      </c>
      <c r="J504" t="s">
        <v>22</v>
      </c>
      <c r="K504" s="11">
        <v>85.954929723000006</v>
      </c>
      <c r="L504" s="11">
        <v>-14.3315964</v>
      </c>
      <c r="M504" s="11">
        <v>-31.6453667</v>
      </c>
      <c r="N504" s="11">
        <v>61.989159543</v>
      </c>
      <c r="O504" s="11">
        <v>900.65771500000005</v>
      </c>
      <c r="P504" s="11">
        <v>20</v>
      </c>
      <c r="Q504" s="11">
        <v>1.3866122999999999</v>
      </c>
      <c r="R504" s="11">
        <v>1.5965973099999999</v>
      </c>
      <c r="S504" s="11">
        <v>98.971720480000002</v>
      </c>
      <c r="T504" s="14">
        <v>0.868479691</v>
      </c>
    </row>
    <row r="505" spans="1:20" x14ac:dyDescent="0.2">
      <c r="A505">
        <v>1326</v>
      </c>
      <c r="B505" s="1">
        <v>46228</v>
      </c>
      <c r="C505" s="2">
        <v>0.47887731481481483</v>
      </c>
      <c r="D505" t="s">
        <v>18</v>
      </c>
      <c r="E505" s="10" t="s">
        <v>36</v>
      </c>
      <c r="F505" s="11">
        <v>77.144997309999994</v>
      </c>
      <c r="G505" s="4">
        <v>1343.90662</v>
      </c>
      <c r="H505" s="20">
        <v>0</v>
      </c>
      <c r="J505" t="s">
        <v>22</v>
      </c>
      <c r="T505" s="14"/>
    </row>
    <row r="506" spans="1:20" x14ac:dyDescent="0.2">
      <c r="A506">
        <v>1327</v>
      </c>
      <c r="B506" s="1">
        <v>46228</v>
      </c>
      <c r="C506" s="2">
        <v>0.47912037037037036</v>
      </c>
      <c r="D506" t="s">
        <v>18</v>
      </c>
      <c r="E506" s="10" t="s">
        <v>36</v>
      </c>
      <c r="F506" s="11">
        <v>77.049715245000002</v>
      </c>
      <c r="G506" s="4">
        <v>2021.8958700000001</v>
      </c>
      <c r="H506" s="20">
        <v>1</v>
      </c>
      <c r="I506" s="17" t="s">
        <v>39</v>
      </c>
      <c r="J506" t="s">
        <v>22</v>
      </c>
      <c r="N506" s="11">
        <v>58.700169725000002</v>
      </c>
      <c r="T506" s="14"/>
    </row>
    <row r="507" spans="1:20" x14ac:dyDescent="0.2">
      <c r="A507">
        <v>1328</v>
      </c>
      <c r="B507" s="1">
        <v>46228</v>
      </c>
      <c r="C507" s="2">
        <v>0.47949074074074072</v>
      </c>
      <c r="D507" t="s">
        <v>18</v>
      </c>
      <c r="E507" s="10" t="s">
        <v>33</v>
      </c>
      <c r="F507" s="11">
        <v>85.116756961999997</v>
      </c>
      <c r="G507" s="4">
        <v>1093.8356900000001</v>
      </c>
      <c r="H507" s="20">
        <v>0</v>
      </c>
      <c r="J507" t="s">
        <v>22</v>
      </c>
      <c r="T507" s="14"/>
    </row>
    <row r="508" spans="1:20" x14ac:dyDescent="0.2">
      <c r="A508">
        <v>1329</v>
      </c>
      <c r="B508" s="1">
        <v>46228</v>
      </c>
      <c r="C508" s="2">
        <v>0.47971064814814812</v>
      </c>
      <c r="D508" t="s">
        <v>18</v>
      </c>
      <c r="E508" s="10" t="s">
        <v>37</v>
      </c>
      <c r="F508" s="11">
        <v>74.064279878999997</v>
      </c>
      <c r="G508" s="4">
        <v>1116.1076700000001</v>
      </c>
      <c r="H508" s="20">
        <v>0</v>
      </c>
      <c r="J508" t="s">
        <v>22</v>
      </c>
      <c r="T508" s="14"/>
    </row>
    <row r="509" spans="1:20" x14ac:dyDescent="0.2">
      <c r="A509">
        <v>1330</v>
      </c>
      <c r="B509" s="1">
        <v>46228</v>
      </c>
      <c r="C509" s="2">
        <v>0.47997685185185185</v>
      </c>
      <c r="D509" t="s">
        <v>18</v>
      </c>
      <c r="E509" s="10" t="s">
        <v>36</v>
      </c>
      <c r="F509" s="11">
        <v>77.986638886999998</v>
      </c>
      <c r="G509" s="4">
        <v>2131.8637699999999</v>
      </c>
      <c r="H509" s="20">
        <v>0</v>
      </c>
      <c r="I509" s="17" t="s">
        <v>48</v>
      </c>
      <c r="J509" t="s">
        <v>22</v>
      </c>
      <c r="T509" s="14"/>
    </row>
    <row r="510" spans="1:20" x14ac:dyDescent="0.2">
      <c r="A510">
        <v>1331</v>
      </c>
      <c r="B510" s="1">
        <v>46228</v>
      </c>
      <c r="C510" s="2">
        <v>0.4802777777777778</v>
      </c>
      <c r="D510" t="s">
        <v>18</v>
      </c>
      <c r="E510" s="10" t="s">
        <v>33</v>
      </c>
      <c r="F510" s="11">
        <v>85.561394071999999</v>
      </c>
      <c r="G510" s="4">
        <v>2305.65283</v>
      </c>
      <c r="H510" s="20">
        <v>1</v>
      </c>
      <c r="I510" s="17" t="s">
        <v>40</v>
      </c>
      <c r="J510" t="s">
        <v>22</v>
      </c>
      <c r="K510" s="11">
        <v>68.751034778000005</v>
      </c>
      <c r="L510" s="11">
        <v>-5.5646567300000003</v>
      </c>
      <c r="M510" s="11">
        <v>-25.767633400000001</v>
      </c>
      <c r="N510" s="11">
        <v>63.494294009999997</v>
      </c>
      <c r="O510" s="11">
        <v>3510.3759799999998</v>
      </c>
      <c r="P510" s="11">
        <v>24</v>
      </c>
      <c r="Q510" s="11">
        <v>1.0827907299999999</v>
      </c>
      <c r="R510" s="11">
        <v>1.6470678999999999</v>
      </c>
      <c r="S510" s="11">
        <v>104.579411901</v>
      </c>
      <c r="T510" s="133">
        <v>0.65740500000000002</v>
      </c>
    </row>
    <row r="511" spans="1:20" x14ac:dyDescent="0.2">
      <c r="A511">
        <v>1348</v>
      </c>
      <c r="B511" s="1">
        <v>46228</v>
      </c>
      <c r="C511" s="2">
        <v>0.48636574074074074</v>
      </c>
      <c r="D511" t="s">
        <v>21</v>
      </c>
      <c r="E511" s="10" t="s">
        <v>37</v>
      </c>
      <c r="F511" s="11">
        <v>71.634644816999995</v>
      </c>
      <c r="G511" s="4">
        <v>2252.41113</v>
      </c>
      <c r="H511" s="20">
        <v>1</v>
      </c>
      <c r="I511" s="17" t="s">
        <v>39</v>
      </c>
      <c r="J511" t="s">
        <v>22</v>
      </c>
      <c r="N511" s="11">
        <v>58.421440118</v>
      </c>
      <c r="T511" s="133"/>
    </row>
    <row r="512" spans="1:20" x14ac:dyDescent="0.2">
      <c r="A512">
        <v>1349</v>
      </c>
      <c r="B512" s="1">
        <v>46228</v>
      </c>
      <c r="C512" s="2">
        <v>0.48657407407407405</v>
      </c>
      <c r="D512" t="s">
        <v>21</v>
      </c>
      <c r="E512" s="10" t="s">
        <v>37</v>
      </c>
      <c r="F512" s="11">
        <v>73.238517192000003</v>
      </c>
      <c r="G512" s="4">
        <v>1073.5506600000001</v>
      </c>
      <c r="H512" s="20">
        <v>0</v>
      </c>
      <c r="J512" t="s">
        <v>22</v>
      </c>
      <c r="T512" s="14"/>
    </row>
    <row r="513" spans="1:20" x14ac:dyDescent="0.2">
      <c r="A513">
        <v>1350</v>
      </c>
      <c r="B513" s="1">
        <v>46228</v>
      </c>
      <c r="C513" s="2">
        <v>0.48677083333333332</v>
      </c>
      <c r="D513" t="s">
        <v>21</v>
      </c>
      <c r="E513" s="10" t="s">
        <v>33</v>
      </c>
      <c r="F513" s="11">
        <v>82.814153468000001</v>
      </c>
      <c r="G513" s="4">
        <v>2197.5898400000001</v>
      </c>
      <c r="H513" s="20">
        <v>1</v>
      </c>
      <c r="I513" s="17" t="s">
        <v>39</v>
      </c>
      <c r="J513" t="s">
        <v>22</v>
      </c>
      <c r="N513" s="11">
        <v>62.769600564999998</v>
      </c>
      <c r="T513" s="14"/>
    </row>
    <row r="514" spans="1:20" x14ac:dyDescent="0.2">
      <c r="A514">
        <v>1351</v>
      </c>
      <c r="B514" s="1">
        <v>46228</v>
      </c>
      <c r="C514" s="2">
        <v>0.48700231481481482</v>
      </c>
      <c r="D514" t="s">
        <v>21</v>
      </c>
      <c r="E514" s="10" t="s">
        <v>46</v>
      </c>
      <c r="F514" s="11">
        <v>73.174995815000003</v>
      </c>
      <c r="G514" s="4">
        <v>403.71991000000003</v>
      </c>
      <c r="H514" s="20">
        <v>0</v>
      </c>
      <c r="J514" t="s">
        <v>22</v>
      </c>
      <c r="T514" s="14"/>
    </row>
    <row r="515" spans="1:20" x14ac:dyDescent="0.2">
      <c r="A515">
        <v>1352</v>
      </c>
      <c r="B515" s="1">
        <v>46228</v>
      </c>
      <c r="C515" s="2">
        <v>0.48726851851851855</v>
      </c>
      <c r="D515" t="s">
        <v>21</v>
      </c>
      <c r="E515" s="10" t="s">
        <v>37</v>
      </c>
      <c r="F515" s="11">
        <v>74.048397633999997</v>
      </c>
      <c r="G515" s="4">
        <v>1092.64148</v>
      </c>
      <c r="H515" s="20">
        <v>1</v>
      </c>
      <c r="I515" s="17" t="s">
        <v>40</v>
      </c>
      <c r="J515" t="s">
        <v>22</v>
      </c>
      <c r="N515" s="11">
        <v>63.159821076</v>
      </c>
      <c r="T515" s="14"/>
    </row>
    <row r="516" spans="1:20" x14ac:dyDescent="0.2">
      <c r="A516">
        <v>1386</v>
      </c>
      <c r="B516" s="1">
        <v>46228</v>
      </c>
      <c r="C516" s="2">
        <v>0.50289351851851849</v>
      </c>
      <c r="D516" t="s">
        <v>25</v>
      </c>
      <c r="E516" s="10" t="s">
        <v>37</v>
      </c>
      <c r="F516" s="11">
        <v>77.875476366000001</v>
      </c>
      <c r="G516" s="4">
        <v>1788.4912099999999</v>
      </c>
      <c r="H516" s="20">
        <v>0</v>
      </c>
      <c r="J516" t="s">
        <v>22</v>
      </c>
      <c r="T516" s="14"/>
    </row>
    <row r="517" spans="1:20" x14ac:dyDescent="0.2">
      <c r="A517">
        <v>1387</v>
      </c>
      <c r="B517" s="1">
        <v>46228</v>
      </c>
      <c r="C517" s="2">
        <v>0.50313657407407408</v>
      </c>
      <c r="D517" t="s">
        <v>25</v>
      </c>
      <c r="E517" s="10" t="s">
        <v>37</v>
      </c>
      <c r="F517" s="11">
        <v>76.192202159000004</v>
      </c>
      <c r="G517" s="4">
        <v>1830.4341999999999</v>
      </c>
      <c r="H517" s="20">
        <v>0</v>
      </c>
      <c r="J517" t="s">
        <v>22</v>
      </c>
      <c r="T517" s="14"/>
    </row>
    <row r="518" spans="1:20" x14ac:dyDescent="0.2">
      <c r="A518">
        <v>1388</v>
      </c>
      <c r="B518" s="1">
        <v>46228</v>
      </c>
      <c r="C518" s="2">
        <v>0.50334490740740745</v>
      </c>
      <c r="D518" t="s">
        <v>25</v>
      </c>
      <c r="E518" s="10" t="s">
        <v>37</v>
      </c>
      <c r="F518" s="11">
        <v>75.334680348999996</v>
      </c>
      <c r="G518" s="4">
        <v>2201.3244599999998</v>
      </c>
      <c r="H518" s="20">
        <v>1</v>
      </c>
      <c r="J518" t="s">
        <v>22</v>
      </c>
      <c r="T518" s="14"/>
    </row>
    <row r="519" spans="1:20" x14ac:dyDescent="0.2">
      <c r="A519">
        <v>1389</v>
      </c>
      <c r="B519" s="1">
        <v>46228</v>
      </c>
      <c r="C519" s="2">
        <v>0.50350694444444444</v>
      </c>
      <c r="D519" t="s">
        <v>25</v>
      </c>
      <c r="E519" s="10" t="s">
        <v>33</v>
      </c>
      <c r="F519" s="11">
        <v>87.832232626999996</v>
      </c>
      <c r="G519" s="4">
        <v>2034.4743699999999</v>
      </c>
      <c r="H519" s="20">
        <v>1</v>
      </c>
      <c r="I519" s="17" t="s">
        <v>38</v>
      </c>
      <c r="J519" t="s">
        <v>22</v>
      </c>
      <c r="N519" s="11">
        <v>57.585255769</v>
      </c>
      <c r="T519" s="14"/>
    </row>
    <row r="520" spans="1:20" x14ac:dyDescent="0.2">
      <c r="A520">
        <v>1390</v>
      </c>
      <c r="B520" s="1">
        <v>46228</v>
      </c>
      <c r="C520" s="2">
        <v>0.50377314814814811</v>
      </c>
      <c r="D520" t="s">
        <v>25</v>
      </c>
      <c r="E520" s="10" t="s">
        <v>33</v>
      </c>
      <c r="F520" s="11">
        <v>88.165711243000004</v>
      </c>
      <c r="G520" s="4">
        <v>1933.07104</v>
      </c>
      <c r="H520" s="20">
        <v>0</v>
      </c>
      <c r="J520" t="s">
        <v>22</v>
      </c>
      <c r="T520" s="14"/>
    </row>
    <row r="521" spans="1:20" x14ac:dyDescent="0.2">
      <c r="A521">
        <v>1391</v>
      </c>
      <c r="B521" s="1">
        <v>46228</v>
      </c>
      <c r="C521" s="2">
        <v>0.50403935185185189</v>
      </c>
      <c r="D521" t="s">
        <v>25</v>
      </c>
      <c r="E521" s="10" t="s">
        <v>33</v>
      </c>
      <c r="F521" s="11">
        <v>89.309070749</v>
      </c>
      <c r="G521" s="4">
        <v>1964.99866</v>
      </c>
      <c r="H521" s="20">
        <v>1</v>
      </c>
      <c r="I521" s="17" t="s">
        <v>40</v>
      </c>
      <c r="J521" t="s">
        <v>22</v>
      </c>
      <c r="K521" s="11">
        <v>91.73484732</v>
      </c>
      <c r="L521" s="11">
        <v>40.300239599999998</v>
      </c>
      <c r="M521" s="11">
        <v>-7.5453715299999997</v>
      </c>
      <c r="N521" s="11">
        <v>61.487448127999997</v>
      </c>
      <c r="O521" s="11">
        <v>3236.9892599999998</v>
      </c>
      <c r="P521" s="11">
        <v>347</v>
      </c>
      <c r="Q521" s="11">
        <v>1.49192798</v>
      </c>
      <c r="R521" s="11">
        <v>1.6742947100000001</v>
      </c>
      <c r="S521" s="11">
        <v>102.948113572</v>
      </c>
      <c r="T521" s="14">
        <v>0.89107849099999903</v>
      </c>
    </row>
    <row r="522" spans="1:20" x14ac:dyDescent="0.2">
      <c r="A522">
        <v>5</v>
      </c>
      <c r="B522" s="1">
        <v>46193</v>
      </c>
      <c r="C522" s="2">
        <v>0.79967592592592596</v>
      </c>
      <c r="D522" t="s">
        <v>18</v>
      </c>
      <c r="E522" s="10" t="s">
        <v>37</v>
      </c>
      <c r="F522" s="11">
        <v>74.445398073999996</v>
      </c>
      <c r="G522" s="4">
        <v>2217.4929200000001</v>
      </c>
      <c r="H522" s="20">
        <v>0</v>
      </c>
      <c r="J522" t="s">
        <v>20</v>
      </c>
    </row>
    <row r="523" spans="1:20" x14ac:dyDescent="0.2">
      <c r="A523">
        <v>6</v>
      </c>
      <c r="B523" s="1">
        <v>46193</v>
      </c>
      <c r="C523" s="2">
        <v>0.79986111111111113</v>
      </c>
      <c r="D523" t="s">
        <v>18</v>
      </c>
      <c r="E523" s="10" t="s">
        <v>33</v>
      </c>
      <c r="F523" s="11">
        <v>84.735632950999999</v>
      </c>
      <c r="G523" s="4">
        <v>1159.7811300000001</v>
      </c>
      <c r="H523" s="20">
        <v>1</v>
      </c>
      <c r="I523" s="17" t="s">
        <v>38</v>
      </c>
      <c r="J523" t="s">
        <v>20</v>
      </c>
      <c r="K523" s="11">
        <v>67.705513038000007</v>
      </c>
      <c r="L523" s="11">
        <v>38.610313400000003</v>
      </c>
      <c r="N523" s="11">
        <v>67.908595508999994</v>
      </c>
      <c r="Q523" s="11">
        <v>0.99700945600000002</v>
      </c>
      <c r="R523" s="11">
        <v>1.4923922999999999</v>
      </c>
      <c r="S523" s="11">
        <v>101.346263388</v>
      </c>
      <c r="T523" s="11">
        <v>0.66806121799999996</v>
      </c>
    </row>
    <row r="524" spans="1:20" x14ac:dyDescent="0.2">
      <c r="A524">
        <v>7</v>
      </c>
      <c r="B524" s="1">
        <v>46193</v>
      </c>
      <c r="C524" s="2">
        <v>0.80012731481481481</v>
      </c>
      <c r="D524" t="s">
        <v>18</v>
      </c>
      <c r="E524" s="10" t="s">
        <v>33</v>
      </c>
      <c r="F524" s="11">
        <v>81.369076035000006</v>
      </c>
      <c r="G524" s="4">
        <v>1434.2364500000001</v>
      </c>
      <c r="H524" s="20">
        <v>0</v>
      </c>
      <c r="J524" t="s">
        <v>20</v>
      </c>
    </row>
    <row r="525" spans="1:20" x14ac:dyDescent="0.2">
      <c r="A525">
        <v>8</v>
      </c>
      <c r="B525" s="1">
        <v>46193</v>
      </c>
      <c r="C525" s="2">
        <v>0.80032407407407402</v>
      </c>
      <c r="D525" t="s">
        <v>18</v>
      </c>
      <c r="E525" s="10" t="s">
        <v>37</v>
      </c>
      <c r="F525" s="11">
        <v>74.572440827999998</v>
      </c>
      <c r="G525" s="4">
        <v>2281.04468</v>
      </c>
      <c r="H525" s="20">
        <v>0</v>
      </c>
      <c r="J525" t="s">
        <v>20</v>
      </c>
    </row>
    <row r="526" spans="1:20" x14ac:dyDescent="0.2">
      <c r="A526">
        <v>9</v>
      </c>
      <c r="B526" s="1">
        <v>46193</v>
      </c>
      <c r="C526" s="2">
        <v>0.80052083333333335</v>
      </c>
      <c r="D526" t="s">
        <v>18</v>
      </c>
      <c r="E526" s="10" t="s">
        <v>33</v>
      </c>
      <c r="F526" s="11">
        <v>85.180274311999995</v>
      </c>
      <c r="G526" s="4">
        <v>2337.9057600000001</v>
      </c>
      <c r="H526" s="20">
        <v>0</v>
      </c>
      <c r="I526" s="17" t="s">
        <v>48</v>
      </c>
      <c r="J526" t="s">
        <v>20</v>
      </c>
    </row>
    <row r="527" spans="1:20" x14ac:dyDescent="0.2">
      <c r="A527">
        <v>10</v>
      </c>
      <c r="B527" s="1">
        <v>46193</v>
      </c>
      <c r="C527" s="2">
        <v>0.80074074074074075</v>
      </c>
      <c r="D527" t="s">
        <v>18</v>
      </c>
      <c r="E527" s="10" t="s">
        <v>33</v>
      </c>
      <c r="F527" s="11">
        <v>85.053227978999999</v>
      </c>
      <c r="G527" s="4">
        <v>1171.7508499999999</v>
      </c>
      <c r="H527" s="20">
        <v>1</v>
      </c>
      <c r="I527" s="17" t="s">
        <v>40</v>
      </c>
      <c r="J527" t="s">
        <v>20</v>
      </c>
      <c r="K527" s="11">
        <v>91.220020078999994</v>
      </c>
      <c r="L527" s="11">
        <v>12.125843</v>
      </c>
      <c r="N527" s="11">
        <v>72.656857908000006</v>
      </c>
      <c r="P527" s="11">
        <v>224</v>
      </c>
      <c r="Q527" s="11">
        <v>1.2554909000000001</v>
      </c>
      <c r="R527" s="11">
        <v>1.4729228000000001</v>
      </c>
      <c r="S527" s="11">
        <v>107.017945494</v>
      </c>
      <c r="T527" s="11">
        <v>0.85238060000000004</v>
      </c>
    </row>
    <row r="528" spans="1:20" x14ac:dyDescent="0.2">
      <c r="A528">
        <v>39</v>
      </c>
      <c r="B528" s="1">
        <v>46193</v>
      </c>
      <c r="C528" s="2">
        <v>0.8134837962962963</v>
      </c>
      <c r="D528" t="s">
        <v>21</v>
      </c>
      <c r="E528" s="10" t="s">
        <v>37</v>
      </c>
      <c r="F528" s="11">
        <v>71.968123433000002</v>
      </c>
      <c r="G528" s="4">
        <v>1088.6904300000001</v>
      </c>
      <c r="H528" s="20">
        <v>1</v>
      </c>
      <c r="I528" s="17" t="s">
        <v>39</v>
      </c>
      <c r="J528" t="s">
        <v>20</v>
      </c>
      <c r="N528" s="11">
        <v>72.544475137999996</v>
      </c>
    </row>
    <row r="529" spans="1:20" x14ac:dyDescent="0.2">
      <c r="A529">
        <v>40</v>
      </c>
      <c r="B529" s="1">
        <v>46193</v>
      </c>
      <c r="C529" s="2">
        <v>0.81370370370370371</v>
      </c>
      <c r="D529" t="s">
        <v>21</v>
      </c>
      <c r="E529" s="10" t="s">
        <v>35</v>
      </c>
      <c r="F529" s="11">
        <v>72.285721816999995</v>
      </c>
      <c r="G529" s="4">
        <v>425.70111100000003</v>
      </c>
      <c r="H529" s="20">
        <v>1</v>
      </c>
      <c r="I529" s="17" t="s">
        <v>39</v>
      </c>
      <c r="J529" t="s">
        <v>20</v>
      </c>
      <c r="N529" s="11">
        <v>74.539306213000003</v>
      </c>
    </row>
    <row r="530" spans="1:20" x14ac:dyDescent="0.2">
      <c r="A530">
        <v>41</v>
      </c>
      <c r="B530" s="1">
        <v>46193</v>
      </c>
      <c r="C530" s="2">
        <v>0.8139467592592593</v>
      </c>
      <c r="D530" t="s">
        <v>21</v>
      </c>
      <c r="E530" s="10" t="s">
        <v>37</v>
      </c>
      <c r="F530" s="11">
        <v>72.476279012999996</v>
      </c>
      <c r="G530" s="4">
        <v>2208.1242699999998</v>
      </c>
      <c r="H530" s="20">
        <v>1</v>
      </c>
      <c r="I530" s="17" t="s">
        <v>45</v>
      </c>
      <c r="J530" t="s">
        <v>20</v>
      </c>
      <c r="N530" s="11">
        <v>66.784747230999997</v>
      </c>
    </row>
    <row r="531" spans="1:20" x14ac:dyDescent="0.2">
      <c r="A531">
        <v>65</v>
      </c>
      <c r="B531" s="1">
        <v>46193</v>
      </c>
      <c r="C531" s="2">
        <v>0.83199074074074075</v>
      </c>
      <c r="D531" t="s">
        <v>21</v>
      </c>
      <c r="E531" s="10" t="s">
        <v>46</v>
      </c>
      <c r="F531" s="11">
        <v>67.775801369999996</v>
      </c>
      <c r="G531" s="4">
        <v>484.56939699999998</v>
      </c>
      <c r="H531" s="20">
        <v>0</v>
      </c>
      <c r="J531" t="s">
        <v>20</v>
      </c>
    </row>
    <row r="532" spans="1:20" x14ac:dyDescent="0.2">
      <c r="A532">
        <v>66</v>
      </c>
      <c r="B532" s="1">
        <v>46193</v>
      </c>
      <c r="C532" s="2">
        <v>0.83232638888888888</v>
      </c>
      <c r="D532" t="s">
        <v>21</v>
      </c>
      <c r="E532" s="10" t="s">
        <v>37</v>
      </c>
      <c r="F532" s="11">
        <v>72.095157685999993</v>
      </c>
      <c r="G532" s="4">
        <v>2184.2080099999998</v>
      </c>
      <c r="H532" s="20">
        <v>1</v>
      </c>
      <c r="I532" s="17" t="s">
        <v>39</v>
      </c>
      <c r="J532" t="s">
        <v>20</v>
      </c>
      <c r="N532" s="11">
        <v>66.082342616000005</v>
      </c>
    </row>
    <row r="533" spans="1:20" x14ac:dyDescent="0.2">
      <c r="A533">
        <v>67</v>
      </c>
      <c r="B533" s="1">
        <v>46193</v>
      </c>
      <c r="C533" s="2">
        <v>0.83265046296296297</v>
      </c>
      <c r="D533" t="s">
        <v>21</v>
      </c>
      <c r="E533" s="10" t="s">
        <v>46</v>
      </c>
      <c r="F533" s="11">
        <v>69.935481652999997</v>
      </c>
      <c r="G533" s="4">
        <v>848.53832999999997</v>
      </c>
      <c r="H533" s="20">
        <v>1</v>
      </c>
      <c r="I533" s="17" t="s">
        <v>39</v>
      </c>
      <c r="J533" t="s">
        <v>20</v>
      </c>
      <c r="N533" s="11">
        <v>69.285313297000002</v>
      </c>
    </row>
    <row r="534" spans="1:20" x14ac:dyDescent="0.2">
      <c r="A534">
        <v>68</v>
      </c>
      <c r="B534" s="1">
        <v>46193</v>
      </c>
      <c r="C534" s="2">
        <v>0.83295138888888887</v>
      </c>
      <c r="D534" t="s">
        <v>21</v>
      </c>
      <c r="E534" s="10" t="s">
        <v>37</v>
      </c>
      <c r="F534" s="11">
        <v>73.349679713</v>
      </c>
      <c r="G534" s="4">
        <v>2246.1018100000001</v>
      </c>
      <c r="H534" s="20">
        <v>0</v>
      </c>
      <c r="J534" t="s">
        <v>20</v>
      </c>
    </row>
    <row r="535" spans="1:20" x14ac:dyDescent="0.2">
      <c r="A535">
        <v>69</v>
      </c>
      <c r="B535" s="1">
        <v>46193</v>
      </c>
      <c r="C535" s="2">
        <v>0.8332060185185185</v>
      </c>
      <c r="D535" t="s">
        <v>21</v>
      </c>
      <c r="E535" s="10" t="s">
        <v>33</v>
      </c>
      <c r="F535" s="11">
        <v>82.814153468000001</v>
      </c>
      <c r="G535" s="4">
        <v>2230.7722199999998</v>
      </c>
      <c r="H535" s="20">
        <v>1</v>
      </c>
      <c r="I535" s="17" t="s">
        <v>40</v>
      </c>
      <c r="J535" t="s">
        <v>20</v>
      </c>
      <c r="K535" s="11">
        <v>95.480697761000002</v>
      </c>
      <c r="L535" s="11">
        <v>11.794431700000001</v>
      </c>
      <c r="M535" s="11">
        <v>-26.042739900000001</v>
      </c>
      <c r="N535" s="11">
        <v>69.510082862999994</v>
      </c>
      <c r="O535" s="11">
        <v>1496.0067100000001</v>
      </c>
      <c r="P535" s="11">
        <v>207</v>
      </c>
      <c r="Q535" s="11">
        <v>1.37362373</v>
      </c>
      <c r="R535" s="11">
        <v>1.4865056299999999</v>
      </c>
      <c r="S535" s="11">
        <v>103.327125692</v>
      </c>
      <c r="T535" s="11">
        <v>0.92406227099999905</v>
      </c>
    </row>
    <row r="536" spans="1:20" x14ac:dyDescent="0.2">
      <c r="A536">
        <v>138</v>
      </c>
      <c r="B536" s="1">
        <v>46193</v>
      </c>
      <c r="C536" s="2">
        <v>0.85961805555555559</v>
      </c>
      <c r="D536" t="s">
        <v>34</v>
      </c>
      <c r="E536" s="10" t="s">
        <v>37</v>
      </c>
      <c r="F536" s="11">
        <v>75.763441254</v>
      </c>
      <c r="G536" s="4">
        <v>726.00543200000004</v>
      </c>
      <c r="H536" s="20">
        <v>1</v>
      </c>
      <c r="I536" s="17" t="s">
        <v>40</v>
      </c>
      <c r="J536" t="s">
        <v>20</v>
      </c>
      <c r="K536" s="11">
        <v>94.347441825000004</v>
      </c>
      <c r="L536" s="11">
        <v>19.3518276</v>
      </c>
      <c r="M536" s="11">
        <v>-5.5914983700000001</v>
      </c>
      <c r="N536" s="11">
        <v>70.914892092000002</v>
      </c>
      <c r="O536" s="11">
        <v>2176.1403799999998</v>
      </c>
      <c r="P536" s="11">
        <v>270</v>
      </c>
      <c r="Q536" s="11">
        <v>1.3304320599999999</v>
      </c>
      <c r="R536" s="11">
        <v>1.44712877</v>
      </c>
      <c r="S536" s="11">
        <v>102.622980293</v>
      </c>
      <c r="T536" s="11">
        <v>0.919359817999999</v>
      </c>
    </row>
    <row r="537" spans="1:20" x14ac:dyDescent="0.2">
      <c r="A537">
        <v>173</v>
      </c>
      <c r="B537" s="1">
        <v>46193</v>
      </c>
      <c r="C537" s="2">
        <v>0.88023148148148145</v>
      </c>
      <c r="D537" t="s">
        <v>28</v>
      </c>
      <c r="E537" s="10" t="s">
        <v>37</v>
      </c>
      <c r="F537" s="11">
        <v>72.539799047000002</v>
      </c>
      <c r="G537" s="4">
        <v>2399.1506300000001</v>
      </c>
      <c r="H537" s="20">
        <v>0</v>
      </c>
      <c r="J537" t="s">
        <v>20</v>
      </c>
    </row>
    <row r="538" spans="1:20" x14ac:dyDescent="0.2">
      <c r="A538">
        <v>174</v>
      </c>
      <c r="B538" s="1">
        <v>46193</v>
      </c>
      <c r="C538" s="2">
        <v>0.8806018518518518</v>
      </c>
      <c r="D538" t="s">
        <v>28</v>
      </c>
      <c r="E538" s="10" t="s">
        <v>33</v>
      </c>
      <c r="F538" s="11">
        <v>78.193074749999994</v>
      </c>
      <c r="G538" s="4">
        <v>2250.0163600000001</v>
      </c>
      <c r="H538" s="20">
        <v>0</v>
      </c>
      <c r="J538" t="s">
        <v>20</v>
      </c>
    </row>
    <row r="539" spans="1:20" x14ac:dyDescent="0.2">
      <c r="A539">
        <v>175</v>
      </c>
      <c r="B539" s="1">
        <v>46193</v>
      </c>
      <c r="C539" s="2">
        <v>0.88092592592592589</v>
      </c>
      <c r="D539" t="s">
        <v>28</v>
      </c>
      <c r="E539" s="10" t="s">
        <v>37</v>
      </c>
      <c r="F539" s="11">
        <v>74.254842444000005</v>
      </c>
      <c r="G539" s="4">
        <v>826.78729199999998</v>
      </c>
      <c r="H539" s="20">
        <v>1</v>
      </c>
      <c r="I539" s="17" t="s">
        <v>39</v>
      </c>
      <c r="J539" t="s">
        <v>20</v>
      </c>
      <c r="L539" s="11">
        <v>-64.6048203</v>
      </c>
      <c r="M539" s="11">
        <v>8.11265182</v>
      </c>
      <c r="N539" s="11">
        <v>61.418367293999999</v>
      </c>
      <c r="O539" s="11">
        <v>1192.04944</v>
      </c>
      <c r="P539" s="11">
        <v>5</v>
      </c>
    </row>
    <row r="540" spans="1:20" x14ac:dyDescent="0.2">
      <c r="A540">
        <v>176</v>
      </c>
      <c r="B540" s="1">
        <v>46193</v>
      </c>
      <c r="C540" s="2">
        <v>0.88138888888888889</v>
      </c>
      <c r="D540" t="s">
        <v>28</v>
      </c>
      <c r="E540" s="10" t="s">
        <v>37</v>
      </c>
      <c r="F540" s="11">
        <v>73.683158328999994</v>
      </c>
      <c r="G540" s="4">
        <v>2399.0546899999999</v>
      </c>
      <c r="H540" s="20">
        <v>1</v>
      </c>
      <c r="I540" s="17" t="s">
        <v>40</v>
      </c>
      <c r="J540" t="s">
        <v>20</v>
      </c>
      <c r="K540" s="11">
        <v>67.590327162999998</v>
      </c>
      <c r="L540" s="11">
        <v>16.1042843</v>
      </c>
      <c r="M540" s="11">
        <v>-10.1593122</v>
      </c>
      <c r="N540" s="11">
        <v>64.340376800000001</v>
      </c>
      <c r="O540" s="11">
        <v>1505.9328599999999</v>
      </c>
      <c r="P540" s="11">
        <v>146</v>
      </c>
      <c r="Q540" s="11">
        <v>1.05051184</v>
      </c>
      <c r="R540" s="11">
        <v>1.4745297399999999</v>
      </c>
      <c r="S540" s="11">
        <v>94.871800426999997</v>
      </c>
      <c r="T540" s="11">
        <v>0.71243858299999996</v>
      </c>
    </row>
    <row r="541" spans="1:20" x14ac:dyDescent="0.2">
      <c r="A541">
        <v>177</v>
      </c>
      <c r="B541" s="1">
        <v>46193</v>
      </c>
      <c r="C541" s="2">
        <v>0.88190972222222219</v>
      </c>
      <c r="D541" t="s">
        <v>28</v>
      </c>
      <c r="E541" s="10" t="s">
        <v>33</v>
      </c>
      <c r="F541" s="11">
        <v>77.351433396000004</v>
      </c>
      <c r="G541" s="4">
        <v>2203.2800000000002</v>
      </c>
      <c r="H541" s="20">
        <v>0</v>
      </c>
      <c r="J541" t="s">
        <v>20</v>
      </c>
    </row>
    <row r="542" spans="1:20" x14ac:dyDescent="0.2">
      <c r="A542">
        <v>203</v>
      </c>
      <c r="B542" s="1">
        <v>46197</v>
      </c>
      <c r="C542" s="2">
        <v>0.58138888888888884</v>
      </c>
      <c r="D542" t="s">
        <v>25</v>
      </c>
      <c r="E542" s="10" t="s">
        <v>33</v>
      </c>
      <c r="F542" s="11">
        <v>84.100436182999999</v>
      </c>
      <c r="G542" s="4">
        <v>1768.45667</v>
      </c>
      <c r="H542" s="20">
        <v>0</v>
      </c>
      <c r="J542" t="s">
        <v>20</v>
      </c>
    </row>
    <row r="543" spans="1:20" x14ac:dyDescent="0.2">
      <c r="A543">
        <v>204</v>
      </c>
      <c r="B543" s="1">
        <v>46197</v>
      </c>
      <c r="C543" s="2">
        <v>0.58166666666666667</v>
      </c>
      <c r="D543" t="s">
        <v>25</v>
      </c>
      <c r="E543" s="10" t="s">
        <v>33</v>
      </c>
      <c r="F543" s="11">
        <v>84.354513190000006</v>
      </c>
      <c r="G543" s="4">
        <v>1861.48218</v>
      </c>
      <c r="H543" s="20">
        <v>0</v>
      </c>
      <c r="J543" t="s">
        <v>20</v>
      </c>
    </row>
    <row r="544" spans="1:20" x14ac:dyDescent="0.2">
      <c r="A544">
        <v>205</v>
      </c>
      <c r="B544" s="1">
        <v>46197</v>
      </c>
      <c r="C544" s="2">
        <v>0.58193287037037034</v>
      </c>
      <c r="D544" t="s">
        <v>25</v>
      </c>
      <c r="E544" s="10" t="s">
        <v>37</v>
      </c>
      <c r="F544" s="11">
        <v>72.031636309999996</v>
      </c>
      <c r="G544" s="4">
        <v>2133.8015099999998</v>
      </c>
      <c r="H544" s="20">
        <v>0</v>
      </c>
      <c r="J544" t="s">
        <v>20</v>
      </c>
    </row>
    <row r="545" spans="1:20" x14ac:dyDescent="0.2">
      <c r="A545">
        <v>206</v>
      </c>
      <c r="B545" s="1">
        <v>46197</v>
      </c>
      <c r="C545" s="2">
        <v>0.58215277777777774</v>
      </c>
      <c r="D545" t="s">
        <v>25</v>
      </c>
      <c r="E545" s="10" t="s">
        <v>33</v>
      </c>
      <c r="F545" s="11">
        <v>84.608590196999998</v>
      </c>
      <c r="G545" s="4">
        <v>1727.3607199999999</v>
      </c>
      <c r="H545" s="20">
        <v>0</v>
      </c>
      <c r="I545" s="17" t="s">
        <v>48</v>
      </c>
      <c r="J545" t="s">
        <v>20</v>
      </c>
    </row>
    <row r="546" spans="1:20" x14ac:dyDescent="0.2">
      <c r="A546">
        <v>207</v>
      </c>
      <c r="B546" s="1">
        <v>46197</v>
      </c>
      <c r="C546" s="2">
        <v>0.58241898148148152</v>
      </c>
      <c r="D546" t="s">
        <v>25</v>
      </c>
      <c r="E546" s="10" t="s">
        <v>33</v>
      </c>
      <c r="F546" s="11">
        <v>86.387154969999997</v>
      </c>
      <c r="G546" s="4">
        <v>2073.0373500000001</v>
      </c>
      <c r="H546" s="20">
        <v>1</v>
      </c>
      <c r="I546" s="17" t="s">
        <v>40</v>
      </c>
      <c r="J546" t="s">
        <v>20</v>
      </c>
      <c r="K546" s="11">
        <v>71.341365953999997</v>
      </c>
      <c r="L546" s="11">
        <v>-15.3352518</v>
      </c>
      <c r="M546" s="11">
        <v>-44.702911399999998</v>
      </c>
      <c r="N546" s="11">
        <v>70.690122525999996</v>
      </c>
      <c r="P546" s="11">
        <v>10</v>
      </c>
      <c r="Q546" s="11">
        <v>1.0092126100000001</v>
      </c>
      <c r="R546" s="11">
        <v>1.4930855000000001</v>
      </c>
      <c r="S546" s="11">
        <v>105.54639795</v>
      </c>
      <c r="T546" s="11">
        <v>0.67592422499999905</v>
      </c>
    </row>
    <row r="547" spans="1:20" x14ac:dyDescent="0.2">
      <c r="A547">
        <v>243</v>
      </c>
      <c r="B547" s="1">
        <v>46197</v>
      </c>
      <c r="C547" s="2">
        <v>0.59738425925925931</v>
      </c>
      <c r="D547" t="s">
        <v>25</v>
      </c>
      <c r="E547" s="10" t="s">
        <v>33</v>
      </c>
      <c r="F547" s="11">
        <v>84.068675494999994</v>
      </c>
      <c r="G547" s="4">
        <v>2008.2608600000001</v>
      </c>
      <c r="H547" s="20">
        <v>1</v>
      </c>
      <c r="I547" s="17" t="s">
        <v>40</v>
      </c>
      <c r="J547" t="s">
        <v>20</v>
      </c>
      <c r="K547" s="11">
        <v>99.389482146999995</v>
      </c>
      <c r="L547" s="11">
        <v>-12.0958519</v>
      </c>
      <c r="M547" s="11">
        <v>-30.305170100000002</v>
      </c>
      <c r="N547" s="11">
        <v>71.420626859999999</v>
      </c>
      <c r="O547" s="11">
        <v>1836.4064900000001</v>
      </c>
      <c r="Q547" s="11">
        <v>1.39160752</v>
      </c>
      <c r="R547" s="11">
        <v>1.4814782099999999</v>
      </c>
      <c r="S547" s="11">
        <v>105.80810357999999</v>
      </c>
      <c r="T547" s="11">
        <v>0.93933715799999995</v>
      </c>
    </row>
    <row r="548" spans="1:20" s="155" customFormat="1" x14ac:dyDescent="0.2">
      <c r="A548" s="155">
        <v>283</v>
      </c>
      <c r="B548" s="156">
        <v>46197</v>
      </c>
      <c r="C548" s="157">
        <v>0.61406249999999996</v>
      </c>
      <c r="D548" s="155" t="s">
        <v>28</v>
      </c>
      <c r="E548" s="158" t="s">
        <v>37</v>
      </c>
      <c r="F548" s="159">
        <v>73.857842227000006</v>
      </c>
      <c r="G548" s="160">
        <v>1192.5979</v>
      </c>
      <c r="H548" s="161">
        <v>1</v>
      </c>
      <c r="I548" s="162" t="s">
        <v>38</v>
      </c>
      <c r="J548" s="155" t="s">
        <v>20</v>
      </c>
      <c r="K548" s="159"/>
      <c r="L548" s="159"/>
      <c r="M548" s="159"/>
      <c r="N548" s="159">
        <v>65.408033693999997</v>
      </c>
      <c r="O548" s="159"/>
      <c r="P548" s="159"/>
      <c r="Q548" s="159"/>
      <c r="R548" s="159"/>
      <c r="S548" s="159"/>
      <c r="T548" s="159"/>
    </row>
    <row r="549" spans="1:20" x14ac:dyDescent="0.2">
      <c r="A549">
        <v>284</v>
      </c>
      <c r="B549" s="1">
        <v>46197</v>
      </c>
      <c r="C549" s="2">
        <v>0.61458333333333337</v>
      </c>
      <c r="D549" t="s">
        <v>28</v>
      </c>
      <c r="E549" s="10" t="s">
        <v>37</v>
      </c>
      <c r="F549" s="11">
        <v>73.222636735999998</v>
      </c>
      <c r="G549" s="4">
        <v>2425.2949199999998</v>
      </c>
      <c r="H549" s="20">
        <v>0</v>
      </c>
      <c r="J549" t="s">
        <v>20</v>
      </c>
    </row>
    <row r="550" spans="1:20" x14ac:dyDescent="0.2">
      <c r="A550">
        <v>285</v>
      </c>
      <c r="B550" s="1">
        <v>46197</v>
      </c>
      <c r="C550" s="2">
        <v>0.61478009259259259</v>
      </c>
      <c r="D550" t="s">
        <v>28</v>
      </c>
      <c r="E550" s="10" t="s">
        <v>33</v>
      </c>
      <c r="F550" s="11">
        <v>77.494356605999997</v>
      </c>
      <c r="G550" s="4">
        <v>2193.4067399999999</v>
      </c>
      <c r="H550" s="20">
        <v>1</v>
      </c>
      <c r="I550" s="17" t="s">
        <v>38</v>
      </c>
      <c r="J550" t="s">
        <v>20</v>
      </c>
      <c r="N550" s="11">
        <v>70.465352736</v>
      </c>
    </row>
    <row r="551" spans="1:20" x14ac:dyDescent="0.2">
      <c r="A551">
        <v>286</v>
      </c>
      <c r="B551" s="1">
        <v>46197</v>
      </c>
      <c r="C551" s="2">
        <v>0.61505787037037041</v>
      </c>
      <c r="D551" t="s">
        <v>28</v>
      </c>
      <c r="E551" s="10" t="s">
        <v>37</v>
      </c>
      <c r="F551" s="11">
        <v>73.603756720000007</v>
      </c>
      <c r="G551" s="4">
        <v>2372.4421400000001</v>
      </c>
      <c r="H551" s="20">
        <v>1</v>
      </c>
      <c r="I551" s="17" t="s">
        <v>45</v>
      </c>
      <c r="J551" t="s">
        <v>20</v>
      </c>
      <c r="N551" s="11">
        <v>60.463093170999997</v>
      </c>
    </row>
    <row r="552" spans="1:20" x14ac:dyDescent="0.2">
      <c r="A552">
        <v>316</v>
      </c>
      <c r="B552" s="8">
        <v>46200</v>
      </c>
      <c r="C552" s="9">
        <v>0.73850694444444442</v>
      </c>
      <c r="D552" s="7" t="s">
        <v>18</v>
      </c>
      <c r="E552" s="13" t="s">
        <v>36</v>
      </c>
      <c r="F552" s="16">
        <v>75.525236000000007</v>
      </c>
      <c r="G552" s="129">
        <v>553.326233</v>
      </c>
      <c r="H552" s="22">
        <v>0</v>
      </c>
      <c r="I552" s="19"/>
      <c r="J552" s="7" t="s">
        <v>20</v>
      </c>
      <c r="K552" s="16"/>
      <c r="L552" s="16"/>
      <c r="M552" s="16"/>
      <c r="N552" s="16"/>
      <c r="O552" s="16"/>
      <c r="P552" s="16"/>
      <c r="Q552" s="16"/>
      <c r="R552" s="16"/>
      <c r="S552" s="16"/>
      <c r="T552" s="16"/>
    </row>
    <row r="553" spans="1:20" x14ac:dyDescent="0.2">
      <c r="A553">
        <v>317</v>
      </c>
      <c r="B553" s="8">
        <v>46200</v>
      </c>
      <c r="C553" s="9">
        <v>0.73875000000000002</v>
      </c>
      <c r="D553" s="7" t="s">
        <v>18</v>
      </c>
      <c r="E553" s="13" t="s">
        <v>36</v>
      </c>
      <c r="F553" s="16">
        <v>77.176758000000007</v>
      </c>
      <c r="G553" s="129">
        <v>778.66064500000005</v>
      </c>
      <c r="H553" s="22">
        <v>1</v>
      </c>
      <c r="I553" s="19" t="s">
        <v>38</v>
      </c>
      <c r="J553" s="7" t="s">
        <v>20</v>
      </c>
      <c r="K553" s="16"/>
      <c r="L553" s="16"/>
      <c r="M553" s="16"/>
      <c r="N553" s="16">
        <v>69.762948100000003</v>
      </c>
      <c r="O553" s="16"/>
      <c r="P553" s="16"/>
      <c r="Q553" s="16"/>
      <c r="R553" s="16"/>
      <c r="S553" s="16"/>
      <c r="T553" s="16"/>
    </row>
    <row r="554" spans="1:20" x14ac:dyDescent="0.2">
      <c r="A554">
        <v>318</v>
      </c>
      <c r="B554" s="8">
        <v>46200</v>
      </c>
      <c r="C554" s="9">
        <v>0.73896990740740742</v>
      </c>
      <c r="D554" s="7" t="s">
        <v>18</v>
      </c>
      <c r="E554" s="13" t="s">
        <v>37</v>
      </c>
      <c r="F554" s="16">
        <v>72.412756099999996</v>
      </c>
      <c r="G554" s="129">
        <v>1052.8978300000001</v>
      </c>
      <c r="H554" s="22">
        <v>1</v>
      </c>
      <c r="I554" s="19"/>
      <c r="J554" s="7" t="s">
        <v>20</v>
      </c>
      <c r="K554" s="16"/>
      <c r="L554" s="16"/>
      <c r="M554" s="16"/>
      <c r="N554" s="16"/>
      <c r="O554" s="16"/>
      <c r="P554" s="16"/>
      <c r="Q554" s="16"/>
      <c r="R554" s="16"/>
      <c r="S554" s="16"/>
      <c r="T554" s="16"/>
    </row>
    <row r="555" spans="1:20" x14ac:dyDescent="0.2">
      <c r="A555">
        <v>319</v>
      </c>
      <c r="B555" s="8">
        <v>46200</v>
      </c>
      <c r="C555" s="9">
        <v>0.73927083333333332</v>
      </c>
      <c r="D555" s="7" t="s">
        <v>18</v>
      </c>
      <c r="E555" s="13" t="s">
        <v>37</v>
      </c>
      <c r="F555" s="16">
        <v>72.9685597</v>
      </c>
      <c r="G555" s="129">
        <v>2247.4479999999999</v>
      </c>
      <c r="H555" s="22">
        <v>0</v>
      </c>
      <c r="I555" s="19"/>
      <c r="J555" s="7" t="s">
        <v>20</v>
      </c>
      <c r="K555" s="16"/>
      <c r="L555" s="16"/>
      <c r="M555" s="16"/>
      <c r="N555" s="16"/>
      <c r="O555" s="16"/>
      <c r="P555" s="16"/>
      <c r="Q555" s="16"/>
      <c r="R555" s="16"/>
      <c r="S555" s="16"/>
      <c r="T555" s="16"/>
    </row>
    <row r="556" spans="1:20" x14ac:dyDescent="0.2">
      <c r="A556">
        <v>320</v>
      </c>
      <c r="B556" s="8">
        <v>46200</v>
      </c>
      <c r="C556" s="9">
        <v>0.73946759259259254</v>
      </c>
      <c r="D556" s="7" t="s">
        <v>18</v>
      </c>
      <c r="E556" s="13" t="s">
        <v>36</v>
      </c>
      <c r="F556" s="16">
        <v>77.621399400000001</v>
      </c>
      <c r="G556" s="129">
        <v>2247.8789099999999</v>
      </c>
      <c r="H556" s="22">
        <v>1</v>
      </c>
      <c r="I556" s="19" t="s">
        <v>38</v>
      </c>
      <c r="J556" s="7" t="s">
        <v>20</v>
      </c>
      <c r="K556" s="16">
        <v>98.446397500000003</v>
      </c>
      <c r="L556" s="16">
        <v>35.019641900000003</v>
      </c>
      <c r="M556" s="16">
        <v>-36.598788999999996</v>
      </c>
      <c r="N556" s="16">
        <v>66.026146999999995</v>
      </c>
      <c r="O556" s="16"/>
      <c r="P556" s="16">
        <v>372</v>
      </c>
      <c r="Q556" s="16">
        <v>1.49102139</v>
      </c>
      <c r="R556" s="16">
        <v>1.48241377</v>
      </c>
      <c r="S556" s="16">
        <v>97.878067299999998</v>
      </c>
      <c r="T556" s="16">
        <v>1</v>
      </c>
    </row>
    <row r="557" spans="1:20" x14ac:dyDescent="0.2">
      <c r="A557">
        <v>321</v>
      </c>
      <c r="B557" s="8">
        <v>46200</v>
      </c>
      <c r="C557" s="9">
        <v>0.7397569444444444</v>
      </c>
      <c r="D557" s="7" t="s">
        <v>18</v>
      </c>
      <c r="E557" s="13" t="s">
        <v>37</v>
      </c>
      <c r="F557" s="16">
        <v>66.997681400000005</v>
      </c>
      <c r="G557" s="129">
        <v>2256.7597700000001</v>
      </c>
      <c r="H557" s="22">
        <v>0</v>
      </c>
      <c r="I557" s="19"/>
      <c r="J557" s="7" t="s">
        <v>20</v>
      </c>
      <c r="K557" s="16"/>
      <c r="L557" s="16"/>
      <c r="M557" s="16"/>
      <c r="N557" s="16"/>
      <c r="O557" s="16"/>
      <c r="P557" s="16"/>
      <c r="Q557" s="16"/>
      <c r="R557" s="16"/>
      <c r="S557" s="16"/>
      <c r="T557" s="16"/>
    </row>
    <row r="558" spans="1:20" x14ac:dyDescent="0.2">
      <c r="A558">
        <v>322</v>
      </c>
      <c r="B558" s="8">
        <v>46200</v>
      </c>
      <c r="C558" s="9">
        <v>0.74005787037037041</v>
      </c>
      <c r="D558" s="7" t="s">
        <v>18</v>
      </c>
      <c r="E558" s="13" t="s">
        <v>37</v>
      </c>
      <c r="F558" s="16">
        <v>72.730363199999999</v>
      </c>
      <c r="G558" s="129">
        <v>2251.73657</v>
      </c>
      <c r="H558" s="22">
        <v>0</v>
      </c>
      <c r="I558" s="19" t="s">
        <v>48</v>
      </c>
      <c r="J558" s="7" t="s">
        <v>20</v>
      </c>
      <c r="K558" s="16"/>
      <c r="L558" s="16"/>
      <c r="M558" s="16"/>
      <c r="N558" s="16"/>
      <c r="O558" s="16"/>
      <c r="P558" s="16"/>
      <c r="Q558" s="16"/>
      <c r="R558" s="16"/>
      <c r="S558" s="16"/>
      <c r="T558" s="16"/>
    </row>
    <row r="559" spans="1:20" x14ac:dyDescent="0.2">
      <c r="A559">
        <v>323</v>
      </c>
      <c r="B559" s="8">
        <v>46200</v>
      </c>
      <c r="C559" s="9">
        <v>0.74020833333333336</v>
      </c>
      <c r="D559" s="7" t="s">
        <v>18</v>
      </c>
      <c r="E559" s="13" t="s">
        <v>33</v>
      </c>
      <c r="F559" s="16">
        <v>84.719752700000001</v>
      </c>
      <c r="G559" s="129">
        <v>2449.28467</v>
      </c>
      <c r="H559" s="22">
        <v>1</v>
      </c>
      <c r="I559" s="19" t="s">
        <v>39</v>
      </c>
      <c r="J559" s="7" t="s">
        <v>20</v>
      </c>
      <c r="K559" s="16"/>
      <c r="L559" s="16"/>
      <c r="M559" s="16"/>
      <c r="N559" s="16">
        <v>67.655730000000005</v>
      </c>
      <c r="O559" s="16"/>
      <c r="P559" s="16"/>
      <c r="Q559" s="16"/>
      <c r="R559" s="16"/>
      <c r="S559" s="16"/>
      <c r="T559" s="16"/>
    </row>
    <row r="560" spans="1:20" x14ac:dyDescent="0.2">
      <c r="A560">
        <v>347</v>
      </c>
      <c r="B560" s="8">
        <v>46200</v>
      </c>
      <c r="C560" s="9">
        <v>0.75063657407407403</v>
      </c>
      <c r="D560" s="7" t="s">
        <v>18</v>
      </c>
      <c r="E560" s="13" t="s">
        <v>33</v>
      </c>
      <c r="F560" s="16">
        <v>84.926197099999996</v>
      </c>
      <c r="G560" s="129">
        <v>2294.1567399999999</v>
      </c>
      <c r="H560" s="22">
        <v>0</v>
      </c>
      <c r="I560" s="19"/>
      <c r="J560" s="7" t="s">
        <v>20</v>
      </c>
      <c r="K560" s="16"/>
      <c r="L560" s="16"/>
      <c r="M560" s="16"/>
      <c r="N560" s="16"/>
      <c r="O560" s="16"/>
      <c r="P560" s="16"/>
      <c r="Q560" s="16"/>
      <c r="R560" s="16"/>
      <c r="S560" s="16"/>
      <c r="T560" s="16"/>
    </row>
    <row r="561" spans="1:20" x14ac:dyDescent="0.2">
      <c r="A561">
        <v>348</v>
      </c>
      <c r="B561" s="8">
        <v>46200</v>
      </c>
      <c r="C561" s="9">
        <v>0.75081018518518516</v>
      </c>
      <c r="D561" s="7" t="s">
        <v>18</v>
      </c>
      <c r="E561" s="13" t="s">
        <v>36</v>
      </c>
      <c r="F561" s="16">
        <v>77.303801000000007</v>
      </c>
      <c r="G561" s="129">
        <v>326.81991599999998</v>
      </c>
      <c r="H561" s="22">
        <v>1</v>
      </c>
      <c r="I561" s="19" t="s">
        <v>38</v>
      </c>
      <c r="J561" s="7" t="s">
        <v>20</v>
      </c>
      <c r="K561" s="16"/>
      <c r="L561" s="16"/>
      <c r="M561" s="16"/>
      <c r="N561" s="16">
        <v>71.926361900000003</v>
      </c>
      <c r="O561" s="16"/>
      <c r="P561" s="16"/>
      <c r="Q561" s="16"/>
      <c r="R561" s="16"/>
      <c r="S561" s="16"/>
      <c r="T561" s="16"/>
    </row>
    <row r="562" spans="1:20" x14ac:dyDescent="0.2">
      <c r="A562">
        <v>349</v>
      </c>
      <c r="B562" s="8">
        <v>46200</v>
      </c>
      <c r="C562" s="9">
        <v>0.75105324074074076</v>
      </c>
      <c r="D562" s="7" t="s">
        <v>18</v>
      </c>
      <c r="E562" s="13" t="s">
        <v>33</v>
      </c>
      <c r="F562" s="16">
        <v>85.053228000000004</v>
      </c>
      <c r="G562" s="129">
        <v>1216.87195</v>
      </c>
      <c r="H562" s="22">
        <v>1</v>
      </c>
      <c r="I562" s="19"/>
      <c r="J562" s="7" t="s">
        <v>20</v>
      </c>
      <c r="K562" s="16"/>
      <c r="L562" s="16"/>
      <c r="M562" s="16"/>
      <c r="N562" s="16"/>
      <c r="O562" s="16"/>
      <c r="P562" s="16"/>
      <c r="Q562" s="16"/>
      <c r="R562" s="16"/>
      <c r="S562" s="16"/>
      <c r="T562" s="16"/>
    </row>
    <row r="563" spans="1:20" x14ac:dyDescent="0.2">
      <c r="A563">
        <v>350</v>
      </c>
      <c r="B563" s="8">
        <v>46200</v>
      </c>
      <c r="C563" s="9">
        <v>0.75129629629629635</v>
      </c>
      <c r="D563" s="7" t="s">
        <v>18</v>
      </c>
      <c r="E563" s="13" t="s">
        <v>37</v>
      </c>
      <c r="F563" s="16">
        <v>72.857397399999996</v>
      </c>
      <c r="G563" s="129">
        <v>1148.7955300000001</v>
      </c>
      <c r="H563" s="22">
        <v>0</v>
      </c>
      <c r="I563" s="19"/>
      <c r="J563" s="7" t="s">
        <v>20</v>
      </c>
      <c r="K563" s="16"/>
      <c r="L563" s="16"/>
      <c r="M563" s="16"/>
      <c r="N563" s="16"/>
      <c r="O563" s="16"/>
      <c r="P563" s="16"/>
      <c r="Q563" s="16"/>
      <c r="R563" s="16"/>
      <c r="S563" s="16"/>
      <c r="T563" s="16"/>
    </row>
    <row r="564" spans="1:20" x14ac:dyDescent="0.2">
      <c r="A564">
        <v>351</v>
      </c>
      <c r="B564" s="8">
        <v>46200</v>
      </c>
      <c r="C564" s="9">
        <v>0.75160879629629629</v>
      </c>
      <c r="D564" s="7" t="s">
        <v>18</v>
      </c>
      <c r="E564" s="13" t="s">
        <v>33</v>
      </c>
      <c r="F564" s="16">
        <v>85.688436800000005</v>
      </c>
      <c r="G564" s="129">
        <v>2452.2656200000001</v>
      </c>
      <c r="H564" s="22">
        <v>1</v>
      </c>
      <c r="I564" s="19" t="s">
        <v>38</v>
      </c>
      <c r="J564" s="7" t="s">
        <v>20</v>
      </c>
      <c r="K564" s="16">
        <v>70.065877999999998</v>
      </c>
      <c r="L564" s="16">
        <v>-0.72788660000000005</v>
      </c>
      <c r="M564" s="16">
        <v>-44.820704999999997</v>
      </c>
      <c r="N564" s="16">
        <v>67.515247500000001</v>
      </c>
      <c r="O564" s="16"/>
      <c r="P564" s="16">
        <v>29</v>
      </c>
      <c r="Q564" s="16">
        <v>1.0377786200000001</v>
      </c>
      <c r="R564" s="16">
        <v>1.5084476499999999</v>
      </c>
      <c r="S564" s="16">
        <v>101.84321300000001</v>
      </c>
      <c r="T564" s="16">
        <v>0.68797783000000001</v>
      </c>
    </row>
    <row r="565" spans="1:20" x14ac:dyDescent="0.2">
      <c r="A565">
        <v>352</v>
      </c>
      <c r="B565" s="8">
        <v>46200</v>
      </c>
      <c r="C565" s="9">
        <v>0.75194444444444442</v>
      </c>
      <c r="D565" s="7" t="s">
        <v>18</v>
      </c>
      <c r="E565" s="13" t="s">
        <v>35</v>
      </c>
      <c r="F565" s="16">
        <v>80.733879299999998</v>
      </c>
      <c r="G565" s="129">
        <v>1681.3400899999999</v>
      </c>
      <c r="H565" s="22">
        <v>1</v>
      </c>
      <c r="I565" s="19" t="s">
        <v>38</v>
      </c>
      <c r="J565" s="7" t="s">
        <v>20</v>
      </c>
      <c r="K565" s="16"/>
      <c r="L565" s="16"/>
      <c r="M565" s="16"/>
      <c r="N565" s="16">
        <v>66.3352079</v>
      </c>
      <c r="O565" s="16"/>
      <c r="P565" s="16"/>
      <c r="Q565" s="16"/>
      <c r="R565" s="16"/>
      <c r="S565" s="16"/>
      <c r="T565" s="16"/>
    </row>
    <row r="566" spans="1:20" x14ac:dyDescent="0.2">
      <c r="A566">
        <v>353</v>
      </c>
      <c r="B566" s="8">
        <v>46200</v>
      </c>
      <c r="C566" s="9">
        <v>0.75228009259259254</v>
      </c>
      <c r="D566" s="7" t="s">
        <v>18</v>
      </c>
      <c r="E566" s="13" t="s">
        <v>36</v>
      </c>
      <c r="F566" s="16">
        <v>77.240281600000003</v>
      </c>
      <c r="G566" s="129">
        <v>749.14831500000003</v>
      </c>
      <c r="H566" s="22">
        <v>1</v>
      </c>
      <c r="I566" s="19" t="s">
        <v>38</v>
      </c>
      <c r="J566" s="7" t="s">
        <v>20</v>
      </c>
      <c r="K566" s="16"/>
      <c r="L566" s="16"/>
      <c r="M566" s="16"/>
      <c r="N566" s="16">
        <v>67.768117000000004</v>
      </c>
      <c r="O566" s="16"/>
      <c r="P566" s="16"/>
      <c r="Q566" s="16"/>
      <c r="R566" s="16"/>
      <c r="S566" s="16"/>
      <c r="T566" s="16"/>
    </row>
    <row r="567" spans="1:20" s="155" customFormat="1" x14ac:dyDescent="0.2">
      <c r="A567" s="155">
        <v>354</v>
      </c>
      <c r="B567" s="163">
        <v>46200</v>
      </c>
      <c r="C567" s="164">
        <v>0.7525694444444444</v>
      </c>
      <c r="D567" s="165" t="s">
        <v>18</v>
      </c>
      <c r="E567" s="166" t="s">
        <v>33</v>
      </c>
      <c r="F567" s="167">
        <v>85.053228000000004</v>
      </c>
      <c r="G567" s="168">
        <v>2403.6450199999999</v>
      </c>
      <c r="H567" s="169">
        <v>1</v>
      </c>
      <c r="I567" s="170" t="s">
        <v>38</v>
      </c>
      <c r="J567" s="165" t="s">
        <v>20</v>
      </c>
      <c r="K567" s="167"/>
      <c r="L567" s="167">
        <v>-65.415610999999998</v>
      </c>
      <c r="M567" s="167">
        <v>-16.252065999999999</v>
      </c>
      <c r="N567" s="167">
        <v>67.0095168</v>
      </c>
      <c r="O567" s="167"/>
      <c r="P567" s="167">
        <v>3</v>
      </c>
      <c r="Q567" s="167"/>
      <c r="R567" s="167"/>
      <c r="S567" s="167"/>
      <c r="T567" s="167"/>
    </row>
    <row r="568" spans="1:20" x14ac:dyDescent="0.2">
      <c r="A568">
        <v>355</v>
      </c>
      <c r="B568" s="8">
        <v>46200</v>
      </c>
      <c r="C568" s="9">
        <v>0.75282407407407403</v>
      </c>
      <c r="D568" s="7" t="s">
        <v>18</v>
      </c>
      <c r="E568" s="13" t="s">
        <v>37</v>
      </c>
      <c r="F568" s="16">
        <v>74.111919200000003</v>
      </c>
      <c r="G568" s="129">
        <v>1159.1673599999999</v>
      </c>
      <c r="H568" s="22">
        <v>1</v>
      </c>
      <c r="I568" s="19" t="s">
        <v>38</v>
      </c>
      <c r="J568" s="7" t="s">
        <v>20</v>
      </c>
      <c r="K568" s="16"/>
      <c r="L568" s="16"/>
      <c r="M568" s="16"/>
      <c r="N568" s="16">
        <v>59.7325929</v>
      </c>
      <c r="O568" s="16"/>
      <c r="P568" s="16"/>
      <c r="Q568" s="16"/>
      <c r="R568" s="16"/>
      <c r="S568" s="16"/>
      <c r="T568" s="16"/>
    </row>
    <row r="569" spans="1:20" x14ac:dyDescent="0.2">
      <c r="A569">
        <v>356</v>
      </c>
      <c r="B569" s="8">
        <v>46200</v>
      </c>
      <c r="C569" s="9">
        <v>0.75310185185185186</v>
      </c>
      <c r="D569" s="7" t="s">
        <v>18</v>
      </c>
      <c r="E569" s="13" t="s">
        <v>37</v>
      </c>
      <c r="F569" s="16">
        <v>74.508919500000005</v>
      </c>
      <c r="G569" s="129">
        <v>2295.3203100000001</v>
      </c>
      <c r="H569" s="22">
        <v>0</v>
      </c>
      <c r="I569" s="19"/>
      <c r="J569" s="7" t="s">
        <v>20</v>
      </c>
      <c r="K569" s="16"/>
      <c r="L569" s="16"/>
      <c r="M569" s="16"/>
      <c r="N569" s="16"/>
      <c r="O569" s="16"/>
      <c r="P569" s="16"/>
      <c r="Q569" s="16"/>
      <c r="R569" s="16"/>
      <c r="S569" s="16"/>
      <c r="T569" s="16"/>
    </row>
    <row r="570" spans="1:20" x14ac:dyDescent="0.2">
      <c r="A570">
        <v>357</v>
      </c>
      <c r="B570" s="8">
        <v>46200</v>
      </c>
      <c r="C570" s="9">
        <v>0.75339120370370372</v>
      </c>
      <c r="D570" s="7" t="s">
        <v>18</v>
      </c>
      <c r="E570" s="13" t="s">
        <v>37</v>
      </c>
      <c r="F570" s="16">
        <v>74.572440799999995</v>
      </c>
      <c r="G570" s="129">
        <v>2270.7216800000001</v>
      </c>
      <c r="H570" s="22">
        <v>0</v>
      </c>
      <c r="I570" s="19" t="s">
        <v>48</v>
      </c>
      <c r="J570" s="7" t="s">
        <v>20</v>
      </c>
      <c r="K570" s="16"/>
      <c r="L570" s="16"/>
      <c r="M570" s="16"/>
      <c r="N570" s="16"/>
      <c r="O570" s="16"/>
      <c r="P570" s="16"/>
      <c r="Q570" s="16"/>
      <c r="R570" s="16"/>
      <c r="S570" s="16"/>
      <c r="T570" s="16"/>
    </row>
    <row r="571" spans="1:20" x14ac:dyDescent="0.2">
      <c r="A571">
        <v>358</v>
      </c>
      <c r="B571" s="8">
        <v>46200</v>
      </c>
      <c r="C571" s="9">
        <v>0.75364583333333335</v>
      </c>
      <c r="D571" s="7" t="s">
        <v>18</v>
      </c>
      <c r="E571" s="13" t="s">
        <v>33</v>
      </c>
      <c r="F571" s="16">
        <v>85.672556400000005</v>
      </c>
      <c r="G571" s="129">
        <v>1262.38464</v>
      </c>
      <c r="H571" s="22">
        <v>1</v>
      </c>
      <c r="I571" s="19" t="s">
        <v>39</v>
      </c>
      <c r="J571" s="7" t="s">
        <v>20</v>
      </c>
      <c r="K571" s="16"/>
      <c r="L571" s="16"/>
      <c r="M571" s="16"/>
      <c r="N571" s="16">
        <v>71.392531399999996</v>
      </c>
      <c r="O571" s="16"/>
      <c r="P571" s="16"/>
      <c r="Q571" s="16"/>
      <c r="R571" s="16"/>
      <c r="S571" s="16"/>
      <c r="T571" s="16"/>
    </row>
    <row r="572" spans="1:20" x14ac:dyDescent="0.2">
      <c r="A572">
        <v>379</v>
      </c>
      <c r="B572" s="8">
        <v>46200</v>
      </c>
      <c r="C572" s="9">
        <v>0.76064814814814818</v>
      </c>
      <c r="D572" s="7" t="s">
        <v>21</v>
      </c>
      <c r="E572" s="13" t="s">
        <v>37</v>
      </c>
      <c r="F572" s="16">
        <v>74.127799699999997</v>
      </c>
      <c r="G572" s="129">
        <v>2181.72388</v>
      </c>
      <c r="H572" s="22">
        <v>0</v>
      </c>
      <c r="I572" s="19"/>
      <c r="J572" s="7" t="s">
        <v>20</v>
      </c>
      <c r="K572" s="16"/>
      <c r="L572" s="16"/>
      <c r="M572" s="16"/>
      <c r="N572" s="16"/>
      <c r="O572" s="16"/>
      <c r="P572" s="16"/>
      <c r="Q572" s="16"/>
      <c r="R572" s="16"/>
      <c r="S572" s="16"/>
      <c r="T572" s="16"/>
    </row>
    <row r="573" spans="1:20" x14ac:dyDescent="0.2">
      <c r="A573">
        <v>380</v>
      </c>
      <c r="B573" s="8">
        <v>46200</v>
      </c>
      <c r="C573" s="9">
        <v>0.76085648148148144</v>
      </c>
      <c r="D573" s="7" t="s">
        <v>21</v>
      </c>
      <c r="E573" s="13" t="s">
        <v>46</v>
      </c>
      <c r="F573" s="16">
        <v>71.380559099999999</v>
      </c>
      <c r="G573" s="129">
        <v>476.70333900000003</v>
      </c>
      <c r="H573" s="22">
        <v>0</v>
      </c>
      <c r="I573" s="19"/>
      <c r="J573" s="7" t="s">
        <v>20</v>
      </c>
      <c r="K573" s="16"/>
      <c r="L573" s="16"/>
      <c r="M573" s="16"/>
      <c r="N573" s="16"/>
      <c r="O573" s="16"/>
      <c r="P573" s="16"/>
      <c r="Q573" s="16"/>
      <c r="R573" s="16"/>
      <c r="S573" s="16"/>
      <c r="T573" s="16"/>
    </row>
    <row r="574" spans="1:20" x14ac:dyDescent="0.2">
      <c r="A574">
        <v>381</v>
      </c>
      <c r="B574" s="8">
        <v>46200</v>
      </c>
      <c r="C574" s="9">
        <v>0.76108796296296299</v>
      </c>
      <c r="D574" s="7" t="s">
        <v>21</v>
      </c>
      <c r="E574" s="13" t="s">
        <v>46</v>
      </c>
      <c r="F574" s="16">
        <v>74.064279900000002</v>
      </c>
      <c r="G574" s="129">
        <v>701.00518799999998</v>
      </c>
      <c r="H574" s="22">
        <v>1</v>
      </c>
      <c r="I574" s="19" t="s">
        <v>38</v>
      </c>
      <c r="J574" s="7" t="s">
        <v>20</v>
      </c>
      <c r="K574" s="16">
        <v>96.139958399999998</v>
      </c>
      <c r="L574" s="16">
        <v>13.672565499999999</v>
      </c>
      <c r="M574" s="16"/>
      <c r="N574" s="16">
        <v>69.116734899999997</v>
      </c>
      <c r="O574" s="16">
        <v>3211.8132300000002</v>
      </c>
      <c r="P574" s="16">
        <v>259</v>
      </c>
      <c r="Q574" s="16">
        <v>1.3909794099999999</v>
      </c>
      <c r="R574" s="16">
        <v>1.4479388</v>
      </c>
      <c r="S574" s="16">
        <v>100.07680000000001</v>
      </c>
      <c r="T574" s="16">
        <v>0.96066176999999997</v>
      </c>
    </row>
    <row r="575" spans="1:20" x14ac:dyDescent="0.2">
      <c r="A575">
        <v>382</v>
      </c>
      <c r="B575" s="8">
        <v>46200</v>
      </c>
      <c r="C575" s="9">
        <v>0.76137731481481485</v>
      </c>
      <c r="D575" s="7" t="s">
        <v>21</v>
      </c>
      <c r="E575" s="13" t="s">
        <v>33</v>
      </c>
      <c r="F575" s="16">
        <v>83.782837799999996</v>
      </c>
      <c r="G575" s="129">
        <v>2165.5983900000001</v>
      </c>
      <c r="H575" s="22">
        <v>1</v>
      </c>
      <c r="I575" s="19"/>
      <c r="J575" s="7" t="s">
        <v>20</v>
      </c>
      <c r="K575" s="16"/>
      <c r="L575" s="16"/>
      <c r="M575" s="16"/>
      <c r="N575" s="16"/>
      <c r="O575" s="16"/>
      <c r="P575" s="16"/>
      <c r="Q575" s="16"/>
      <c r="R575" s="16"/>
      <c r="S575" s="16"/>
      <c r="T575" s="16"/>
    </row>
    <row r="576" spans="1:20" x14ac:dyDescent="0.2">
      <c r="A576">
        <v>383</v>
      </c>
      <c r="B576" s="8">
        <v>46200</v>
      </c>
      <c r="C576" s="9">
        <v>0.76178240740740744</v>
      </c>
      <c r="D576" s="7" t="s">
        <v>21</v>
      </c>
      <c r="E576" s="13" t="s">
        <v>37</v>
      </c>
      <c r="F576" s="16">
        <v>75.398201700000001</v>
      </c>
      <c r="G576" s="129">
        <v>2340.3535200000001</v>
      </c>
      <c r="H576" s="22">
        <v>0</v>
      </c>
      <c r="I576" s="19"/>
      <c r="J576" s="7" t="s">
        <v>20</v>
      </c>
      <c r="K576" s="16"/>
      <c r="L576" s="16"/>
      <c r="M576" s="16"/>
      <c r="N576" s="16"/>
      <c r="O576" s="16"/>
      <c r="P576" s="16"/>
      <c r="Q576" s="16"/>
      <c r="R576" s="16"/>
      <c r="S576" s="16"/>
      <c r="T576" s="16"/>
    </row>
    <row r="577" spans="1:20" x14ac:dyDescent="0.2">
      <c r="A577">
        <v>384</v>
      </c>
      <c r="B577" s="8">
        <v>46200</v>
      </c>
      <c r="C577" s="9">
        <v>0.76201388888888888</v>
      </c>
      <c r="D577" s="7" t="s">
        <v>21</v>
      </c>
      <c r="E577" s="13" t="s">
        <v>46</v>
      </c>
      <c r="F577" s="16">
        <v>74.000756699999997</v>
      </c>
      <c r="G577" s="129">
        <v>173.44059799999999</v>
      </c>
      <c r="H577" s="22">
        <v>1</v>
      </c>
      <c r="I577" s="19" t="s">
        <v>45</v>
      </c>
      <c r="J577" s="7" t="s">
        <v>20</v>
      </c>
      <c r="K577" s="16"/>
      <c r="L577" s="16"/>
      <c r="M577" s="16"/>
      <c r="N577" s="16">
        <v>66.194725399999996</v>
      </c>
      <c r="O577" s="16"/>
      <c r="P577" s="16"/>
      <c r="Q577" s="16"/>
      <c r="R577" s="16"/>
      <c r="S577" s="16"/>
      <c r="T577" s="16"/>
    </row>
    <row r="578" spans="1:20" x14ac:dyDescent="0.2">
      <c r="A578">
        <v>413</v>
      </c>
      <c r="B578" s="8">
        <v>46200</v>
      </c>
      <c r="C578" s="9">
        <v>0.77288194444444447</v>
      </c>
      <c r="D578" s="7" t="s">
        <v>21</v>
      </c>
      <c r="E578" s="13" t="s">
        <v>37</v>
      </c>
      <c r="F578" s="16">
        <v>72.349243200000004</v>
      </c>
      <c r="G578" s="129">
        <v>1052.58105</v>
      </c>
      <c r="H578" s="22">
        <v>1</v>
      </c>
      <c r="I578" s="19"/>
      <c r="J578" s="7" t="s">
        <v>20</v>
      </c>
      <c r="K578" s="16"/>
      <c r="L578" s="16"/>
      <c r="M578" s="16"/>
      <c r="N578" s="16"/>
      <c r="O578" s="16"/>
      <c r="P578" s="16"/>
      <c r="Q578" s="16"/>
      <c r="R578" s="16"/>
      <c r="S578" s="16"/>
      <c r="T578" s="16"/>
    </row>
    <row r="579" spans="1:20" x14ac:dyDescent="0.2">
      <c r="A579">
        <v>414</v>
      </c>
      <c r="B579" s="8">
        <v>46200</v>
      </c>
      <c r="C579" s="9">
        <v>0.77305555555555561</v>
      </c>
      <c r="D579" s="7" t="s">
        <v>21</v>
      </c>
      <c r="E579" s="13" t="s">
        <v>35</v>
      </c>
      <c r="F579" s="16">
        <v>71.332922400000001</v>
      </c>
      <c r="G579" s="129">
        <v>1828.59</v>
      </c>
      <c r="H579" s="22">
        <v>1</v>
      </c>
      <c r="I579" s="19" t="s">
        <v>38</v>
      </c>
      <c r="J579" s="7" t="s">
        <v>20</v>
      </c>
      <c r="K579" s="16"/>
      <c r="L579" s="16"/>
      <c r="M579" s="16"/>
      <c r="N579" s="16">
        <v>70.100104700000003</v>
      </c>
      <c r="O579" s="16"/>
      <c r="P579" s="16"/>
      <c r="Q579" s="16"/>
      <c r="R579" s="16"/>
      <c r="S579" s="16"/>
      <c r="T579" s="16"/>
    </row>
    <row r="580" spans="1:20" x14ac:dyDescent="0.2">
      <c r="A580">
        <v>415</v>
      </c>
      <c r="B580" s="8">
        <v>46200</v>
      </c>
      <c r="C580" s="9">
        <v>0.77334490740740736</v>
      </c>
      <c r="D580" s="7" t="s">
        <v>21</v>
      </c>
      <c r="E580" s="13" t="s">
        <v>33</v>
      </c>
      <c r="F580" s="16">
        <v>83.592273399999996</v>
      </c>
      <c r="G580" s="129">
        <v>1070.896</v>
      </c>
      <c r="H580" s="22">
        <v>0</v>
      </c>
      <c r="I580" s="19"/>
      <c r="J580" s="7" t="s">
        <v>20</v>
      </c>
      <c r="K580" s="16"/>
      <c r="L580" s="16"/>
      <c r="M580" s="16"/>
      <c r="N580" s="16"/>
      <c r="O580" s="16"/>
      <c r="P580" s="16"/>
      <c r="Q580" s="16"/>
      <c r="R580" s="16"/>
      <c r="S580" s="16"/>
      <c r="T580" s="16"/>
    </row>
    <row r="581" spans="1:20" x14ac:dyDescent="0.2">
      <c r="A581">
        <v>416</v>
      </c>
      <c r="B581" s="8">
        <v>46200</v>
      </c>
      <c r="C581" s="9">
        <v>0.77351851851851849</v>
      </c>
      <c r="D581" s="7" t="s">
        <v>21</v>
      </c>
      <c r="E581" s="13" t="s">
        <v>35</v>
      </c>
      <c r="F581" s="16">
        <v>74.890039200000004</v>
      </c>
      <c r="G581" s="129">
        <v>2139.8146999999999</v>
      </c>
      <c r="H581" s="22">
        <v>1</v>
      </c>
      <c r="I581" s="19" t="s">
        <v>45</v>
      </c>
      <c r="J581" s="7" t="s">
        <v>20</v>
      </c>
      <c r="K581" s="16"/>
      <c r="L581" s="16"/>
      <c r="M581" s="16"/>
      <c r="N581" s="16">
        <v>63.947028799999998</v>
      </c>
      <c r="O581" s="16"/>
      <c r="P581" s="16"/>
      <c r="Q581" s="16"/>
      <c r="R581" s="16"/>
      <c r="S581" s="16"/>
      <c r="T581" s="16"/>
    </row>
    <row r="582" spans="1:20" x14ac:dyDescent="0.2">
      <c r="A582">
        <v>442</v>
      </c>
      <c r="B582" s="8">
        <v>46200</v>
      </c>
      <c r="C582" s="9">
        <v>0.78429398148148144</v>
      </c>
      <c r="D582" s="7" t="s">
        <v>25</v>
      </c>
      <c r="E582" s="13" t="s">
        <v>33</v>
      </c>
      <c r="F582" s="16">
        <v>84.973829699999996</v>
      </c>
      <c r="G582" s="129">
        <v>2078.0414999999998</v>
      </c>
      <c r="H582" s="22">
        <v>0</v>
      </c>
      <c r="I582" s="19"/>
      <c r="J582" s="7" t="s">
        <v>20</v>
      </c>
      <c r="K582" s="16"/>
      <c r="L582" s="16"/>
      <c r="M582" s="16"/>
      <c r="N582" s="16"/>
      <c r="O582" s="16"/>
      <c r="P582" s="16"/>
      <c r="Q582" s="16"/>
      <c r="R582" s="16"/>
      <c r="S582" s="16"/>
      <c r="T582" s="16"/>
    </row>
    <row r="583" spans="1:20" x14ac:dyDescent="0.2">
      <c r="A583">
        <v>443</v>
      </c>
      <c r="B583" s="8">
        <v>46200</v>
      </c>
      <c r="C583" s="9">
        <v>0.78446759259259258</v>
      </c>
      <c r="D583" s="7" t="s">
        <v>25</v>
      </c>
      <c r="E583" s="13" t="s">
        <v>33</v>
      </c>
      <c r="F583" s="16">
        <v>84.942069000000004</v>
      </c>
      <c r="G583" s="129">
        <v>2022.5732399999999</v>
      </c>
      <c r="H583" s="22">
        <v>1</v>
      </c>
      <c r="I583" s="19" t="s">
        <v>38</v>
      </c>
      <c r="J583" s="7" t="s">
        <v>20</v>
      </c>
      <c r="K583" s="16"/>
      <c r="L583" s="16"/>
      <c r="M583" s="16"/>
      <c r="N583" s="16">
        <v>69.285313299999999</v>
      </c>
      <c r="O583" s="16"/>
      <c r="P583" s="16"/>
      <c r="Q583" s="16"/>
      <c r="R583" s="16"/>
      <c r="S583" s="16"/>
      <c r="T583" s="16"/>
    </row>
    <row r="584" spans="1:20" x14ac:dyDescent="0.2">
      <c r="A584">
        <v>444</v>
      </c>
      <c r="B584" s="8">
        <v>46200</v>
      </c>
      <c r="C584" s="9">
        <v>0.7846643518518519</v>
      </c>
      <c r="D584" s="7" t="s">
        <v>25</v>
      </c>
      <c r="E584" s="13" t="s">
        <v>37</v>
      </c>
      <c r="F584" s="16">
        <v>71.523482299999998</v>
      </c>
      <c r="G584" s="129">
        <v>2138.4189500000002</v>
      </c>
      <c r="H584" s="22">
        <v>0</v>
      </c>
      <c r="I584" s="19"/>
      <c r="J584" s="7" t="s">
        <v>20</v>
      </c>
      <c r="K584" s="16"/>
      <c r="L584" s="16"/>
      <c r="M584" s="16"/>
      <c r="N584" s="16"/>
      <c r="O584" s="16"/>
      <c r="P584" s="16"/>
      <c r="Q584" s="16"/>
      <c r="R584" s="16"/>
      <c r="S584" s="16"/>
      <c r="T584" s="16"/>
    </row>
    <row r="585" spans="1:20" x14ac:dyDescent="0.2">
      <c r="A585">
        <v>445</v>
      </c>
      <c r="B585" s="8">
        <v>46200</v>
      </c>
      <c r="C585" s="9">
        <v>0.78508101851851853</v>
      </c>
      <c r="D585" s="7" t="s">
        <v>25</v>
      </c>
      <c r="E585" s="13" t="s">
        <v>33</v>
      </c>
      <c r="F585" s="16">
        <v>84.211590000000001</v>
      </c>
      <c r="G585" s="129">
        <v>1930.5188000000001</v>
      </c>
      <c r="H585" s="22">
        <v>1</v>
      </c>
      <c r="I585" s="19" t="s">
        <v>38</v>
      </c>
      <c r="J585" s="7" t="s">
        <v>20</v>
      </c>
      <c r="K585" s="16"/>
      <c r="L585" s="16"/>
      <c r="M585" s="16"/>
      <c r="N585" s="16">
        <v>66.925229900000005</v>
      </c>
      <c r="O585" s="16"/>
      <c r="P585" s="16"/>
      <c r="Q585" s="16"/>
      <c r="R585" s="16"/>
      <c r="S585" s="16"/>
      <c r="T585" s="16"/>
    </row>
    <row r="586" spans="1:20" x14ac:dyDescent="0.2">
      <c r="A586">
        <v>446</v>
      </c>
      <c r="B586" s="8">
        <v>46200</v>
      </c>
      <c r="C586" s="9">
        <v>0.78548611111111111</v>
      </c>
      <c r="D586" s="7" t="s">
        <v>25</v>
      </c>
      <c r="E586" s="13" t="s">
        <v>37</v>
      </c>
      <c r="F586" s="16">
        <v>74.381876700000007</v>
      </c>
      <c r="G586" s="129">
        <v>2173.4853499999999</v>
      </c>
      <c r="H586" s="22">
        <v>1</v>
      </c>
      <c r="I586" s="19" t="s">
        <v>39</v>
      </c>
      <c r="J586" s="7" t="s">
        <v>20</v>
      </c>
      <c r="K586" s="16"/>
      <c r="L586" s="16"/>
      <c r="M586" s="16"/>
      <c r="N586" s="16">
        <v>63.1041417</v>
      </c>
      <c r="O586" s="16"/>
      <c r="P586" s="16"/>
      <c r="Q586" s="16"/>
      <c r="R586" s="16"/>
      <c r="S586" s="16"/>
      <c r="T586" s="16"/>
    </row>
    <row r="587" spans="1:20" x14ac:dyDescent="0.2">
      <c r="A587">
        <v>472</v>
      </c>
      <c r="B587" s="8">
        <v>46203</v>
      </c>
      <c r="C587" s="9">
        <v>0.77653935185185186</v>
      </c>
      <c r="D587" s="7" t="s">
        <v>24</v>
      </c>
      <c r="E587" s="13" t="s">
        <v>33</v>
      </c>
      <c r="F587" s="16">
        <v>82.893555300000003</v>
      </c>
      <c r="G587" s="129">
        <v>2135.6894499999999</v>
      </c>
      <c r="H587" s="22">
        <v>0</v>
      </c>
      <c r="I587" s="19"/>
      <c r="J587" s="7" t="s">
        <v>20</v>
      </c>
      <c r="K587" s="16"/>
      <c r="L587" s="16"/>
      <c r="M587" s="16"/>
      <c r="N587" s="16"/>
      <c r="O587" s="16"/>
      <c r="P587" s="16"/>
      <c r="Q587" s="16"/>
      <c r="R587" s="16"/>
      <c r="S587" s="16"/>
      <c r="T587" s="16"/>
    </row>
    <row r="588" spans="1:20" x14ac:dyDescent="0.2">
      <c r="A588">
        <v>473</v>
      </c>
      <c r="B588" s="8">
        <v>46203</v>
      </c>
      <c r="C588" s="9">
        <v>0.7768518518518519</v>
      </c>
      <c r="D588" s="7" t="s">
        <v>24</v>
      </c>
      <c r="E588" s="13" t="s">
        <v>37</v>
      </c>
      <c r="F588" s="16">
        <v>65.679642200000004</v>
      </c>
      <c r="G588" s="129">
        <v>1788.16418</v>
      </c>
      <c r="H588" s="22">
        <v>0</v>
      </c>
      <c r="I588" s="19"/>
      <c r="J588" s="7" t="s">
        <v>20</v>
      </c>
      <c r="K588" s="16"/>
      <c r="L588" s="16"/>
      <c r="M588" s="16"/>
      <c r="N588" s="16"/>
      <c r="O588" s="16"/>
      <c r="P588" s="16"/>
      <c r="Q588" s="16"/>
      <c r="R588" s="16"/>
      <c r="S588" s="16"/>
      <c r="T588" s="16"/>
    </row>
    <row r="589" spans="1:20" x14ac:dyDescent="0.2">
      <c r="A589">
        <v>474</v>
      </c>
      <c r="B589" s="8">
        <v>46203</v>
      </c>
      <c r="C589" s="9">
        <v>0.77709490740740739</v>
      </c>
      <c r="D589" s="7" t="s">
        <v>24</v>
      </c>
      <c r="E589" s="13" t="s">
        <v>37</v>
      </c>
      <c r="F589" s="16">
        <v>66.695963199999994</v>
      </c>
      <c r="G589" s="129">
        <v>2235.5302700000002</v>
      </c>
      <c r="H589" s="22">
        <v>1</v>
      </c>
      <c r="I589" s="19" t="s">
        <v>39</v>
      </c>
      <c r="J589" s="7" t="s">
        <v>20</v>
      </c>
      <c r="K589" s="16"/>
      <c r="L589" s="16"/>
      <c r="M589" s="16"/>
      <c r="N589" s="16">
        <v>64.733720500000004</v>
      </c>
      <c r="O589" s="16"/>
      <c r="P589" s="16"/>
      <c r="Q589" s="16"/>
      <c r="R589" s="16"/>
      <c r="S589" s="16"/>
      <c r="T589" s="16"/>
    </row>
    <row r="590" spans="1:20" x14ac:dyDescent="0.2">
      <c r="A590">
        <v>475</v>
      </c>
      <c r="B590" s="8">
        <v>46203</v>
      </c>
      <c r="C590" s="9">
        <v>0.77731481481481479</v>
      </c>
      <c r="D590" s="7" t="s">
        <v>24</v>
      </c>
      <c r="E590" s="13" t="s">
        <v>33</v>
      </c>
      <c r="F590" s="16">
        <v>83.4017178</v>
      </c>
      <c r="G590" s="129">
        <v>1153.99316</v>
      </c>
      <c r="H590" s="22">
        <v>0</v>
      </c>
      <c r="I590" s="19"/>
      <c r="J590" s="7" t="s">
        <v>20</v>
      </c>
      <c r="K590" s="16"/>
      <c r="L590" s="16"/>
      <c r="M590" s="16"/>
      <c r="N590" s="16"/>
      <c r="O590" s="16"/>
      <c r="P590" s="16"/>
      <c r="Q590" s="16"/>
      <c r="R590" s="16"/>
      <c r="S590" s="16"/>
      <c r="T590" s="16"/>
    </row>
    <row r="591" spans="1:20" x14ac:dyDescent="0.2">
      <c r="A591">
        <v>476</v>
      </c>
      <c r="B591" s="8">
        <v>46203</v>
      </c>
      <c r="C591" s="9">
        <v>0.77754629629629635</v>
      </c>
      <c r="D591" s="7" t="s">
        <v>24</v>
      </c>
      <c r="E591" s="13" t="s">
        <v>37</v>
      </c>
      <c r="F591" s="16">
        <v>67.124724099999995</v>
      </c>
      <c r="G591" s="129">
        <v>1209.34265</v>
      </c>
      <c r="H591" s="22">
        <v>0</v>
      </c>
      <c r="I591" s="19"/>
      <c r="J591" s="7" t="s">
        <v>20</v>
      </c>
      <c r="K591" s="16"/>
      <c r="L591" s="16"/>
      <c r="M591" s="16"/>
      <c r="N591" s="16"/>
      <c r="O591" s="16"/>
      <c r="P591" s="16"/>
      <c r="Q591" s="16"/>
      <c r="R591" s="16"/>
      <c r="S591" s="16"/>
      <c r="T591" s="16"/>
    </row>
    <row r="592" spans="1:20" x14ac:dyDescent="0.2">
      <c r="A592">
        <v>477</v>
      </c>
      <c r="B592" s="8">
        <v>46203</v>
      </c>
      <c r="C592" s="9">
        <v>0.77774305555555556</v>
      </c>
      <c r="D592" s="7" t="s">
        <v>24</v>
      </c>
      <c r="E592" s="13" t="s">
        <v>33</v>
      </c>
      <c r="F592" s="16">
        <v>81.623153000000002</v>
      </c>
      <c r="G592" s="129">
        <v>2314.29</v>
      </c>
      <c r="H592" s="22">
        <v>1</v>
      </c>
      <c r="I592" s="19" t="s">
        <v>40</v>
      </c>
      <c r="J592" s="7" t="s">
        <v>20</v>
      </c>
      <c r="K592" s="16">
        <v>99.827185700000001</v>
      </c>
      <c r="L592" s="16">
        <v>25.608684499999999</v>
      </c>
      <c r="M592" s="16">
        <v>-39.645114999999997</v>
      </c>
      <c r="N592" s="16">
        <v>71.195856800000001</v>
      </c>
      <c r="O592" s="16">
        <v>3127.7561000000001</v>
      </c>
      <c r="P592" s="16">
        <v>341</v>
      </c>
      <c r="Q592" s="16">
        <v>1.40214884</v>
      </c>
      <c r="R592" s="16">
        <v>1.4748539899999999</v>
      </c>
      <c r="S592" s="16">
        <v>105.003496</v>
      </c>
      <c r="T592" s="16">
        <v>0.95070350999999997</v>
      </c>
    </row>
    <row r="593" spans="1:20" x14ac:dyDescent="0.2">
      <c r="A593">
        <v>510</v>
      </c>
      <c r="B593" s="8">
        <v>46203</v>
      </c>
      <c r="C593" s="9">
        <v>0.79173611111111108</v>
      </c>
      <c r="D593" s="7" t="s">
        <v>24</v>
      </c>
      <c r="E593" s="13" t="s">
        <v>37</v>
      </c>
      <c r="F593" s="16">
        <v>65.616125100000005</v>
      </c>
      <c r="G593" s="129">
        <v>1855.1508799999999</v>
      </c>
      <c r="H593" s="22">
        <v>0</v>
      </c>
      <c r="I593" s="19"/>
      <c r="J593" s="7" t="s">
        <v>20</v>
      </c>
      <c r="K593" s="16"/>
      <c r="L593" s="16"/>
      <c r="M593" s="16"/>
      <c r="N593" s="16"/>
      <c r="O593" s="16"/>
      <c r="P593" s="16"/>
      <c r="Q593" s="16"/>
      <c r="R593" s="16"/>
      <c r="S593" s="16"/>
      <c r="T593" s="16"/>
    </row>
    <row r="594" spans="1:20" x14ac:dyDescent="0.2">
      <c r="A594">
        <v>511</v>
      </c>
      <c r="B594" s="8">
        <v>46203</v>
      </c>
      <c r="C594" s="9">
        <v>0.79193287037037041</v>
      </c>
      <c r="D594" s="7" t="s">
        <v>24</v>
      </c>
      <c r="E594" s="13" t="s">
        <v>33</v>
      </c>
      <c r="F594" s="16">
        <v>80.146314899999993</v>
      </c>
      <c r="G594" s="129">
        <v>2017.61121</v>
      </c>
      <c r="H594" s="22">
        <v>0</v>
      </c>
      <c r="I594" s="19"/>
      <c r="J594" s="7" t="s">
        <v>20</v>
      </c>
      <c r="K594" s="16"/>
      <c r="L594" s="16"/>
      <c r="M594" s="16"/>
      <c r="N594" s="16"/>
      <c r="O594" s="16"/>
      <c r="P594" s="16"/>
      <c r="Q594" s="16"/>
      <c r="R594" s="16"/>
      <c r="S594" s="16"/>
      <c r="T594" s="16"/>
    </row>
    <row r="595" spans="1:20" x14ac:dyDescent="0.2">
      <c r="A595">
        <v>512</v>
      </c>
      <c r="B595" s="8">
        <v>46203</v>
      </c>
      <c r="C595" s="9">
        <v>0.79211805555555559</v>
      </c>
      <c r="D595" s="7" t="s">
        <v>24</v>
      </c>
      <c r="E595" s="13" t="s">
        <v>33</v>
      </c>
      <c r="F595" s="16">
        <v>81.480238600000007</v>
      </c>
      <c r="G595" s="129">
        <v>2141.88013</v>
      </c>
      <c r="H595" s="22">
        <v>1</v>
      </c>
      <c r="I595" s="19" t="s">
        <v>39</v>
      </c>
      <c r="J595" s="7" t="s">
        <v>20</v>
      </c>
      <c r="K595" s="16"/>
      <c r="L595" s="16"/>
      <c r="M595" s="16"/>
      <c r="N595" s="16">
        <v>63.947028799999998</v>
      </c>
      <c r="O595" s="16"/>
      <c r="P595" s="16"/>
      <c r="Q595" s="16"/>
      <c r="R595" s="16"/>
      <c r="S595" s="16"/>
      <c r="T595" s="16"/>
    </row>
    <row r="596" spans="1:20" x14ac:dyDescent="0.2">
      <c r="A596">
        <v>513</v>
      </c>
      <c r="B596" s="8">
        <v>46203</v>
      </c>
      <c r="C596" s="9">
        <v>0.79233796296296299</v>
      </c>
      <c r="D596" s="7" t="s">
        <v>24</v>
      </c>
      <c r="E596" s="13" t="s">
        <v>49</v>
      </c>
      <c r="F596" s="16">
        <v>67.013561600000003</v>
      </c>
      <c r="G596" s="129">
        <v>1077.6239</v>
      </c>
      <c r="H596" s="22">
        <v>1</v>
      </c>
      <c r="I596" s="19"/>
      <c r="J596" s="7" t="s">
        <v>20</v>
      </c>
      <c r="K596" s="16"/>
      <c r="L596" s="16"/>
      <c r="M596" s="16"/>
      <c r="N596" s="16"/>
      <c r="O596" s="16"/>
      <c r="P596" s="16"/>
      <c r="Q596" s="16"/>
      <c r="R596" s="16"/>
      <c r="S596" s="16"/>
      <c r="T596" s="16"/>
    </row>
    <row r="597" spans="1:20" x14ac:dyDescent="0.2">
      <c r="A597">
        <v>514</v>
      </c>
      <c r="B597" s="8">
        <v>46203</v>
      </c>
      <c r="C597" s="9">
        <v>0.7925578703703704</v>
      </c>
      <c r="D597" s="7" t="s">
        <v>24</v>
      </c>
      <c r="E597" s="13" t="s">
        <v>33</v>
      </c>
      <c r="F597" s="16">
        <v>81.178511900000004</v>
      </c>
      <c r="G597" s="129">
        <v>2005.6179199999999</v>
      </c>
      <c r="H597" s="22">
        <v>0</v>
      </c>
      <c r="I597" s="19"/>
      <c r="J597" s="7" t="s">
        <v>20</v>
      </c>
      <c r="K597" s="16"/>
      <c r="L597" s="16"/>
      <c r="M597" s="16"/>
      <c r="N597" s="16"/>
      <c r="O597" s="16"/>
      <c r="P597" s="16"/>
      <c r="Q597" s="16"/>
      <c r="R597" s="16"/>
      <c r="S597" s="16"/>
      <c r="T597" s="16"/>
    </row>
    <row r="598" spans="1:20" x14ac:dyDescent="0.2">
      <c r="A598">
        <v>515</v>
      </c>
      <c r="B598" s="8">
        <v>46203</v>
      </c>
      <c r="C598" s="9">
        <v>0.79287037037037034</v>
      </c>
      <c r="D598" s="7" t="s">
        <v>24</v>
      </c>
      <c r="E598" s="13" t="s">
        <v>35</v>
      </c>
      <c r="F598" s="16">
        <v>77.938997700000002</v>
      </c>
      <c r="G598" s="129">
        <v>1049.8923299999999</v>
      </c>
      <c r="H598" s="22">
        <v>1</v>
      </c>
      <c r="I598" s="19" t="s">
        <v>45</v>
      </c>
      <c r="J598" s="7" t="s">
        <v>20</v>
      </c>
      <c r="K598" s="16"/>
      <c r="L598" s="16"/>
      <c r="M598" s="16"/>
      <c r="N598" s="16">
        <v>65.969955600000006</v>
      </c>
      <c r="O598" s="16"/>
      <c r="P598" s="16"/>
      <c r="Q598" s="16"/>
      <c r="R598" s="16"/>
      <c r="S598" s="16"/>
      <c r="T598" s="16"/>
    </row>
    <row r="599" spans="1:20" x14ac:dyDescent="0.2">
      <c r="A599">
        <v>563</v>
      </c>
      <c r="B599" s="8">
        <v>46203</v>
      </c>
      <c r="C599" s="9">
        <v>0.81184027777777779</v>
      </c>
      <c r="D599" s="7" t="s">
        <v>25</v>
      </c>
      <c r="E599" s="13" t="s">
        <v>33</v>
      </c>
      <c r="F599" s="16">
        <v>83.020598100000001</v>
      </c>
      <c r="G599" s="129">
        <v>1900.9222400000001</v>
      </c>
      <c r="H599" s="22">
        <v>1</v>
      </c>
      <c r="I599" s="19"/>
      <c r="J599" s="7" t="s">
        <v>20</v>
      </c>
      <c r="K599" s="16"/>
      <c r="L599" s="16"/>
      <c r="M599" s="16"/>
      <c r="N599" s="16"/>
      <c r="O599" s="16"/>
      <c r="P599" s="16"/>
      <c r="Q599" s="16"/>
      <c r="R599" s="16"/>
      <c r="S599" s="16"/>
      <c r="T599" s="16"/>
    </row>
    <row r="600" spans="1:20" x14ac:dyDescent="0.2">
      <c r="A600">
        <v>564</v>
      </c>
      <c r="B600" s="8">
        <v>46203</v>
      </c>
      <c r="C600" s="9">
        <v>0.812037037037037</v>
      </c>
      <c r="D600" s="7" t="s">
        <v>25</v>
      </c>
      <c r="E600" s="13" t="s">
        <v>33</v>
      </c>
      <c r="F600" s="16">
        <v>84.481555900000004</v>
      </c>
      <c r="G600" s="129">
        <v>2069.5578599999999</v>
      </c>
      <c r="H600" s="22">
        <v>0</v>
      </c>
      <c r="I600" s="19"/>
      <c r="J600" s="7" t="s">
        <v>20</v>
      </c>
      <c r="K600" s="16"/>
      <c r="L600" s="16"/>
      <c r="M600" s="16"/>
      <c r="N600" s="16"/>
      <c r="O600" s="16"/>
      <c r="P600" s="16"/>
      <c r="Q600" s="16"/>
      <c r="R600" s="16"/>
      <c r="S600" s="16"/>
      <c r="T600" s="16"/>
    </row>
    <row r="601" spans="1:20" x14ac:dyDescent="0.2">
      <c r="A601">
        <v>565</v>
      </c>
      <c r="B601" s="8">
        <v>46203</v>
      </c>
      <c r="C601" s="9">
        <v>0.81222222222222218</v>
      </c>
      <c r="D601" s="7" t="s">
        <v>25</v>
      </c>
      <c r="E601" s="13" t="s">
        <v>33</v>
      </c>
      <c r="F601" s="16">
        <v>85.545513600000007</v>
      </c>
      <c r="G601" s="129">
        <v>2241.4892599999998</v>
      </c>
      <c r="H601" s="22">
        <v>0</v>
      </c>
      <c r="I601" s="19"/>
      <c r="J601" s="7" t="s">
        <v>20</v>
      </c>
      <c r="K601" s="16"/>
      <c r="L601" s="16"/>
      <c r="M601" s="16"/>
      <c r="N601" s="16"/>
      <c r="O601" s="16"/>
      <c r="P601" s="16"/>
      <c r="Q601" s="16"/>
      <c r="R601" s="16"/>
      <c r="S601" s="16"/>
      <c r="T601" s="16"/>
    </row>
    <row r="602" spans="1:20" x14ac:dyDescent="0.2">
      <c r="A602">
        <v>566</v>
      </c>
      <c r="B602" s="8">
        <v>46203</v>
      </c>
      <c r="C602" s="9">
        <v>0.81259259259259264</v>
      </c>
      <c r="D602" s="7" t="s">
        <v>25</v>
      </c>
      <c r="E602" s="13" t="s">
        <v>37</v>
      </c>
      <c r="F602" s="16">
        <v>72.396884299999996</v>
      </c>
      <c r="G602" s="129">
        <v>2210.92407</v>
      </c>
      <c r="H602" s="22">
        <v>0</v>
      </c>
      <c r="I602" s="19"/>
      <c r="J602" s="7" t="s">
        <v>20</v>
      </c>
      <c r="K602" s="16"/>
      <c r="L602" s="16"/>
      <c r="M602" s="16"/>
      <c r="N602" s="16"/>
      <c r="O602" s="16"/>
      <c r="P602" s="16"/>
      <c r="Q602" s="16"/>
      <c r="R602" s="16"/>
      <c r="S602" s="16"/>
      <c r="T602" s="16"/>
    </row>
    <row r="603" spans="1:20" x14ac:dyDescent="0.2">
      <c r="A603">
        <v>567</v>
      </c>
      <c r="B603" s="8">
        <v>46203</v>
      </c>
      <c r="C603" s="9">
        <v>0.81282407407407409</v>
      </c>
      <c r="D603" s="7" t="s">
        <v>25</v>
      </c>
      <c r="E603" s="13" t="s">
        <v>33</v>
      </c>
      <c r="F603" s="16">
        <v>83.1317521</v>
      </c>
      <c r="G603" s="129">
        <v>2059.31763</v>
      </c>
      <c r="H603" s="22">
        <v>1</v>
      </c>
      <c r="I603" s="19" t="s">
        <v>39</v>
      </c>
      <c r="J603" s="7" t="s">
        <v>20</v>
      </c>
      <c r="K603" s="16"/>
      <c r="L603" s="16"/>
      <c r="M603" s="16"/>
      <c r="N603" s="16">
        <v>67.655730000000005</v>
      </c>
      <c r="O603" s="16"/>
      <c r="P603" s="16"/>
      <c r="Q603" s="16"/>
      <c r="R603" s="16"/>
      <c r="S603" s="16"/>
      <c r="T603" s="16"/>
    </row>
    <row r="604" spans="1:20" x14ac:dyDescent="0.2">
      <c r="A604">
        <v>568</v>
      </c>
      <c r="B604" s="8">
        <v>46203</v>
      </c>
      <c r="C604" s="9">
        <v>0.81307870370370372</v>
      </c>
      <c r="D604" s="7" t="s">
        <v>25</v>
      </c>
      <c r="E604" s="13" t="s">
        <v>37</v>
      </c>
      <c r="F604" s="16">
        <v>74.937680400000005</v>
      </c>
      <c r="G604" s="129">
        <v>2212.18091</v>
      </c>
      <c r="H604" s="22">
        <v>1</v>
      </c>
      <c r="I604" s="19" t="s">
        <v>45</v>
      </c>
      <c r="J604" s="7" t="s">
        <v>20</v>
      </c>
      <c r="K604" s="16"/>
      <c r="L604" s="16"/>
      <c r="M604" s="16"/>
      <c r="N604" s="16">
        <v>60.7440584</v>
      </c>
      <c r="O604" s="16"/>
      <c r="P604" s="16"/>
      <c r="Q604" s="16"/>
      <c r="R604" s="16"/>
      <c r="S604" s="16"/>
      <c r="T604" s="16"/>
    </row>
    <row r="605" spans="1:20" x14ac:dyDescent="0.2">
      <c r="A605">
        <v>620</v>
      </c>
      <c r="B605" s="8">
        <v>46214</v>
      </c>
      <c r="C605" s="9">
        <v>0.47031250000000002</v>
      </c>
      <c r="D605" s="7" t="s">
        <v>21</v>
      </c>
      <c r="E605" s="13" t="s">
        <v>37</v>
      </c>
      <c r="F605" s="16">
        <v>70.316601399999996</v>
      </c>
      <c r="G605" s="129">
        <v>2101.9338400000001</v>
      </c>
      <c r="H605" s="22">
        <v>1</v>
      </c>
      <c r="I605" s="19" t="s">
        <v>38</v>
      </c>
      <c r="J605" s="7" t="s">
        <v>20</v>
      </c>
      <c r="K605" s="16">
        <v>62.919759800000001</v>
      </c>
      <c r="L605" s="16">
        <v>24.971418400000001</v>
      </c>
      <c r="M605" s="16">
        <v>-36.093670000000003</v>
      </c>
      <c r="N605" s="16">
        <v>70.0347273</v>
      </c>
      <c r="O605" s="16">
        <v>743.97375499999998</v>
      </c>
      <c r="P605" s="16">
        <v>179</v>
      </c>
      <c r="Q605" s="16">
        <v>0.89840799999999998</v>
      </c>
      <c r="R605" s="16">
        <v>1.54624498</v>
      </c>
      <c r="S605" s="16">
        <v>108.29083900000001</v>
      </c>
      <c r="T605" s="16">
        <v>0.58102569999999998</v>
      </c>
    </row>
    <row r="606" spans="1:20" x14ac:dyDescent="0.2">
      <c r="A606">
        <v>621</v>
      </c>
      <c r="B606" s="8">
        <v>46214</v>
      </c>
      <c r="C606" s="9">
        <v>0.47061342592592592</v>
      </c>
      <c r="D606" s="7" t="s">
        <v>21</v>
      </c>
      <c r="E606" s="13" t="s">
        <v>37</v>
      </c>
      <c r="F606" s="16">
        <v>70.5548024</v>
      </c>
      <c r="G606" s="129">
        <v>2022.31873</v>
      </c>
      <c r="H606" s="22">
        <v>0</v>
      </c>
      <c r="I606" s="19"/>
      <c r="J606" s="7" t="s">
        <v>20</v>
      </c>
      <c r="K606" s="16"/>
      <c r="L606" s="16"/>
      <c r="M606" s="16"/>
      <c r="N606" s="16"/>
      <c r="O606" s="16"/>
      <c r="P606" s="16"/>
      <c r="Q606" s="16"/>
      <c r="R606" s="16"/>
      <c r="S606" s="16"/>
      <c r="T606" s="16"/>
    </row>
    <row r="607" spans="1:20" x14ac:dyDescent="0.2">
      <c r="A607">
        <v>622</v>
      </c>
      <c r="B607" s="8">
        <v>46214</v>
      </c>
      <c r="C607" s="9">
        <v>0.47077546296296297</v>
      </c>
      <c r="D607" s="7" t="s">
        <v>21</v>
      </c>
      <c r="E607" s="13" t="s">
        <v>33</v>
      </c>
      <c r="F607" s="16">
        <v>81.797836899999993</v>
      </c>
      <c r="G607" s="129">
        <v>2036.7614699999999</v>
      </c>
      <c r="H607" s="22">
        <v>0</v>
      </c>
      <c r="I607" s="19"/>
      <c r="J607" s="7" t="s">
        <v>20</v>
      </c>
      <c r="K607" s="16"/>
      <c r="L607" s="16"/>
      <c r="M607" s="16"/>
      <c r="N607" s="16"/>
      <c r="O607" s="16"/>
      <c r="P607" s="16"/>
      <c r="Q607" s="16"/>
      <c r="R607" s="16"/>
      <c r="S607" s="16"/>
      <c r="T607" s="16"/>
    </row>
    <row r="608" spans="1:20" x14ac:dyDescent="0.2">
      <c r="A608">
        <v>623</v>
      </c>
      <c r="B608" s="8">
        <v>46214</v>
      </c>
      <c r="C608" s="9">
        <v>0.47096064814814814</v>
      </c>
      <c r="D608" s="7" t="s">
        <v>21</v>
      </c>
      <c r="E608" s="13" t="s">
        <v>33</v>
      </c>
      <c r="F608" s="16">
        <v>83.639914599999997</v>
      </c>
      <c r="G608" s="129">
        <v>2132.8549800000001</v>
      </c>
      <c r="H608" s="22">
        <v>0</v>
      </c>
      <c r="I608" s="19"/>
      <c r="J608" s="7" t="s">
        <v>20</v>
      </c>
      <c r="K608" s="16"/>
      <c r="L608" s="16"/>
      <c r="M608" s="16"/>
      <c r="N608" s="16"/>
      <c r="O608" s="16"/>
      <c r="P608" s="16"/>
      <c r="Q608" s="16"/>
      <c r="R608" s="16"/>
      <c r="S608" s="16"/>
      <c r="T608" s="16"/>
    </row>
    <row r="609" spans="1:20" x14ac:dyDescent="0.2">
      <c r="A609">
        <v>624</v>
      </c>
      <c r="B609" s="8">
        <v>46214</v>
      </c>
      <c r="C609" s="9">
        <v>0.47111111111111109</v>
      </c>
      <c r="D609" s="7" t="s">
        <v>21</v>
      </c>
      <c r="E609" s="13" t="s">
        <v>33</v>
      </c>
      <c r="F609" s="16">
        <v>83.830470199999993</v>
      </c>
      <c r="G609" s="129">
        <v>2195.3596200000002</v>
      </c>
      <c r="H609" s="22">
        <v>1</v>
      </c>
      <c r="I609" s="19"/>
      <c r="J609" s="7" t="s">
        <v>20</v>
      </c>
      <c r="K609" s="16"/>
      <c r="L609" s="16"/>
      <c r="M609" s="16"/>
      <c r="N609" s="16"/>
      <c r="O609" s="16"/>
      <c r="P609" s="16"/>
      <c r="Q609" s="16"/>
      <c r="R609" s="16"/>
      <c r="S609" s="16"/>
      <c r="T609" s="16"/>
    </row>
    <row r="610" spans="1:20" x14ac:dyDescent="0.2">
      <c r="A610">
        <v>625</v>
      </c>
      <c r="B610" s="8">
        <v>46214</v>
      </c>
      <c r="C610" s="9">
        <v>0.47129629629629627</v>
      </c>
      <c r="D610" s="7" t="s">
        <v>21</v>
      </c>
      <c r="E610" s="13" t="s">
        <v>37</v>
      </c>
      <c r="F610" s="16">
        <v>72.285721800000005</v>
      </c>
      <c r="G610" s="129">
        <v>2260.10034</v>
      </c>
      <c r="H610" s="22">
        <v>0</v>
      </c>
      <c r="I610" s="19"/>
      <c r="J610" s="7" t="s">
        <v>20</v>
      </c>
      <c r="K610" s="16"/>
      <c r="L610" s="16"/>
      <c r="M610" s="16"/>
      <c r="N610" s="16"/>
      <c r="O610" s="16"/>
      <c r="P610" s="16"/>
      <c r="Q610" s="16"/>
      <c r="R610" s="16"/>
      <c r="S610" s="16"/>
      <c r="T610" s="16"/>
    </row>
    <row r="611" spans="1:20" x14ac:dyDescent="0.2">
      <c r="A611">
        <v>626</v>
      </c>
      <c r="B611" s="8">
        <v>46214</v>
      </c>
      <c r="C611" s="9">
        <v>0.47146990740740741</v>
      </c>
      <c r="D611" s="7" t="s">
        <v>21</v>
      </c>
      <c r="E611" s="13" t="s">
        <v>33</v>
      </c>
      <c r="F611" s="16">
        <v>82.623597799999999</v>
      </c>
      <c r="G611" s="129">
        <v>2152.9863300000002</v>
      </c>
      <c r="H611" s="22">
        <v>1</v>
      </c>
      <c r="I611" s="19" t="s">
        <v>38</v>
      </c>
      <c r="J611" s="7" t="s">
        <v>20</v>
      </c>
      <c r="K611" s="16">
        <v>61.748752699999997</v>
      </c>
      <c r="L611" s="16">
        <v>64.048149100000003</v>
      </c>
      <c r="M611" s="16">
        <v>-32.520564999999998</v>
      </c>
      <c r="N611" s="16">
        <v>66.381231900000003</v>
      </c>
      <c r="O611" s="16">
        <v>4569.6689500000002</v>
      </c>
      <c r="P611" s="16">
        <v>155</v>
      </c>
      <c r="Q611" s="16">
        <v>0.93021405000000001</v>
      </c>
      <c r="R611" s="16">
        <v>1.61377668</v>
      </c>
      <c r="S611" s="16">
        <v>107.124483</v>
      </c>
      <c r="T611" s="16">
        <v>0.57642055999999997</v>
      </c>
    </row>
    <row r="612" spans="1:20" x14ac:dyDescent="0.2">
      <c r="A612">
        <v>651</v>
      </c>
      <c r="B612" s="8">
        <v>46214</v>
      </c>
      <c r="C612" s="9">
        <v>0.47994212962962962</v>
      </c>
      <c r="D612" s="7" t="s">
        <v>18</v>
      </c>
      <c r="E612" s="13" t="s">
        <v>37</v>
      </c>
      <c r="F612" s="16">
        <v>73.365559899999994</v>
      </c>
      <c r="G612" s="129">
        <v>2317.7446300000001</v>
      </c>
      <c r="H612" s="22">
        <v>1</v>
      </c>
      <c r="I612" s="19" t="s">
        <v>38</v>
      </c>
      <c r="J612" s="7" t="s">
        <v>20</v>
      </c>
      <c r="K612" s="16"/>
      <c r="L612" s="16"/>
      <c r="M612" s="16"/>
      <c r="N612" s="16">
        <v>63.6270539</v>
      </c>
      <c r="O612" s="16"/>
      <c r="P612" s="16"/>
      <c r="Q612" s="16"/>
      <c r="R612" s="16"/>
      <c r="S612" s="16"/>
      <c r="T612" s="16"/>
    </row>
    <row r="613" spans="1:20" x14ac:dyDescent="0.2">
      <c r="A613">
        <v>652</v>
      </c>
      <c r="B613" s="8">
        <v>46214</v>
      </c>
      <c r="C613" s="9">
        <v>0.48016203703703703</v>
      </c>
      <c r="D613" s="7" t="s">
        <v>18</v>
      </c>
      <c r="E613" s="13" t="s">
        <v>37</v>
      </c>
      <c r="F613" s="16">
        <v>72.6668418</v>
      </c>
      <c r="G613" s="129">
        <v>2193.36328</v>
      </c>
      <c r="H613" s="22">
        <v>0</v>
      </c>
      <c r="I613" s="19"/>
      <c r="J613" s="7" t="s">
        <v>20</v>
      </c>
      <c r="K613" s="16"/>
      <c r="L613" s="16"/>
      <c r="M613" s="16"/>
      <c r="N613" s="16"/>
      <c r="O613" s="16"/>
      <c r="P613" s="16"/>
      <c r="Q613" s="16"/>
      <c r="R613" s="16"/>
      <c r="S613" s="16"/>
      <c r="T613" s="16"/>
    </row>
    <row r="614" spans="1:20" x14ac:dyDescent="0.2">
      <c r="A614">
        <v>653</v>
      </c>
      <c r="B614" s="8">
        <v>46214</v>
      </c>
      <c r="C614" s="9">
        <v>0.48039351851851853</v>
      </c>
      <c r="D614" s="7" t="s">
        <v>18</v>
      </c>
      <c r="E614" s="13" t="s">
        <v>35</v>
      </c>
      <c r="F614" s="16">
        <v>80.336879100000004</v>
      </c>
      <c r="G614" s="129">
        <v>1612.1209699999999</v>
      </c>
      <c r="H614" s="22">
        <v>0</v>
      </c>
      <c r="I614" s="19"/>
      <c r="J614" s="7" t="s">
        <v>20</v>
      </c>
      <c r="K614" s="16"/>
      <c r="L614" s="16"/>
      <c r="M614" s="16"/>
      <c r="N614" s="16"/>
      <c r="O614" s="16"/>
      <c r="P614" s="16"/>
      <c r="Q614" s="16"/>
      <c r="R614" s="16"/>
      <c r="S614" s="16"/>
      <c r="T614" s="16"/>
    </row>
    <row r="615" spans="1:20" x14ac:dyDescent="0.2">
      <c r="A615">
        <v>654</v>
      </c>
      <c r="B615" s="8">
        <v>46214</v>
      </c>
      <c r="C615" s="9">
        <v>0.48138888888888887</v>
      </c>
      <c r="D615" s="7" t="s">
        <v>18</v>
      </c>
      <c r="E615" s="13" t="s">
        <v>33</v>
      </c>
      <c r="F615" s="16">
        <v>84.148077099999995</v>
      </c>
      <c r="G615" s="129">
        <v>2243.41968</v>
      </c>
      <c r="H615" s="22">
        <v>1</v>
      </c>
      <c r="I615" s="19" t="s">
        <v>39</v>
      </c>
      <c r="J615" s="7" t="s">
        <v>20</v>
      </c>
      <c r="K615" s="16"/>
      <c r="L615" s="16"/>
      <c r="M615" s="16"/>
      <c r="N615" s="16">
        <v>69.472651799999994</v>
      </c>
      <c r="O615" s="16"/>
      <c r="P615" s="16"/>
      <c r="Q615" s="16"/>
      <c r="R615" s="16"/>
      <c r="S615" s="16"/>
      <c r="T615" s="16"/>
    </row>
    <row r="616" spans="1:20" x14ac:dyDescent="0.2">
      <c r="A616">
        <v>655</v>
      </c>
      <c r="B616" s="8">
        <v>46214</v>
      </c>
      <c r="C616" s="9">
        <v>0.48163194444444446</v>
      </c>
      <c r="D616" s="7" t="s">
        <v>18</v>
      </c>
      <c r="E616" s="13" t="s">
        <v>33</v>
      </c>
      <c r="F616" s="16">
        <v>84.719752700000001</v>
      </c>
      <c r="G616" s="129">
        <v>1115.7020299999999</v>
      </c>
      <c r="H616" s="22">
        <v>0</v>
      </c>
      <c r="I616" s="19"/>
      <c r="J616" s="7" t="s">
        <v>20</v>
      </c>
      <c r="K616" s="16"/>
      <c r="L616" s="16"/>
      <c r="M616" s="16"/>
      <c r="N616" s="16"/>
      <c r="O616" s="16"/>
      <c r="P616" s="16"/>
      <c r="Q616" s="16"/>
      <c r="R616" s="16"/>
      <c r="S616" s="16"/>
      <c r="T616" s="16"/>
    </row>
    <row r="617" spans="1:20" x14ac:dyDescent="0.2">
      <c r="A617">
        <v>656</v>
      </c>
      <c r="B617" s="8">
        <v>46214</v>
      </c>
      <c r="C617" s="9">
        <v>0.48182870370370373</v>
      </c>
      <c r="D617" s="7" t="s">
        <v>18</v>
      </c>
      <c r="E617" s="13" t="s">
        <v>36</v>
      </c>
      <c r="F617" s="16">
        <v>80.479793799999996</v>
      </c>
      <c r="G617" s="129">
        <v>2089.5617699999998</v>
      </c>
      <c r="H617" s="22">
        <v>1</v>
      </c>
      <c r="I617" s="19" t="s">
        <v>45</v>
      </c>
      <c r="J617" s="7" t="s">
        <v>20</v>
      </c>
      <c r="K617" s="16"/>
      <c r="L617" s="16"/>
      <c r="M617" s="16"/>
      <c r="N617" s="16">
        <v>65.481910299999996</v>
      </c>
      <c r="O617" s="16"/>
      <c r="P617" s="16"/>
      <c r="Q617" s="16"/>
      <c r="R617" s="16"/>
      <c r="S617" s="16"/>
      <c r="T617" s="16"/>
    </row>
    <row r="618" spans="1:20" x14ac:dyDescent="0.2">
      <c r="A618">
        <v>687</v>
      </c>
      <c r="B618" s="8">
        <v>46214</v>
      </c>
      <c r="C618" s="9">
        <v>0.49473379629629627</v>
      </c>
      <c r="D618" s="7" t="s">
        <v>18</v>
      </c>
      <c r="E618" s="13" t="s">
        <v>37</v>
      </c>
      <c r="F618" s="16">
        <v>75.017082000000002</v>
      </c>
      <c r="G618" s="129">
        <v>2203.7246100000002</v>
      </c>
      <c r="H618" s="22">
        <v>0</v>
      </c>
      <c r="I618" s="19"/>
      <c r="J618" s="7" t="s">
        <v>20</v>
      </c>
      <c r="K618" s="16"/>
      <c r="L618" s="16"/>
      <c r="M618" s="16"/>
      <c r="N618" s="16"/>
      <c r="O618" s="16"/>
      <c r="P618" s="16"/>
      <c r="Q618" s="16"/>
      <c r="R618" s="16"/>
      <c r="S618" s="16"/>
      <c r="T618" s="16"/>
    </row>
    <row r="619" spans="1:20" x14ac:dyDescent="0.2">
      <c r="A619">
        <v>688</v>
      </c>
      <c r="B619" s="8">
        <v>46214</v>
      </c>
      <c r="C619" s="9">
        <v>0.49495370370370373</v>
      </c>
      <c r="D619" s="7" t="s">
        <v>18</v>
      </c>
      <c r="E619" s="13" t="s">
        <v>37</v>
      </c>
      <c r="F619" s="16">
        <v>76.605074099999996</v>
      </c>
      <c r="G619" s="129">
        <v>2111.8986799999998</v>
      </c>
      <c r="H619" s="22">
        <v>0</v>
      </c>
      <c r="I619" s="19"/>
      <c r="J619" s="7" t="s">
        <v>20</v>
      </c>
      <c r="K619" s="16"/>
      <c r="L619" s="16"/>
      <c r="M619" s="16"/>
      <c r="N619" s="16"/>
      <c r="O619" s="16"/>
      <c r="P619" s="16"/>
      <c r="Q619" s="16"/>
      <c r="R619" s="16"/>
      <c r="S619" s="16"/>
      <c r="T619" s="16"/>
    </row>
    <row r="620" spans="1:20" x14ac:dyDescent="0.2">
      <c r="A620">
        <v>689</v>
      </c>
      <c r="B620" s="8">
        <v>46214</v>
      </c>
      <c r="C620" s="9">
        <v>0.49523148148148149</v>
      </c>
      <c r="D620" s="7" t="s">
        <v>18</v>
      </c>
      <c r="E620" s="13" t="s">
        <v>33</v>
      </c>
      <c r="F620" s="16">
        <v>82.893555300000003</v>
      </c>
      <c r="G620" s="129">
        <v>1125.8761</v>
      </c>
      <c r="H620" s="22">
        <v>0</v>
      </c>
      <c r="I620" s="19"/>
      <c r="J620" s="7" t="s">
        <v>20</v>
      </c>
      <c r="K620" s="16"/>
      <c r="L620" s="16"/>
      <c r="M620" s="16"/>
      <c r="N620" s="16"/>
      <c r="O620" s="16"/>
      <c r="P620" s="16"/>
      <c r="Q620" s="16"/>
      <c r="R620" s="16"/>
      <c r="S620" s="16"/>
      <c r="T620" s="16"/>
    </row>
    <row r="621" spans="1:20" x14ac:dyDescent="0.2">
      <c r="A621">
        <v>690</v>
      </c>
      <c r="B621" s="8">
        <v>46214</v>
      </c>
      <c r="C621" s="9">
        <v>0.49543981481481481</v>
      </c>
      <c r="D621" s="7" t="s">
        <v>18</v>
      </c>
      <c r="E621" s="13" t="s">
        <v>36</v>
      </c>
      <c r="F621" s="16">
        <v>77.938997700000002</v>
      </c>
      <c r="G621" s="129">
        <v>2224.0058600000002</v>
      </c>
      <c r="H621" s="22">
        <v>1</v>
      </c>
      <c r="I621" s="19" t="s">
        <v>40</v>
      </c>
      <c r="J621" s="7" t="s">
        <v>20</v>
      </c>
      <c r="K621" s="16">
        <v>96.685803899999996</v>
      </c>
      <c r="L621" s="16">
        <v>28.092359500000001</v>
      </c>
      <c r="M621" s="16">
        <v>-4.8413506000000002</v>
      </c>
      <c r="N621" s="16">
        <v>66.549852799999996</v>
      </c>
      <c r="O621" s="16">
        <v>1755.1396500000001</v>
      </c>
      <c r="P621" s="16">
        <v>340</v>
      </c>
      <c r="Q621" s="16">
        <v>1.4528327000000001</v>
      </c>
      <c r="R621" s="16">
        <v>1.5955442200000001</v>
      </c>
      <c r="S621" s="16">
        <v>106.183233</v>
      </c>
      <c r="T621" s="16">
        <v>0.91055618000000005</v>
      </c>
    </row>
    <row r="622" spans="1:20" x14ac:dyDescent="0.2">
      <c r="A622">
        <v>729</v>
      </c>
      <c r="B622" s="8">
        <v>46214</v>
      </c>
      <c r="C622" s="9">
        <v>0.50920138888888888</v>
      </c>
      <c r="D622" s="7" t="s">
        <v>21</v>
      </c>
      <c r="E622" s="13" t="s">
        <v>37</v>
      </c>
      <c r="F622" s="16">
        <v>73.794320900000002</v>
      </c>
      <c r="G622" s="129">
        <v>1057.2724599999999</v>
      </c>
      <c r="H622" s="22">
        <v>1</v>
      </c>
      <c r="I622" s="19" t="s">
        <v>38</v>
      </c>
      <c r="J622" s="7" t="s">
        <v>20</v>
      </c>
      <c r="K622" s="16"/>
      <c r="L622" s="16"/>
      <c r="M622" s="16"/>
      <c r="N622" s="16">
        <v>64.751209299999999</v>
      </c>
      <c r="O622" s="16"/>
      <c r="P622" s="16"/>
      <c r="Q622" s="16"/>
      <c r="R622" s="16"/>
      <c r="S622" s="16"/>
      <c r="T622" s="16"/>
    </row>
    <row r="623" spans="1:20" x14ac:dyDescent="0.2">
      <c r="A623">
        <v>730</v>
      </c>
      <c r="B623" s="8">
        <v>46214</v>
      </c>
      <c r="C623" s="9">
        <v>0.50964120370370369</v>
      </c>
      <c r="D623" s="7" t="s">
        <v>21</v>
      </c>
      <c r="E623" s="13" t="s">
        <v>46</v>
      </c>
      <c r="F623" s="16">
        <v>70.570682700000006</v>
      </c>
      <c r="G623" s="129">
        <v>400.35399999999998</v>
      </c>
      <c r="H623" s="22">
        <v>1</v>
      </c>
      <c r="I623" s="19" t="s">
        <v>38</v>
      </c>
      <c r="J623" s="7" t="s">
        <v>20</v>
      </c>
      <c r="K623" s="16"/>
      <c r="L623" s="16">
        <v>-49.925877</v>
      </c>
      <c r="M623" s="16"/>
      <c r="N623" s="16">
        <v>66.606061199999999</v>
      </c>
      <c r="O623" s="16"/>
      <c r="P623" s="16">
        <v>13</v>
      </c>
      <c r="Q623" s="16"/>
      <c r="R623" s="16"/>
      <c r="S623" s="16"/>
      <c r="T623" s="16"/>
    </row>
    <row r="624" spans="1:20" x14ac:dyDescent="0.2">
      <c r="A624">
        <v>731</v>
      </c>
      <c r="B624" s="8">
        <v>46214</v>
      </c>
      <c r="C624" s="9">
        <v>0.50996527777777778</v>
      </c>
      <c r="D624" s="7" t="s">
        <v>21</v>
      </c>
      <c r="E624" s="13" t="s">
        <v>53</v>
      </c>
      <c r="F624" s="16">
        <v>70.189562899999999</v>
      </c>
      <c r="G624" s="129">
        <v>2023.68445</v>
      </c>
      <c r="H624" s="22">
        <v>1</v>
      </c>
      <c r="I624" s="19" t="s">
        <v>40</v>
      </c>
      <c r="J624" s="7" t="s">
        <v>20</v>
      </c>
      <c r="K624" s="16">
        <v>56.254753999999998</v>
      </c>
      <c r="L624" s="16">
        <v>41.431888600000001</v>
      </c>
      <c r="M624" s="16">
        <v>-20.675659</v>
      </c>
      <c r="N624" s="16">
        <v>53.734510499999999</v>
      </c>
      <c r="O624" s="16"/>
      <c r="P624" s="16">
        <v>172</v>
      </c>
      <c r="Q624" s="16">
        <v>1.04690182</v>
      </c>
      <c r="R624" s="16">
        <v>1.6565011700000001</v>
      </c>
      <c r="S624" s="16">
        <v>89.011278000000004</v>
      </c>
      <c r="T624" s="16">
        <v>0.63199576999999996</v>
      </c>
    </row>
    <row r="625" spans="1:20" x14ac:dyDescent="0.2">
      <c r="A625">
        <v>753</v>
      </c>
      <c r="B625" s="8">
        <v>46214</v>
      </c>
      <c r="C625" s="9">
        <v>0.52012731481481478</v>
      </c>
      <c r="D625" s="7" t="s">
        <v>22</v>
      </c>
      <c r="E625" s="13" t="s">
        <v>57</v>
      </c>
      <c r="F625" s="16">
        <v>70.745362299999996</v>
      </c>
      <c r="G625" s="129">
        <v>2008.1374499999999</v>
      </c>
      <c r="H625" s="22">
        <v>0</v>
      </c>
      <c r="I625" s="19"/>
      <c r="J625" s="7" t="s">
        <v>20</v>
      </c>
      <c r="K625" s="16"/>
      <c r="L625" s="16"/>
      <c r="M625" s="16"/>
      <c r="N625" s="16"/>
      <c r="O625" s="16"/>
      <c r="P625" s="16"/>
      <c r="Q625" s="16"/>
      <c r="R625" s="16"/>
      <c r="S625" s="16"/>
      <c r="T625" s="16"/>
    </row>
    <row r="626" spans="1:20" x14ac:dyDescent="0.2">
      <c r="A626">
        <v>754</v>
      </c>
      <c r="B626" s="8">
        <v>46214</v>
      </c>
      <c r="C626" s="9">
        <v>0.52033564814814814</v>
      </c>
      <c r="D626" s="7" t="s">
        <v>22</v>
      </c>
      <c r="E626" s="13" t="s">
        <v>57</v>
      </c>
      <c r="F626" s="16">
        <v>70.443639899999994</v>
      </c>
      <c r="G626" s="129">
        <v>2076.22217</v>
      </c>
      <c r="H626" s="22">
        <v>1</v>
      </c>
      <c r="I626" s="19"/>
      <c r="J626" s="7" t="s">
        <v>20</v>
      </c>
      <c r="K626" s="16"/>
      <c r="L626" s="16"/>
      <c r="M626" s="16"/>
      <c r="N626" s="16"/>
      <c r="O626" s="16"/>
      <c r="P626" s="16"/>
      <c r="Q626" s="16"/>
      <c r="R626" s="16"/>
      <c r="S626" s="16"/>
      <c r="T626" s="16"/>
    </row>
    <row r="627" spans="1:20" x14ac:dyDescent="0.2">
      <c r="A627">
        <v>755</v>
      </c>
      <c r="B627" s="8">
        <v>46214</v>
      </c>
      <c r="C627" s="9">
        <v>0.52069444444444446</v>
      </c>
      <c r="D627" s="7" t="s">
        <v>22</v>
      </c>
      <c r="E627" s="13" t="s">
        <v>55</v>
      </c>
      <c r="F627" s="16">
        <v>76.239834599999995</v>
      </c>
      <c r="G627" s="129">
        <v>1246.62952</v>
      </c>
      <c r="H627" s="22">
        <v>0</v>
      </c>
      <c r="I627" s="19"/>
      <c r="J627" s="7" t="s">
        <v>20</v>
      </c>
      <c r="K627" s="16"/>
      <c r="L627" s="16"/>
      <c r="M627" s="16"/>
      <c r="N627" s="16"/>
      <c r="O627" s="16"/>
      <c r="P627" s="16"/>
      <c r="Q627" s="16"/>
      <c r="R627" s="16"/>
      <c r="S627" s="16"/>
      <c r="T627" s="16"/>
    </row>
    <row r="628" spans="1:20" x14ac:dyDescent="0.2">
      <c r="A628">
        <v>756</v>
      </c>
      <c r="B628" s="8">
        <v>46214</v>
      </c>
      <c r="C628" s="9">
        <v>0.52097222222222217</v>
      </c>
      <c r="D628" s="7" t="s">
        <v>22</v>
      </c>
      <c r="E628" s="13" t="s">
        <v>58</v>
      </c>
      <c r="F628" s="16">
        <v>84.418034599999999</v>
      </c>
      <c r="G628" s="129">
        <v>1995.7374299999999</v>
      </c>
      <c r="H628" s="22">
        <v>1</v>
      </c>
      <c r="I628" s="19" t="s">
        <v>39</v>
      </c>
      <c r="J628" s="7" t="s">
        <v>20</v>
      </c>
      <c r="K628" s="16"/>
      <c r="L628" s="16">
        <v>-61.069049999999997</v>
      </c>
      <c r="M628" s="16">
        <v>-3.003314</v>
      </c>
      <c r="N628" s="16">
        <v>64.919830500000003</v>
      </c>
      <c r="O628" s="16"/>
      <c r="P628" s="16"/>
      <c r="Q628" s="16"/>
      <c r="R628" s="16"/>
      <c r="S628" s="16"/>
      <c r="T628" s="16"/>
    </row>
    <row r="629" spans="1:20" x14ac:dyDescent="0.2">
      <c r="A629">
        <v>757</v>
      </c>
      <c r="B629" s="8">
        <v>46214</v>
      </c>
      <c r="C629" s="9">
        <v>0.52129629629629626</v>
      </c>
      <c r="D629" s="7" t="s">
        <v>22</v>
      </c>
      <c r="E629" s="13" t="s">
        <v>58</v>
      </c>
      <c r="F629" s="16">
        <v>85.116757000000007</v>
      </c>
      <c r="G629" s="129">
        <v>2097.9292</v>
      </c>
      <c r="H629" s="22">
        <v>1</v>
      </c>
      <c r="I629" s="19" t="s">
        <v>42</v>
      </c>
      <c r="J629" s="7" t="s">
        <v>20</v>
      </c>
      <c r="K629" s="16"/>
      <c r="L629" s="16"/>
      <c r="M629" s="16"/>
      <c r="N629" s="16"/>
      <c r="O629" s="16"/>
      <c r="P629" s="16"/>
      <c r="Q629" s="16"/>
      <c r="R629" s="16"/>
      <c r="S629" s="16"/>
      <c r="T629" s="16"/>
    </row>
    <row r="630" spans="1:20" x14ac:dyDescent="0.2">
      <c r="A630">
        <v>804</v>
      </c>
      <c r="B630" s="8">
        <v>46218</v>
      </c>
      <c r="C630" s="9">
        <v>0.45004629629629628</v>
      </c>
      <c r="D630" s="7" t="s">
        <v>28</v>
      </c>
      <c r="E630" s="13" t="s">
        <v>37</v>
      </c>
      <c r="F630" s="16">
        <v>70.681840899999997</v>
      </c>
      <c r="G630" s="129">
        <v>2343.4147899999998</v>
      </c>
      <c r="H630" s="22">
        <v>0</v>
      </c>
      <c r="I630" s="19"/>
      <c r="J630" s="7" t="s">
        <v>20</v>
      </c>
      <c r="K630" s="16"/>
      <c r="L630" s="16"/>
      <c r="M630" s="16"/>
      <c r="N630" s="16"/>
      <c r="O630" s="16"/>
      <c r="P630" s="16"/>
      <c r="Q630" s="16"/>
      <c r="R630" s="16"/>
      <c r="S630" s="16"/>
      <c r="T630" s="16"/>
    </row>
    <row r="631" spans="1:20" x14ac:dyDescent="0.2">
      <c r="A631">
        <v>805</v>
      </c>
      <c r="B631" s="8">
        <v>46218</v>
      </c>
      <c r="C631" s="9">
        <v>0.45037037037037037</v>
      </c>
      <c r="D631" s="7" t="s">
        <v>28</v>
      </c>
      <c r="E631" s="13" t="s">
        <v>37</v>
      </c>
      <c r="F631" s="16">
        <v>72.015764599999997</v>
      </c>
      <c r="G631" s="129">
        <v>2312.6</v>
      </c>
      <c r="H631" s="22">
        <v>1</v>
      </c>
      <c r="I631" s="19" t="s">
        <v>39</v>
      </c>
      <c r="J631" s="7" t="s">
        <v>20</v>
      </c>
      <c r="K631" s="16"/>
      <c r="L631" s="16"/>
      <c r="M631" s="16"/>
      <c r="N631" s="16">
        <v>66.700216999999995</v>
      </c>
      <c r="O631" s="16"/>
      <c r="P631" s="16"/>
      <c r="Q631" s="16"/>
      <c r="R631" s="16"/>
      <c r="S631" s="16"/>
      <c r="T631" s="16"/>
    </row>
    <row r="632" spans="1:20" x14ac:dyDescent="0.2">
      <c r="A632">
        <v>806</v>
      </c>
      <c r="B632" s="8">
        <v>46218</v>
      </c>
      <c r="C632" s="9">
        <v>0.45075231481481481</v>
      </c>
      <c r="D632" s="7" t="s">
        <v>28</v>
      </c>
      <c r="E632" s="13" t="s">
        <v>35</v>
      </c>
      <c r="F632" s="16">
        <v>72.603320400000001</v>
      </c>
      <c r="G632" s="129">
        <v>1277.51917</v>
      </c>
      <c r="H632" s="22">
        <v>1</v>
      </c>
      <c r="I632" s="19" t="s">
        <v>39</v>
      </c>
      <c r="J632" s="7" t="s">
        <v>20</v>
      </c>
      <c r="K632" s="16"/>
      <c r="L632" s="16"/>
      <c r="M632" s="16"/>
      <c r="N632" s="16">
        <v>62.012566200000002</v>
      </c>
      <c r="O632" s="16"/>
      <c r="P632" s="16"/>
      <c r="Q632" s="16"/>
      <c r="R632" s="16"/>
      <c r="S632" s="16"/>
      <c r="T632" s="16"/>
    </row>
    <row r="633" spans="1:20" x14ac:dyDescent="0.2">
      <c r="A633">
        <v>807</v>
      </c>
      <c r="B633" s="8">
        <v>46218</v>
      </c>
      <c r="C633" s="9">
        <v>0.45099537037037035</v>
      </c>
      <c r="D633" s="7" t="s">
        <v>28</v>
      </c>
      <c r="E633" s="13" t="s">
        <v>37</v>
      </c>
      <c r="F633" s="16">
        <v>72.476279000000005</v>
      </c>
      <c r="G633" s="129">
        <v>1157.0354</v>
      </c>
      <c r="H633" s="22">
        <v>1</v>
      </c>
      <c r="I633" s="19" t="s">
        <v>38</v>
      </c>
      <c r="J633" s="7" t="s">
        <v>20</v>
      </c>
      <c r="K633" s="16"/>
      <c r="L633" s="16"/>
      <c r="M633" s="16"/>
      <c r="N633" s="16">
        <v>57.663778700000002</v>
      </c>
      <c r="O633" s="16"/>
      <c r="P633" s="16"/>
      <c r="Q633" s="16"/>
      <c r="R633" s="16"/>
      <c r="S633" s="16"/>
      <c r="T633" s="16"/>
    </row>
    <row r="634" spans="1:20" s="155" customFormat="1" x14ac:dyDescent="0.2">
      <c r="A634" s="155">
        <v>808</v>
      </c>
      <c r="B634" s="163">
        <v>46218</v>
      </c>
      <c r="C634" s="164">
        <v>0.45134259259259257</v>
      </c>
      <c r="D634" s="165" t="s">
        <v>28</v>
      </c>
      <c r="E634" s="166" t="s">
        <v>37</v>
      </c>
      <c r="F634" s="167">
        <v>72.253961099999998</v>
      </c>
      <c r="G634" s="168">
        <v>2273.13501</v>
      </c>
      <c r="H634" s="169">
        <v>1</v>
      </c>
      <c r="I634" s="170" t="s">
        <v>45</v>
      </c>
      <c r="J634" s="165" t="s">
        <v>20</v>
      </c>
      <c r="K634" s="167"/>
      <c r="L634" s="167"/>
      <c r="M634" s="167"/>
      <c r="N634" s="167">
        <v>63.819853899999998</v>
      </c>
      <c r="O634" s="167"/>
      <c r="P634" s="167"/>
      <c r="Q634" s="167"/>
      <c r="R634" s="167"/>
      <c r="S634" s="167"/>
      <c r="T634" s="167"/>
    </row>
    <row r="635" spans="1:20" x14ac:dyDescent="0.2">
      <c r="A635">
        <v>839</v>
      </c>
      <c r="B635" s="8">
        <v>46218</v>
      </c>
      <c r="C635" s="9">
        <v>0.46440972222222221</v>
      </c>
      <c r="D635" s="7" t="s">
        <v>25</v>
      </c>
      <c r="E635" s="13" t="s">
        <v>37</v>
      </c>
      <c r="F635" s="16">
        <v>73.492602700000006</v>
      </c>
      <c r="G635" s="129">
        <v>2138.2353499999999</v>
      </c>
      <c r="H635" s="22">
        <v>0</v>
      </c>
      <c r="I635" s="19"/>
      <c r="J635" s="7" t="s">
        <v>20</v>
      </c>
      <c r="K635" s="16"/>
      <c r="L635" s="16"/>
      <c r="M635" s="16"/>
      <c r="N635" s="16"/>
      <c r="O635" s="16"/>
      <c r="P635" s="16"/>
      <c r="Q635" s="16"/>
      <c r="R635" s="16"/>
      <c r="S635" s="16"/>
      <c r="T635" s="16"/>
    </row>
    <row r="636" spans="1:20" x14ac:dyDescent="0.2">
      <c r="A636">
        <v>840</v>
      </c>
      <c r="B636" s="8">
        <v>46218</v>
      </c>
      <c r="C636" s="9">
        <v>0.46457175925925925</v>
      </c>
      <c r="D636" s="7" t="s">
        <v>25</v>
      </c>
      <c r="E636" s="13" t="s">
        <v>33</v>
      </c>
      <c r="F636" s="16">
        <v>86.387155000000007</v>
      </c>
      <c r="G636" s="129">
        <v>989.86285399999997</v>
      </c>
      <c r="H636" s="22">
        <v>1</v>
      </c>
      <c r="I636" s="19"/>
      <c r="J636" s="7" t="s">
        <v>20</v>
      </c>
      <c r="K636" s="16"/>
      <c r="L636" s="16"/>
      <c r="M636" s="16"/>
      <c r="N636" s="16"/>
      <c r="O636" s="16"/>
      <c r="P636" s="16"/>
      <c r="Q636" s="16"/>
      <c r="R636" s="16"/>
      <c r="S636" s="16"/>
      <c r="T636" s="16"/>
    </row>
    <row r="637" spans="1:20" x14ac:dyDescent="0.2">
      <c r="A637">
        <v>841</v>
      </c>
      <c r="B637" s="8">
        <v>46218</v>
      </c>
      <c r="C637" s="9">
        <v>0.46474537037037039</v>
      </c>
      <c r="D637" s="7" t="s">
        <v>25</v>
      </c>
      <c r="E637" s="13" t="s">
        <v>35</v>
      </c>
      <c r="F637" s="16">
        <v>75.572877099999999</v>
      </c>
      <c r="G637" s="129">
        <v>1632.08484</v>
      </c>
      <c r="H637" s="22">
        <v>1</v>
      </c>
      <c r="I637" s="19" t="s">
        <v>38</v>
      </c>
      <c r="J637" s="7" t="s">
        <v>20</v>
      </c>
      <c r="K637" s="16">
        <v>84.814463000000003</v>
      </c>
      <c r="L637" s="16">
        <v>24.6304321</v>
      </c>
      <c r="M637" s="16">
        <v>-39.619788999999997</v>
      </c>
      <c r="N637" s="16">
        <v>63.255073400000001</v>
      </c>
      <c r="O637" s="16">
        <v>2731.22046</v>
      </c>
      <c r="P637" s="16">
        <v>268</v>
      </c>
      <c r="Q637" s="16">
        <v>1.34083259</v>
      </c>
      <c r="R637" s="16">
        <v>1.6015853900000001</v>
      </c>
      <c r="S637" s="16">
        <v>101.308401</v>
      </c>
      <c r="T637" s="16">
        <v>0.83719078000000002</v>
      </c>
    </row>
    <row r="638" spans="1:20" x14ac:dyDescent="0.2">
      <c r="A638">
        <v>842</v>
      </c>
      <c r="B638" s="8">
        <v>46218</v>
      </c>
      <c r="C638" s="9">
        <v>0.46498842592592593</v>
      </c>
      <c r="D638" s="7" t="s">
        <v>25</v>
      </c>
      <c r="E638" s="13" t="s">
        <v>37</v>
      </c>
      <c r="F638" s="16">
        <v>75.795201899999995</v>
      </c>
      <c r="G638" s="129">
        <v>2102.1191399999998</v>
      </c>
      <c r="H638" s="22">
        <v>0</v>
      </c>
      <c r="I638" s="19"/>
      <c r="J638" s="7" t="s">
        <v>20</v>
      </c>
      <c r="K638" s="16"/>
      <c r="L638" s="16"/>
      <c r="M638" s="16"/>
      <c r="N638" s="16"/>
      <c r="O638" s="16"/>
      <c r="P638" s="16"/>
      <c r="Q638" s="16"/>
      <c r="R638" s="16"/>
      <c r="S638" s="16"/>
      <c r="T638" s="16"/>
    </row>
    <row r="639" spans="1:20" x14ac:dyDescent="0.2">
      <c r="A639">
        <v>843</v>
      </c>
      <c r="B639" s="8">
        <v>46218</v>
      </c>
      <c r="C639" s="9">
        <v>0.46517361111111111</v>
      </c>
      <c r="D639" s="7" t="s">
        <v>25</v>
      </c>
      <c r="E639" s="13" t="s">
        <v>33</v>
      </c>
      <c r="F639" s="16">
        <v>88.292754000000002</v>
      </c>
      <c r="G639" s="129">
        <v>1936.30798</v>
      </c>
      <c r="H639" s="22">
        <v>0</v>
      </c>
      <c r="I639" s="19"/>
      <c r="J639" s="7" t="s">
        <v>20</v>
      </c>
      <c r="K639" s="16"/>
      <c r="L639" s="16"/>
      <c r="M639" s="16"/>
      <c r="N639" s="16"/>
      <c r="O639" s="16"/>
      <c r="P639" s="16"/>
      <c r="Q639" s="16"/>
      <c r="R639" s="16"/>
      <c r="S639" s="16"/>
      <c r="T639" s="16"/>
    </row>
    <row r="640" spans="1:20" x14ac:dyDescent="0.2">
      <c r="A640">
        <v>844</v>
      </c>
      <c r="B640" s="8">
        <v>46218</v>
      </c>
      <c r="C640" s="9">
        <v>0.46534722222222225</v>
      </c>
      <c r="D640" s="7" t="s">
        <v>25</v>
      </c>
      <c r="E640" s="13" t="s">
        <v>37</v>
      </c>
      <c r="F640" s="16">
        <v>73.238517200000004</v>
      </c>
      <c r="G640" s="129">
        <v>2097.6076699999999</v>
      </c>
      <c r="H640" s="22">
        <v>1</v>
      </c>
      <c r="I640" s="19" t="s">
        <v>42</v>
      </c>
      <c r="J640" s="7" t="s">
        <v>20</v>
      </c>
      <c r="K640" s="16"/>
      <c r="L640" s="16"/>
      <c r="M640" s="16"/>
      <c r="N640" s="16"/>
      <c r="O640" s="16"/>
      <c r="P640" s="16"/>
      <c r="Q640" s="16"/>
      <c r="R640" s="16"/>
      <c r="S640" s="16"/>
      <c r="T640" s="16"/>
    </row>
    <row r="641" spans="1:20" x14ac:dyDescent="0.2">
      <c r="A641">
        <v>867</v>
      </c>
      <c r="B641" s="8">
        <v>46218</v>
      </c>
      <c r="C641" s="9">
        <v>0.47596064814814815</v>
      </c>
      <c r="D641" s="7" t="s">
        <v>28</v>
      </c>
      <c r="E641" s="13" t="s">
        <v>37</v>
      </c>
      <c r="F641" s="16">
        <v>69.808443199999999</v>
      </c>
      <c r="G641" s="129">
        <v>2312.01514</v>
      </c>
      <c r="H641" s="22">
        <v>1</v>
      </c>
      <c r="I641" s="19" t="s">
        <v>40</v>
      </c>
      <c r="J641" s="7" t="s">
        <v>20</v>
      </c>
      <c r="K641" s="16">
        <v>76.666905900000003</v>
      </c>
      <c r="L641" s="16">
        <v>40.879875200000001</v>
      </c>
      <c r="M641" s="16">
        <v>-23.807206999999998</v>
      </c>
      <c r="N641" s="16">
        <v>66.926130099999995</v>
      </c>
      <c r="O641" s="16">
        <v>2850.29736</v>
      </c>
      <c r="P641" s="16">
        <v>271</v>
      </c>
      <c r="Q641" s="16">
        <v>1.1455451299999999</v>
      </c>
      <c r="R641" s="16">
        <v>1.5636215200000001</v>
      </c>
      <c r="S641" s="16">
        <v>104.64713999999999</v>
      </c>
      <c r="T641" s="16">
        <v>0.73262305999999999</v>
      </c>
    </row>
    <row r="642" spans="1:20" x14ac:dyDescent="0.2">
      <c r="A642">
        <v>891</v>
      </c>
      <c r="B642" s="8">
        <v>46221</v>
      </c>
      <c r="C642" s="9">
        <v>0.4276388888888889</v>
      </c>
      <c r="D642" s="7" t="s">
        <v>18</v>
      </c>
      <c r="E642" s="13" t="s">
        <v>37</v>
      </c>
      <c r="F642" s="16">
        <v>70.761242600000003</v>
      </c>
      <c r="G642" s="129">
        <v>1994.6124299999999</v>
      </c>
      <c r="H642" s="22">
        <v>0</v>
      </c>
      <c r="I642" s="19"/>
      <c r="J642" s="7" t="s">
        <v>20</v>
      </c>
      <c r="K642" s="16"/>
      <c r="L642" s="16"/>
      <c r="M642" s="16"/>
      <c r="N642" s="16"/>
      <c r="O642" s="16"/>
      <c r="P642" s="16"/>
      <c r="Q642" s="16"/>
      <c r="R642" s="16"/>
      <c r="S642" s="16"/>
      <c r="T642" s="16"/>
    </row>
    <row r="643" spans="1:20" x14ac:dyDescent="0.2">
      <c r="A643">
        <v>892</v>
      </c>
      <c r="B643" s="8">
        <v>46221</v>
      </c>
      <c r="C643" s="9">
        <v>0.42782407407407408</v>
      </c>
      <c r="D643" s="7" t="s">
        <v>18</v>
      </c>
      <c r="E643" s="13" t="s">
        <v>36</v>
      </c>
      <c r="F643" s="16">
        <v>77.605518900000007</v>
      </c>
      <c r="G643" s="129">
        <v>2068.56567</v>
      </c>
      <c r="H643" s="22">
        <v>1</v>
      </c>
      <c r="I643" s="19" t="s">
        <v>39</v>
      </c>
      <c r="J643" s="7" t="s">
        <v>20</v>
      </c>
      <c r="K643" s="16"/>
      <c r="L643" s="16"/>
      <c r="M643" s="16"/>
      <c r="N643" s="16">
        <v>67.638855699999993</v>
      </c>
      <c r="O643" s="16"/>
      <c r="P643" s="16"/>
      <c r="Q643" s="16"/>
      <c r="R643" s="16"/>
      <c r="S643" s="16"/>
      <c r="T643" s="16"/>
    </row>
    <row r="644" spans="1:20" x14ac:dyDescent="0.2">
      <c r="A644">
        <v>893</v>
      </c>
      <c r="B644" s="8">
        <v>46221</v>
      </c>
      <c r="C644" s="9">
        <v>0.42804398148148148</v>
      </c>
      <c r="D644" s="7" t="s">
        <v>18</v>
      </c>
      <c r="E644" s="13" t="s">
        <v>37</v>
      </c>
      <c r="F644" s="16">
        <v>73.476722499999994</v>
      </c>
      <c r="G644" s="129">
        <v>2138.5095200000001</v>
      </c>
      <c r="H644" s="22">
        <v>0</v>
      </c>
      <c r="I644" s="19"/>
      <c r="J644" s="7" t="s">
        <v>20</v>
      </c>
      <c r="K644" s="16"/>
      <c r="L644" s="16"/>
      <c r="M644" s="16"/>
      <c r="N644" s="16"/>
      <c r="O644" s="16"/>
      <c r="P644" s="16"/>
      <c r="Q644" s="16"/>
      <c r="R644" s="16"/>
      <c r="S644" s="16"/>
      <c r="T644" s="16"/>
    </row>
    <row r="645" spans="1:20" x14ac:dyDescent="0.2">
      <c r="A645">
        <v>894</v>
      </c>
      <c r="B645" s="8">
        <v>46221</v>
      </c>
      <c r="C645" s="9">
        <v>0.42827546296296298</v>
      </c>
      <c r="D645" s="7" t="s">
        <v>18</v>
      </c>
      <c r="E645" s="13" t="s">
        <v>36</v>
      </c>
      <c r="F645" s="16">
        <v>76.795638199999999</v>
      </c>
      <c r="G645" s="129">
        <v>2206.6259799999998</v>
      </c>
      <c r="H645" s="22">
        <v>0</v>
      </c>
      <c r="I645" s="19"/>
      <c r="J645" s="7" t="s">
        <v>20</v>
      </c>
      <c r="K645" s="16"/>
      <c r="L645" s="16"/>
      <c r="M645" s="16"/>
      <c r="N645" s="16"/>
      <c r="O645" s="16"/>
      <c r="P645" s="16"/>
      <c r="Q645" s="16"/>
      <c r="R645" s="16"/>
      <c r="S645" s="16"/>
      <c r="T645" s="16"/>
    </row>
    <row r="646" spans="1:20" x14ac:dyDescent="0.2">
      <c r="A646">
        <v>895</v>
      </c>
      <c r="B646" s="8">
        <v>46221</v>
      </c>
      <c r="C646" s="9">
        <v>0.4284722222222222</v>
      </c>
      <c r="D646" s="7" t="s">
        <v>18</v>
      </c>
      <c r="E646" s="13" t="s">
        <v>36</v>
      </c>
      <c r="F646" s="16">
        <v>78.367758600000002</v>
      </c>
      <c r="G646" s="129">
        <v>2052.4160200000001</v>
      </c>
      <c r="H646" s="22">
        <v>1</v>
      </c>
      <c r="I646" s="19" t="s">
        <v>39</v>
      </c>
      <c r="J646" s="7" t="s">
        <v>20</v>
      </c>
      <c r="K646" s="16"/>
      <c r="L646" s="16"/>
      <c r="M646" s="16"/>
      <c r="N646" s="16">
        <v>70.608911699999993</v>
      </c>
      <c r="O646" s="16"/>
      <c r="P646" s="16"/>
      <c r="Q646" s="16"/>
      <c r="R646" s="16"/>
      <c r="S646" s="16"/>
      <c r="T646" s="16"/>
    </row>
    <row r="647" spans="1:20" x14ac:dyDescent="0.2">
      <c r="A647">
        <v>896</v>
      </c>
      <c r="B647" s="8">
        <v>46221</v>
      </c>
      <c r="C647" s="9">
        <v>0.42871527777777779</v>
      </c>
      <c r="D647" s="7" t="s">
        <v>18</v>
      </c>
      <c r="E647" s="13" t="s">
        <v>37</v>
      </c>
      <c r="F647" s="16">
        <v>72.222200400000006</v>
      </c>
      <c r="G647" s="129">
        <v>2125.5104999999999</v>
      </c>
      <c r="H647" s="22">
        <v>1</v>
      </c>
      <c r="I647" s="19" t="s">
        <v>40</v>
      </c>
      <c r="J647" s="7" t="s">
        <v>20</v>
      </c>
      <c r="K647" s="16">
        <v>87.841380099999995</v>
      </c>
      <c r="L647" s="16">
        <v>61.949638399999998</v>
      </c>
      <c r="M647" s="16">
        <v>-18.295107000000002</v>
      </c>
      <c r="N647" s="16">
        <v>64.612757799999997</v>
      </c>
      <c r="O647" s="16">
        <v>4890.0932599999996</v>
      </c>
      <c r="P647" s="16">
        <v>271</v>
      </c>
      <c r="Q647" s="16">
        <v>1.35950518</v>
      </c>
      <c r="R647" s="16">
        <v>1.5847936899999999</v>
      </c>
      <c r="S647" s="16">
        <v>102.397891</v>
      </c>
      <c r="T647" s="16">
        <v>0.85784362999999997</v>
      </c>
    </row>
    <row r="648" spans="1:20" x14ac:dyDescent="0.2">
      <c r="A648">
        <v>922</v>
      </c>
      <c r="B648" s="8">
        <v>46221</v>
      </c>
      <c r="C648" s="9">
        <v>0.43787037037037035</v>
      </c>
      <c r="D648" s="7" t="s">
        <v>24</v>
      </c>
      <c r="E648" s="13" t="s">
        <v>35</v>
      </c>
      <c r="F648" s="16">
        <v>74.048397600000001</v>
      </c>
      <c r="G648" s="129">
        <v>1334.18884</v>
      </c>
      <c r="H648" s="22">
        <v>0</v>
      </c>
      <c r="I648" s="19"/>
      <c r="J648" s="7" t="s">
        <v>20</v>
      </c>
      <c r="K648" s="16"/>
      <c r="L648" s="16"/>
      <c r="M648" s="16"/>
      <c r="N648" s="16"/>
      <c r="O648" s="16"/>
      <c r="P648" s="16"/>
      <c r="Q648" s="16"/>
      <c r="R648" s="16"/>
      <c r="S648" s="16"/>
      <c r="T648" s="16"/>
    </row>
    <row r="649" spans="1:20" x14ac:dyDescent="0.2">
      <c r="A649">
        <v>923</v>
      </c>
      <c r="B649" s="8">
        <v>46221</v>
      </c>
      <c r="C649" s="9">
        <v>0.43841435185185185</v>
      </c>
      <c r="D649" s="7" t="s">
        <v>24</v>
      </c>
      <c r="E649" s="13" t="s">
        <v>33</v>
      </c>
      <c r="F649" s="16">
        <v>81.861358300000006</v>
      </c>
      <c r="G649" s="129">
        <v>2232.0998500000001</v>
      </c>
      <c r="H649" s="22">
        <v>0</v>
      </c>
      <c r="I649" s="19"/>
      <c r="J649" s="7" t="s">
        <v>20</v>
      </c>
      <c r="K649" s="16"/>
      <c r="L649" s="16"/>
      <c r="M649" s="16"/>
      <c r="N649" s="16"/>
      <c r="O649" s="16"/>
      <c r="P649" s="16"/>
      <c r="Q649" s="16"/>
      <c r="R649" s="16"/>
      <c r="S649" s="16"/>
      <c r="T649" s="16"/>
    </row>
    <row r="650" spans="1:20" x14ac:dyDescent="0.2">
      <c r="A650">
        <v>924</v>
      </c>
      <c r="B650" s="8">
        <v>46221</v>
      </c>
      <c r="C650" s="9">
        <v>0.43861111111111112</v>
      </c>
      <c r="D650" s="7" t="s">
        <v>24</v>
      </c>
      <c r="E650" s="13" t="s">
        <v>37</v>
      </c>
      <c r="F650" s="16">
        <v>69.538481399999995</v>
      </c>
      <c r="G650" s="129">
        <v>2131.2807600000001</v>
      </c>
      <c r="H650" s="22">
        <v>1</v>
      </c>
      <c r="I650" s="19" t="s">
        <v>39</v>
      </c>
      <c r="J650" s="7" t="s">
        <v>20</v>
      </c>
      <c r="K650" s="16"/>
      <c r="L650" s="16"/>
      <c r="M650" s="16"/>
      <c r="N650" s="16">
        <v>50.322859600000001</v>
      </c>
      <c r="O650" s="16"/>
      <c r="P650" s="16"/>
      <c r="Q650" s="16"/>
      <c r="R650" s="16"/>
      <c r="S650" s="16"/>
      <c r="T650" s="16"/>
    </row>
    <row r="651" spans="1:20" x14ac:dyDescent="0.2">
      <c r="A651">
        <v>925</v>
      </c>
      <c r="B651" s="8">
        <v>46221</v>
      </c>
      <c r="C651" s="9">
        <v>0.43880787037037039</v>
      </c>
      <c r="D651" s="7" t="s">
        <v>24</v>
      </c>
      <c r="E651" s="13" t="s">
        <v>37</v>
      </c>
      <c r="F651" s="16">
        <v>67.585241300000007</v>
      </c>
      <c r="G651" s="129">
        <v>1114.9322500000001</v>
      </c>
      <c r="H651" s="22">
        <v>0</v>
      </c>
      <c r="I651" s="19"/>
      <c r="J651" s="7" t="s">
        <v>20</v>
      </c>
      <c r="K651" s="16"/>
      <c r="L651" s="16"/>
      <c r="M651" s="16"/>
      <c r="N651" s="16"/>
      <c r="O651" s="16"/>
      <c r="P651" s="16"/>
      <c r="Q651" s="16"/>
      <c r="R651" s="16"/>
      <c r="S651" s="16"/>
      <c r="T651" s="16"/>
    </row>
    <row r="652" spans="1:20" x14ac:dyDescent="0.2">
      <c r="A652">
        <v>926</v>
      </c>
      <c r="B652" s="8">
        <v>46221</v>
      </c>
      <c r="C652" s="9">
        <v>0.43909722222222225</v>
      </c>
      <c r="D652" s="7" t="s">
        <v>24</v>
      </c>
      <c r="E652" s="13" t="s">
        <v>33</v>
      </c>
      <c r="F652" s="16">
        <v>82.115435300000001</v>
      </c>
      <c r="G652" s="129">
        <v>2199.4338400000001</v>
      </c>
      <c r="H652" s="22">
        <v>1</v>
      </c>
      <c r="I652" s="19"/>
      <c r="J652" s="7" t="s">
        <v>20</v>
      </c>
      <c r="K652" s="16"/>
      <c r="L652" s="16"/>
      <c r="M652" s="16"/>
      <c r="N652" s="16"/>
      <c r="O652" s="16"/>
      <c r="P652" s="16"/>
      <c r="Q652" s="16"/>
      <c r="R652" s="16"/>
      <c r="S652" s="16"/>
      <c r="T652" s="16"/>
    </row>
    <row r="653" spans="1:20" x14ac:dyDescent="0.2">
      <c r="A653">
        <v>927</v>
      </c>
      <c r="B653" s="8">
        <v>46221</v>
      </c>
      <c r="C653" s="9">
        <v>0.43929398148148147</v>
      </c>
      <c r="D653" s="7" t="s">
        <v>24</v>
      </c>
      <c r="E653" s="13" t="s">
        <v>33</v>
      </c>
      <c r="F653" s="16">
        <v>83.846350700000002</v>
      </c>
      <c r="G653" s="129">
        <v>2185.7390099999998</v>
      </c>
      <c r="H653" s="22">
        <v>0</v>
      </c>
      <c r="I653" s="19" t="s">
        <v>48</v>
      </c>
      <c r="J653" s="7" t="s">
        <v>20</v>
      </c>
      <c r="K653" s="16"/>
      <c r="L653" s="16"/>
      <c r="M653" s="16"/>
      <c r="N653" s="16"/>
      <c r="O653" s="16"/>
      <c r="P653" s="16"/>
      <c r="Q653" s="16"/>
      <c r="R653" s="16"/>
      <c r="S653" s="16"/>
      <c r="T653" s="16"/>
    </row>
    <row r="654" spans="1:20" x14ac:dyDescent="0.2">
      <c r="A654">
        <v>928</v>
      </c>
      <c r="B654" s="8">
        <v>46221</v>
      </c>
      <c r="C654" s="9">
        <v>0.43958333333333333</v>
      </c>
      <c r="D654" s="7" t="s">
        <v>24</v>
      </c>
      <c r="E654" s="13" t="s">
        <v>33</v>
      </c>
      <c r="F654" s="16">
        <v>82.655358500000006</v>
      </c>
      <c r="G654" s="129">
        <v>2278.3662100000001</v>
      </c>
      <c r="H654" s="22">
        <v>1</v>
      </c>
      <c r="I654" s="19" t="s">
        <v>39</v>
      </c>
      <c r="J654" s="7" t="s">
        <v>20</v>
      </c>
      <c r="K654" s="16"/>
      <c r="L654" s="16"/>
      <c r="M654" s="16"/>
      <c r="N654" s="16">
        <v>53.741230199999997</v>
      </c>
      <c r="O654" s="16"/>
      <c r="P654" s="16"/>
      <c r="Q654" s="16"/>
      <c r="R654" s="16"/>
      <c r="S654" s="16"/>
      <c r="T654" s="16"/>
    </row>
    <row r="655" spans="1:20" x14ac:dyDescent="0.2">
      <c r="A655">
        <v>948</v>
      </c>
      <c r="B655" s="8">
        <v>46221</v>
      </c>
      <c r="C655" s="9">
        <v>0.44655092592592593</v>
      </c>
      <c r="D655" s="7" t="s">
        <v>18</v>
      </c>
      <c r="E655" s="13" t="s">
        <v>37</v>
      </c>
      <c r="F655" s="16">
        <v>71.587003699999997</v>
      </c>
      <c r="G655" s="129">
        <v>2164.6884799999998</v>
      </c>
      <c r="H655" s="22">
        <v>0</v>
      </c>
      <c r="I655" s="19"/>
      <c r="J655" s="7" t="s">
        <v>20</v>
      </c>
      <c r="K655" s="16"/>
      <c r="L655" s="16"/>
      <c r="M655" s="16"/>
      <c r="N655" s="16"/>
      <c r="O655" s="16"/>
      <c r="P655" s="16"/>
      <c r="Q655" s="16"/>
      <c r="R655" s="16"/>
      <c r="S655" s="16"/>
      <c r="T655" s="16"/>
    </row>
    <row r="656" spans="1:20" x14ac:dyDescent="0.2">
      <c r="A656">
        <v>949</v>
      </c>
      <c r="B656" s="8">
        <v>46221</v>
      </c>
      <c r="C656" s="9">
        <v>0.4473611111111111</v>
      </c>
      <c r="D656" s="7" t="s">
        <v>18</v>
      </c>
      <c r="E656" s="13" t="s">
        <v>33</v>
      </c>
      <c r="F656" s="16">
        <v>85.116757000000007</v>
      </c>
      <c r="G656" s="129">
        <v>2281.55078</v>
      </c>
      <c r="H656" s="22">
        <v>0</v>
      </c>
      <c r="I656" s="19"/>
      <c r="J656" s="7" t="s">
        <v>20</v>
      </c>
      <c r="K656" s="16"/>
      <c r="L656" s="16"/>
      <c r="M656" s="16"/>
      <c r="N656" s="16"/>
      <c r="O656" s="16"/>
      <c r="P656" s="16"/>
      <c r="Q656" s="16"/>
      <c r="R656" s="16"/>
      <c r="S656" s="16"/>
      <c r="T656" s="16"/>
    </row>
    <row r="657" spans="1:20" x14ac:dyDescent="0.2">
      <c r="A657">
        <v>950</v>
      </c>
      <c r="B657" s="8">
        <v>46221</v>
      </c>
      <c r="C657" s="9">
        <v>0.44753472222222224</v>
      </c>
      <c r="D657" s="7" t="s">
        <v>18</v>
      </c>
      <c r="E657" s="13" t="s">
        <v>36</v>
      </c>
      <c r="F657" s="16">
        <v>78.383638899999994</v>
      </c>
      <c r="G657" s="129">
        <v>2111.7075199999999</v>
      </c>
      <c r="H657" s="22">
        <v>0</v>
      </c>
      <c r="I657" s="19"/>
      <c r="J657" s="7" t="s">
        <v>20</v>
      </c>
      <c r="K657" s="16"/>
      <c r="L657" s="16"/>
      <c r="M657" s="16"/>
      <c r="N657" s="16"/>
      <c r="O657" s="16"/>
      <c r="P657" s="16"/>
      <c r="Q657" s="16"/>
      <c r="R657" s="16"/>
      <c r="S657" s="16"/>
      <c r="T657" s="16"/>
    </row>
    <row r="658" spans="1:20" x14ac:dyDescent="0.2">
      <c r="A658">
        <v>951</v>
      </c>
      <c r="B658" s="8">
        <v>46221</v>
      </c>
      <c r="C658" s="9">
        <v>0.44774305555555555</v>
      </c>
      <c r="D658" s="7" t="s">
        <v>18</v>
      </c>
      <c r="E658" s="13" t="s">
        <v>33</v>
      </c>
      <c r="F658" s="16">
        <v>83.909872100000001</v>
      </c>
      <c r="G658" s="129">
        <v>2232.01172</v>
      </c>
      <c r="H658" s="22">
        <v>1</v>
      </c>
      <c r="I658" s="19" t="s">
        <v>40</v>
      </c>
      <c r="J658" s="7" t="s">
        <v>20</v>
      </c>
      <c r="K658" s="16">
        <v>83.918123699999995</v>
      </c>
      <c r="L658" s="16">
        <v>25.146240200000001</v>
      </c>
      <c r="M658" s="16">
        <v>-34.996586000000001</v>
      </c>
      <c r="N658" s="16">
        <v>68.311321399999997</v>
      </c>
      <c r="O658" s="16">
        <v>2435.3283700000002</v>
      </c>
      <c r="P658" s="16">
        <v>263</v>
      </c>
      <c r="Q658" s="16">
        <v>1.2284657999999999</v>
      </c>
      <c r="R658" s="16">
        <v>1.6070516100000001</v>
      </c>
      <c r="S658" s="16">
        <v>109.77982</v>
      </c>
      <c r="T658" s="16">
        <v>0.76442215000000002</v>
      </c>
    </row>
    <row r="659" spans="1:20" x14ac:dyDescent="0.2">
      <c r="A659">
        <v>971</v>
      </c>
      <c r="B659" s="8">
        <v>46221</v>
      </c>
      <c r="C659" s="9">
        <v>0.45732638888888888</v>
      </c>
      <c r="D659" s="7" t="s">
        <v>24</v>
      </c>
      <c r="E659" s="13" t="s">
        <v>33</v>
      </c>
      <c r="F659" s="16">
        <v>80.527434700000001</v>
      </c>
      <c r="G659" s="129">
        <v>2135.9685100000002</v>
      </c>
      <c r="H659" s="22">
        <v>0</v>
      </c>
      <c r="I659" s="19"/>
      <c r="J659" s="7" t="s">
        <v>20</v>
      </c>
      <c r="K659" s="16"/>
      <c r="L659" s="16"/>
      <c r="M659" s="16"/>
      <c r="N659" s="16"/>
      <c r="O659" s="16"/>
      <c r="P659" s="16"/>
      <c r="Q659" s="16"/>
      <c r="R659" s="16"/>
      <c r="S659" s="16"/>
      <c r="T659" s="16"/>
    </row>
    <row r="660" spans="1:20" x14ac:dyDescent="0.2">
      <c r="A660">
        <v>972</v>
      </c>
      <c r="B660" s="8">
        <v>46221</v>
      </c>
      <c r="C660" s="9">
        <v>0.45753472222222225</v>
      </c>
      <c r="D660" s="7" t="s">
        <v>24</v>
      </c>
      <c r="E660" s="13" t="s">
        <v>37</v>
      </c>
      <c r="F660" s="16">
        <v>71.8252004</v>
      </c>
      <c r="G660" s="129">
        <v>1137.4981700000001</v>
      </c>
      <c r="H660" s="22">
        <v>1</v>
      </c>
      <c r="I660" s="19" t="s">
        <v>39</v>
      </c>
      <c r="J660" s="7" t="s">
        <v>20</v>
      </c>
      <c r="K660" s="16"/>
      <c r="L660" s="16"/>
      <c r="M660" s="16"/>
      <c r="N660" s="16">
        <v>68.703594100000004</v>
      </c>
      <c r="O660" s="16"/>
      <c r="P660" s="16"/>
      <c r="Q660" s="16"/>
      <c r="R660" s="16"/>
      <c r="S660" s="16"/>
      <c r="T660" s="16"/>
    </row>
    <row r="661" spans="1:20" x14ac:dyDescent="0.2">
      <c r="A661">
        <v>973</v>
      </c>
      <c r="B661" s="8">
        <v>46221</v>
      </c>
      <c r="C661" s="9">
        <v>0.45781250000000001</v>
      </c>
      <c r="D661" s="7" t="s">
        <v>24</v>
      </c>
      <c r="E661" s="13" t="s">
        <v>33</v>
      </c>
      <c r="F661" s="16">
        <v>81.686674400000001</v>
      </c>
      <c r="G661" s="129">
        <v>2181.4487300000001</v>
      </c>
      <c r="H661" s="22">
        <v>0</v>
      </c>
      <c r="I661" s="19"/>
      <c r="J661" s="7" t="s">
        <v>20</v>
      </c>
      <c r="K661" s="16"/>
      <c r="L661" s="16"/>
      <c r="M661" s="16"/>
      <c r="N661" s="16"/>
      <c r="O661" s="16"/>
      <c r="P661" s="16"/>
      <c r="Q661" s="16"/>
      <c r="R661" s="16"/>
      <c r="S661" s="16"/>
      <c r="T661" s="16"/>
    </row>
    <row r="662" spans="1:20" x14ac:dyDescent="0.2">
      <c r="A662">
        <v>974</v>
      </c>
      <c r="B662" s="8">
        <v>46221</v>
      </c>
      <c r="C662" s="9">
        <v>0.45804398148148145</v>
      </c>
      <c r="D662" s="7" t="s">
        <v>24</v>
      </c>
      <c r="E662" s="13" t="s">
        <v>33</v>
      </c>
      <c r="F662" s="16">
        <v>82.131315799999996</v>
      </c>
      <c r="G662" s="129">
        <v>2200.5083</v>
      </c>
      <c r="H662" s="22">
        <v>1</v>
      </c>
      <c r="I662" s="19"/>
      <c r="J662" s="7" t="s">
        <v>20</v>
      </c>
      <c r="K662" s="16"/>
      <c r="L662" s="16"/>
      <c r="M662" s="16"/>
      <c r="N662" s="16"/>
      <c r="O662" s="16"/>
      <c r="P662" s="16"/>
      <c r="Q662" s="16"/>
      <c r="R662" s="16"/>
      <c r="S662" s="16"/>
      <c r="T662" s="16"/>
    </row>
    <row r="663" spans="1:20" x14ac:dyDescent="0.2">
      <c r="A663">
        <v>975</v>
      </c>
      <c r="B663" s="8">
        <v>46221</v>
      </c>
      <c r="C663" s="9">
        <v>0.45822916666666669</v>
      </c>
      <c r="D663" s="7" t="s">
        <v>24</v>
      </c>
      <c r="E663" s="13" t="s">
        <v>37</v>
      </c>
      <c r="F663" s="16">
        <v>73.095602499999998</v>
      </c>
      <c r="G663" s="129">
        <v>1096.55017</v>
      </c>
      <c r="H663" s="22">
        <v>0</v>
      </c>
      <c r="I663" s="19"/>
      <c r="J663" s="7" t="s">
        <v>20</v>
      </c>
      <c r="K663" s="16"/>
      <c r="L663" s="16"/>
      <c r="M663" s="16"/>
      <c r="N663" s="16"/>
      <c r="O663" s="16"/>
      <c r="P663" s="16"/>
      <c r="Q663" s="16"/>
      <c r="R663" s="16"/>
      <c r="S663" s="16"/>
      <c r="T663" s="16"/>
    </row>
    <row r="664" spans="1:20" x14ac:dyDescent="0.2">
      <c r="A664">
        <v>976</v>
      </c>
      <c r="B664" s="8">
        <v>46221</v>
      </c>
      <c r="C664" s="9">
        <v>0.4584259259259259</v>
      </c>
      <c r="D664" s="7" t="s">
        <v>24</v>
      </c>
      <c r="E664" s="13" t="s">
        <v>33</v>
      </c>
      <c r="F664" s="16">
        <v>81.7501958</v>
      </c>
      <c r="G664" s="129">
        <v>1092.99866</v>
      </c>
      <c r="H664" s="22">
        <v>1</v>
      </c>
      <c r="I664" s="19" t="s">
        <v>42</v>
      </c>
      <c r="J664" s="7" t="s">
        <v>20</v>
      </c>
      <c r="K664" s="16"/>
      <c r="L664" s="16"/>
      <c r="M664" s="16"/>
      <c r="N664" s="16"/>
      <c r="O664" s="16"/>
      <c r="P664" s="16"/>
      <c r="Q664" s="16"/>
      <c r="R664" s="16"/>
      <c r="S664" s="16"/>
      <c r="T664" s="16"/>
    </row>
    <row r="665" spans="1:20" x14ac:dyDescent="0.2">
      <c r="A665">
        <v>999</v>
      </c>
      <c r="B665" s="8">
        <v>46221</v>
      </c>
      <c r="C665" s="9">
        <v>0.46815972222222224</v>
      </c>
      <c r="D665" s="7" t="s">
        <v>21</v>
      </c>
      <c r="E665" s="13" t="s">
        <v>37</v>
      </c>
      <c r="F665" s="16">
        <v>72.905038399999995</v>
      </c>
      <c r="G665" s="129">
        <v>1176.9224899999999</v>
      </c>
      <c r="H665" s="22">
        <v>0</v>
      </c>
      <c r="I665" s="19"/>
      <c r="J665" s="7" t="s">
        <v>20</v>
      </c>
      <c r="K665" s="16"/>
      <c r="L665" s="16"/>
      <c r="M665" s="16"/>
      <c r="N665" s="16"/>
      <c r="O665" s="16"/>
      <c r="P665" s="16"/>
      <c r="Q665" s="16"/>
      <c r="R665" s="16"/>
      <c r="S665" s="16"/>
      <c r="T665" s="16"/>
    </row>
    <row r="666" spans="1:20" x14ac:dyDescent="0.2">
      <c r="A666">
        <v>1000</v>
      </c>
      <c r="B666" s="8">
        <v>46221</v>
      </c>
      <c r="C666" s="9">
        <v>0.46836805555555555</v>
      </c>
      <c r="D666" s="7" t="s">
        <v>21</v>
      </c>
      <c r="E666" s="13" t="s">
        <v>33</v>
      </c>
      <c r="F666" s="16">
        <v>83.465227100000007</v>
      </c>
      <c r="G666" s="129">
        <v>1100.1875</v>
      </c>
      <c r="H666" s="22">
        <v>0</v>
      </c>
      <c r="I666" s="19"/>
      <c r="J666" s="7" t="s">
        <v>20</v>
      </c>
      <c r="K666" s="16"/>
      <c r="L666" s="16"/>
      <c r="M666" s="16"/>
      <c r="N666" s="16"/>
      <c r="O666" s="16"/>
      <c r="P666" s="16"/>
      <c r="Q666" s="16"/>
      <c r="R666" s="16"/>
      <c r="S666" s="16"/>
      <c r="T666" s="16"/>
    </row>
    <row r="667" spans="1:20" x14ac:dyDescent="0.2">
      <c r="A667">
        <v>1001</v>
      </c>
      <c r="B667" s="8">
        <v>46221</v>
      </c>
      <c r="C667" s="9">
        <v>0.46861111111111109</v>
      </c>
      <c r="D667" s="7" t="s">
        <v>21</v>
      </c>
      <c r="E667" s="13" t="s">
        <v>37</v>
      </c>
      <c r="F667" s="16">
        <v>69.538481399999995</v>
      </c>
      <c r="G667" s="129">
        <v>2289.2319299999999</v>
      </c>
      <c r="H667" s="22">
        <v>0</v>
      </c>
      <c r="I667" s="19"/>
      <c r="J667" s="7" t="s">
        <v>20</v>
      </c>
      <c r="K667" s="16"/>
      <c r="L667" s="16"/>
      <c r="M667" s="16"/>
      <c r="N667" s="16"/>
      <c r="O667" s="16"/>
      <c r="P667" s="16"/>
      <c r="Q667" s="16"/>
      <c r="R667" s="16"/>
      <c r="S667" s="16"/>
      <c r="T667" s="16"/>
    </row>
    <row r="668" spans="1:20" x14ac:dyDescent="0.2">
      <c r="A668">
        <v>1002</v>
      </c>
      <c r="B668" s="8">
        <v>46221</v>
      </c>
      <c r="C668" s="9">
        <v>0.46879629629629632</v>
      </c>
      <c r="D668" s="7" t="s">
        <v>21</v>
      </c>
      <c r="E668" s="13" t="s">
        <v>37</v>
      </c>
      <c r="F668" s="16">
        <v>71.587003699999997</v>
      </c>
      <c r="G668" s="129">
        <v>2359.6958</v>
      </c>
      <c r="H668" s="22">
        <v>1</v>
      </c>
      <c r="I668" s="19"/>
      <c r="J668" s="7" t="s">
        <v>20</v>
      </c>
      <c r="K668" s="16"/>
      <c r="L668" s="16"/>
      <c r="M668" s="16"/>
      <c r="N668" s="16"/>
      <c r="O668" s="16"/>
      <c r="P668" s="16"/>
      <c r="Q668" s="16"/>
      <c r="R668" s="16"/>
      <c r="S668" s="16"/>
      <c r="T668" s="16"/>
    </row>
    <row r="669" spans="1:20" x14ac:dyDescent="0.2">
      <c r="A669">
        <v>1003</v>
      </c>
      <c r="B669" s="8">
        <v>46221</v>
      </c>
      <c r="C669" s="9">
        <v>0.4689699074074074</v>
      </c>
      <c r="D669" s="7" t="s">
        <v>21</v>
      </c>
      <c r="E669" s="13" t="s">
        <v>33</v>
      </c>
      <c r="F669" s="16">
        <v>83.592273399999996</v>
      </c>
      <c r="G669" s="129">
        <v>2207.5424800000001</v>
      </c>
      <c r="H669" s="22">
        <v>1</v>
      </c>
      <c r="I669" s="19" t="s">
        <v>38</v>
      </c>
      <c r="J669" s="7" t="s">
        <v>20</v>
      </c>
      <c r="K669" s="16">
        <v>78.873105300000006</v>
      </c>
      <c r="L669" s="16">
        <v>54.684593200000002</v>
      </c>
      <c r="M669" s="16">
        <v>-43.262954999999998</v>
      </c>
      <c r="N669" s="16">
        <v>68.815669700000001</v>
      </c>
      <c r="O669" s="16">
        <v>3547.7612300000001</v>
      </c>
      <c r="P669" s="16">
        <v>263</v>
      </c>
      <c r="Q669" s="16">
        <v>1.1461503500000001</v>
      </c>
      <c r="R669" s="16">
        <v>1.6024788599999999</v>
      </c>
      <c r="S669" s="16">
        <v>110.27565199999999</v>
      </c>
      <c r="T669" s="16">
        <v>0.71523590000000004</v>
      </c>
    </row>
    <row r="670" spans="1:20" x14ac:dyDescent="0.2">
      <c r="A670">
        <v>1004</v>
      </c>
      <c r="B670" s="8">
        <v>46221</v>
      </c>
      <c r="C670" s="9">
        <v>0.46925925925925926</v>
      </c>
      <c r="D670" s="7" t="s">
        <v>21</v>
      </c>
      <c r="E670" s="13" t="s">
        <v>35</v>
      </c>
      <c r="F670" s="16">
        <v>72.793876100000006</v>
      </c>
      <c r="G670" s="129">
        <v>1716.6798100000001</v>
      </c>
      <c r="H670" s="22">
        <v>1</v>
      </c>
      <c r="I670" s="19" t="s">
        <v>45</v>
      </c>
      <c r="J670" s="7" t="s">
        <v>20</v>
      </c>
      <c r="K670" s="16"/>
      <c r="L670" s="16"/>
      <c r="M670" s="16"/>
      <c r="N670" s="16">
        <v>63.379906099999999</v>
      </c>
      <c r="O670" s="16"/>
      <c r="P670" s="16"/>
      <c r="Q670" s="16"/>
      <c r="R670" s="16"/>
      <c r="S670" s="16"/>
      <c r="T670" s="16"/>
    </row>
    <row r="671" spans="1:20" x14ac:dyDescent="0.2">
      <c r="A671">
        <v>1014</v>
      </c>
      <c r="B671" s="8">
        <v>46221</v>
      </c>
      <c r="C671" s="9">
        <v>0.47424768518518517</v>
      </c>
      <c r="D671" s="7" t="s">
        <v>21</v>
      </c>
      <c r="E671" s="13" t="s">
        <v>33</v>
      </c>
      <c r="F671" s="16">
        <v>82.639478299999993</v>
      </c>
      <c r="G671" s="129">
        <v>2230.7248500000001</v>
      </c>
      <c r="H671" s="22">
        <v>1</v>
      </c>
      <c r="I671" s="19"/>
      <c r="J671" s="7" t="s">
        <v>20</v>
      </c>
      <c r="K671" s="16"/>
      <c r="L671" s="16"/>
      <c r="M671" s="16"/>
      <c r="N671" s="16"/>
      <c r="O671" s="16"/>
      <c r="P671" s="16"/>
      <c r="Q671" s="16"/>
      <c r="R671" s="16"/>
      <c r="S671" s="16"/>
      <c r="T671" s="16"/>
    </row>
    <row r="672" spans="1:20" x14ac:dyDescent="0.2">
      <c r="A672">
        <v>1015</v>
      </c>
      <c r="B672" s="8">
        <v>46221</v>
      </c>
      <c r="C672" s="9">
        <v>0.47440972222222222</v>
      </c>
      <c r="D672" s="7" t="s">
        <v>21</v>
      </c>
      <c r="E672" s="13" t="s">
        <v>46</v>
      </c>
      <c r="F672" s="16">
        <v>69.363802000000007</v>
      </c>
      <c r="G672" s="129">
        <v>375.02029399999998</v>
      </c>
      <c r="H672" s="22">
        <v>1</v>
      </c>
      <c r="I672" s="19" t="s">
        <v>40</v>
      </c>
      <c r="J672" s="7" t="s">
        <v>20</v>
      </c>
      <c r="K672" s="16"/>
      <c r="L672" s="16"/>
      <c r="M672" s="16"/>
      <c r="N672" s="16">
        <v>66.686197000000007</v>
      </c>
      <c r="O672" s="16"/>
      <c r="P672" s="16"/>
      <c r="Q672" s="16"/>
      <c r="R672" s="16"/>
      <c r="S672" s="16"/>
      <c r="T672" s="16"/>
    </row>
    <row r="673" spans="1:20" x14ac:dyDescent="0.2">
      <c r="A673">
        <v>1048</v>
      </c>
      <c r="B673" s="8">
        <v>46221</v>
      </c>
      <c r="C673" s="9">
        <v>0.48550925925925925</v>
      </c>
      <c r="D673" s="7" t="s">
        <v>27</v>
      </c>
      <c r="E673" s="13" t="s">
        <v>33</v>
      </c>
      <c r="F673" s="16">
        <v>76.716236600000002</v>
      </c>
      <c r="G673" s="129">
        <v>1002.23517</v>
      </c>
      <c r="H673" s="22"/>
      <c r="I673" s="19" t="s">
        <v>40</v>
      </c>
      <c r="J673" s="7" t="s">
        <v>20</v>
      </c>
      <c r="K673" s="16">
        <v>53.407192600000002</v>
      </c>
      <c r="L673" s="16">
        <v>-20.864321</v>
      </c>
      <c r="M673" s="16">
        <v>0.43180370000000001</v>
      </c>
      <c r="N673" s="16">
        <v>64.276527000000002</v>
      </c>
      <c r="O673" s="16"/>
      <c r="P673" s="16">
        <v>12</v>
      </c>
      <c r="Q673" s="16">
        <v>0.83089727000000002</v>
      </c>
      <c r="R673" s="16">
        <v>1.59287143</v>
      </c>
      <c r="S673" s="16">
        <v>102.384246</v>
      </c>
      <c r="T673" s="16">
        <v>0.52163490000000001</v>
      </c>
    </row>
    <row r="674" spans="1:20" x14ac:dyDescent="0.2">
      <c r="A674">
        <v>1064</v>
      </c>
      <c r="B674" s="8">
        <v>46221</v>
      </c>
      <c r="C674" s="9">
        <v>0.49077546296296298</v>
      </c>
      <c r="D674" s="7" t="s">
        <v>21</v>
      </c>
      <c r="E674" s="13" t="s">
        <v>33</v>
      </c>
      <c r="F674" s="16">
        <v>84.2751114</v>
      </c>
      <c r="G674" s="129">
        <v>2198.19263</v>
      </c>
      <c r="H674" s="22">
        <v>0</v>
      </c>
      <c r="I674" s="19"/>
      <c r="J674" s="7" t="s">
        <v>20</v>
      </c>
      <c r="K674" s="16"/>
      <c r="L674" s="16"/>
      <c r="M674" s="16"/>
      <c r="N674" s="16"/>
      <c r="O674" s="16"/>
      <c r="P674" s="16"/>
      <c r="Q674" s="16"/>
      <c r="R674" s="16"/>
      <c r="S674" s="16"/>
      <c r="T674" s="16"/>
    </row>
    <row r="675" spans="1:20" x14ac:dyDescent="0.2">
      <c r="A675">
        <v>1065</v>
      </c>
      <c r="B675" s="8">
        <v>46221</v>
      </c>
      <c r="C675" s="9">
        <v>0.4909722222222222</v>
      </c>
      <c r="D675" s="7" t="s">
        <v>21</v>
      </c>
      <c r="E675" s="13" t="s">
        <v>54</v>
      </c>
      <c r="F675" s="16">
        <v>78.367758600000002</v>
      </c>
      <c r="G675" s="129">
        <v>2023.3737799999999</v>
      </c>
      <c r="H675" s="22">
        <v>1</v>
      </c>
      <c r="I675" s="19"/>
      <c r="J675" s="7" t="s">
        <v>20</v>
      </c>
      <c r="K675" s="16"/>
      <c r="L675" s="16"/>
      <c r="M675" s="16"/>
      <c r="N675" s="16"/>
      <c r="O675" s="16"/>
      <c r="P675" s="16"/>
      <c r="Q675" s="16"/>
      <c r="R675" s="16"/>
      <c r="S675" s="16"/>
      <c r="T675" s="16"/>
    </row>
    <row r="676" spans="1:20" x14ac:dyDescent="0.2">
      <c r="A676">
        <v>1066</v>
      </c>
      <c r="B676" s="8">
        <v>46221</v>
      </c>
      <c r="C676" s="9">
        <v>0.4911226851851852</v>
      </c>
      <c r="D676" s="7" t="s">
        <v>21</v>
      </c>
      <c r="E676" s="13" t="s">
        <v>53</v>
      </c>
      <c r="F676" s="16">
        <v>72.142798799999994</v>
      </c>
      <c r="G676" s="129">
        <v>1975.8864699999999</v>
      </c>
      <c r="H676" s="22">
        <v>0</v>
      </c>
      <c r="I676" s="19"/>
      <c r="J676" s="7" t="s">
        <v>20</v>
      </c>
      <c r="K676" s="16"/>
      <c r="L676" s="16"/>
      <c r="M676" s="16"/>
      <c r="N676" s="16"/>
      <c r="O676" s="16"/>
      <c r="P676" s="16"/>
      <c r="Q676" s="16"/>
      <c r="R676" s="16"/>
      <c r="S676" s="16"/>
      <c r="T676" s="16"/>
    </row>
    <row r="677" spans="1:20" x14ac:dyDescent="0.2">
      <c r="A677">
        <v>1067</v>
      </c>
      <c r="B677" s="8">
        <v>46221</v>
      </c>
      <c r="C677" s="9">
        <v>0.49137731481481484</v>
      </c>
      <c r="D677" s="7" t="s">
        <v>21</v>
      </c>
      <c r="E677" s="13" t="s">
        <v>33</v>
      </c>
      <c r="F677" s="16">
        <v>84.418034599999999</v>
      </c>
      <c r="G677" s="129">
        <v>2204.5097700000001</v>
      </c>
      <c r="H677" s="22">
        <v>1</v>
      </c>
      <c r="I677" s="19"/>
      <c r="J677" s="7" t="s">
        <v>20</v>
      </c>
      <c r="K677" s="16"/>
      <c r="L677" s="16"/>
      <c r="M677" s="16"/>
      <c r="N677" s="16"/>
      <c r="O677" s="16"/>
      <c r="P677" s="16"/>
      <c r="Q677" s="16"/>
      <c r="R677" s="16"/>
      <c r="S677" s="16"/>
      <c r="T677" s="16"/>
    </row>
    <row r="678" spans="1:20" x14ac:dyDescent="0.2">
      <c r="A678">
        <v>1068</v>
      </c>
      <c r="B678" s="8">
        <v>46221</v>
      </c>
      <c r="C678" s="9">
        <v>0.49164351851851851</v>
      </c>
      <c r="D678" s="7" t="s">
        <v>21</v>
      </c>
      <c r="E678" s="13" t="s">
        <v>53</v>
      </c>
      <c r="F678" s="16">
        <v>73.111482899999999</v>
      </c>
      <c r="G678" s="129">
        <v>1985.1807899999999</v>
      </c>
      <c r="H678" s="22">
        <v>0</v>
      </c>
      <c r="I678" s="19"/>
      <c r="J678" s="7" t="s">
        <v>20</v>
      </c>
      <c r="K678" s="16"/>
      <c r="L678" s="16"/>
      <c r="M678" s="16"/>
      <c r="N678" s="16"/>
      <c r="O678" s="16"/>
      <c r="P678" s="16"/>
      <c r="Q678" s="16"/>
      <c r="R678" s="16"/>
      <c r="S678" s="16"/>
      <c r="T678" s="16"/>
    </row>
    <row r="679" spans="1:20" x14ac:dyDescent="0.2">
      <c r="A679">
        <v>1069</v>
      </c>
      <c r="B679" s="8">
        <v>46221</v>
      </c>
      <c r="C679" s="9">
        <v>0.49184027777777778</v>
      </c>
      <c r="D679" s="7" t="s">
        <v>21</v>
      </c>
      <c r="E679" s="13" t="s">
        <v>37</v>
      </c>
      <c r="F679" s="16">
        <v>74.842398099999997</v>
      </c>
      <c r="G679" s="129">
        <v>1664.3920900000001</v>
      </c>
      <c r="H679" s="22">
        <v>1</v>
      </c>
      <c r="I679" s="19" t="s">
        <v>38</v>
      </c>
      <c r="J679" s="7" t="s">
        <v>20</v>
      </c>
      <c r="K679" s="16"/>
      <c r="L679" s="16"/>
      <c r="M679" s="16"/>
      <c r="N679" s="16">
        <v>61.026273799999998</v>
      </c>
      <c r="O679" s="16"/>
      <c r="P679" s="16"/>
      <c r="Q679" s="16"/>
      <c r="R679" s="16"/>
      <c r="S679" s="16"/>
      <c r="T679" s="16"/>
    </row>
    <row r="680" spans="1:20" x14ac:dyDescent="0.2">
      <c r="A680">
        <v>1070</v>
      </c>
      <c r="B680" s="8">
        <v>46221</v>
      </c>
      <c r="C680" s="9">
        <v>0.49203703703703705</v>
      </c>
      <c r="D680" s="7" t="s">
        <v>21</v>
      </c>
      <c r="E680" s="13" t="s">
        <v>54</v>
      </c>
      <c r="F680" s="16">
        <v>78.177194499999999</v>
      </c>
      <c r="G680" s="129">
        <v>1005.45532</v>
      </c>
      <c r="H680" s="22">
        <v>0</v>
      </c>
      <c r="I680" s="19" t="s">
        <v>48</v>
      </c>
      <c r="J680" s="7" t="s">
        <v>20</v>
      </c>
      <c r="K680" s="16"/>
      <c r="L680" s="16"/>
      <c r="M680" s="16"/>
      <c r="N680" s="16"/>
      <c r="O680" s="16"/>
      <c r="P680" s="16"/>
      <c r="Q680" s="16"/>
      <c r="R680" s="16"/>
      <c r="S680" s="16"/>
      <c r="T680" s="16"/>
    </row>
    <row r="681" spans="1:20" x14ac:dyDescent="0.2">
      <c r="A681">
        <v>1071</v>
      </c>
      <c r="B681" s="8">
        <v>46221</v>
      </c>
      <c r="C681" s="9">
        <v>0.49224537037037036</v>
      </c>
      <c r="D681" s="7" t="s">
        <v>21</v>
      </c>
      <c r="E681" s="13" t="s">
        <v>33</v>
      </c>
      <c r="F681" s="16">
        <v>85.688436800000005</v>
      </c>
      <c r="G681" s="129">
        <v>2242.19409</v>
      </c>
      <c r="H681" s="22">
        <v>1</v>
      </c>
      <c r="I681" s="19" t="s">
        <v>40</v>
      </c>
      <c r="J681" s="7" t="s">
        <v>20</v>
      </c>
      <c r="K681" s="16">
        <v>87.709516100000002</v>
      </c>
      <c r="L681" s="16">
        <v>43.825038900000003</v>
      </c>
      <c r="M681" s="16">
        <v>21.9772778</v>
      </c>
      <c r="N681" s="16">
        <v>66.6301548</v>
      </c>
      <c r="O681" s="16"/>
      <c r="P681" s="16">
        <v>327</v>
      </c>
      <c r="Q681" s="16">
        <v>1.31636369</v>
      </c>
      <c r="R681" s="16">
        <v>1.62481773</v>
      </c>
      <c r="S681" s="16">
        <v>108.261861</v>
      </c>
      <c r="T681" s="16">
        <v>0.81016083000000005</v>
      </c>
    </row>
    <row r="682" spans="1:20" x14ac:dyDescent="0.2">
      <c r="A682">
        <v>1082</v>
      </c>
      <c r="B682" s="1">
        <v>46224</v>
      </c>
      <c r="C682" s="2">
        <v>0.74089120370370365</v>
      </c>
      <c r="D682" t="s">
        <v>25</v>
      </c>
      <c r="E682" s="10" t="s">
        <v>37</v>
      </c>
      <c r="F682" s="11">
        <v>72.512330367999994</v>
      </c>
      <c r="G682" s="4">
        <v>2155.97388</v>
      </c>
      <c r="H682" s="20">
        <v>0</v>
      </c>
      <c r="J682" t="s">
        <v>20</v>
      </c>
    </row>
    <row r="683" spans="1:20" x14ac:dyDescent="0.2">
      <c r="A683">
        <v>1083</v>
      </c>
      <c r="B683" s="1">
        <v>46224</v>
      </c>
      <c r="C683" s="2">
        <v>0.74109953703703701</v>
      </c>
      <c r="D683" t="s">
        <v>25</v>
      </c>
      <c r="E683" s="10" t="s">
        <v>33</v>
      </c>
      <c r="F683" s="11">
        <v>83.824513930999998</v>
      </c>
      <c r="G683" s="4">
        <v>1971.96558</v>
      </c>
      <c r="H683" s="20">
        <v>1</v>
      </c>
      <c r="I683" s="17" t="s">
        <v>40</v>
      </c>
      <c r="J683" t="s">
        <v>20</v>
      </c>
      <c r="L683" s="11">
        <v>-84.029006999999993</v>
      </c>
      <c r="N683" s="11">
        <v>68.429856626000003</v>
      </c>
      <c r="P683" s="11">
        <v>11</v>
      </c>
    </row>
    <row r="684" spans="1:20" x14ac:dyDescent="0.2">
      <c r="A684">
        <v>1119</v>
      </c>
      <c r="B684" s="1">
        <v>46224</v>
      </c>
      <c r="C684" s="2">
        <v>0.75640046296296293</v>
      </c>
      <c r="D684" t="s">
        <v>25</v>
      </c>
      <c r="E684" s="10" t="s">
        <v>37</v>
      </c>
      <c r="F684" s="11">
        <v>72.861868842999996</v>
      </c>
      <c r="G684" s="4">
        <v>2228.4445799999999</v>
      </c>
      <c r="H684" s="20">
        <v>1</v>
      </c>
      <c r="I684" s="17" t="s">
        <v>39</v>
      </c>
      <c r="J684" t="s">
        <v>20</v>
      </c>
      <c r="N684" s="11">
        <v>63.174715714000001</v>
      </c>
    </row>
    <row r="685" spans="1:20" x14ac:dyDescent="0.2">
      <c r="A685">
        <v>1120</v>
      </c>
      <c r="B685" s="1">
        <v>46224</v>
      </c>
      <c r="C685" s="2">
        <v>0.75666666666666671</v>
      </c>
      <c r="D685" t="s">
        <v>25</v>
      </c>
      <c r="E685" s="10" t="s">
        <v>37</v>
      </c>
      <c r="F685" s="11">
        <v>71.686159887000002</v>
      </c>
      <c r="G685" s="4">
        <v>2314.2028799999998</v>
      </c>
      <c r="H685" s="20">
        <v>0</v>
      </c>
      <c r="J685" t="s">
        <v>20</v>
      </c>
    </row>
    <row r="686" spans="1:20" x14ac:dyDescent="0.2">
      <c r="A686">
        <v>1121</v>
      </c>
      <c r="B686" s="1">
        <v>46224</v>
      </c>
      <c r="C686" s="2">
        <v>0.75706018518518514</v>
      </c>
      <c r="D686" t="s">
        <v>25</v>
      </c>
      <c r="E686" s="10" t="s">
        <v>35</v>
      </c>
      <c r="F686" s="11">
        <v>74.101124675999998</v>
      </c>
      <c r="G686" s="4">
        <v>2028.0150100000001</v>
      </c>
      <c r="H686" s="20">
        <v>1</v>
      </c>
      <c r="J686" t="s">
        <v>20</v>
      </c>
    </row>
    <row r="687" spans="1:20" x14ac:dyDescent="0.2">
      <c r="A687">
        <v>1122</v>
      </c>
      <c r="B687" s="1">
        <v>46224</v>
      </c>
      <c r="C687" s="2">
        <v>0.75730324074074074</v>
      </c>
      <c r="D687" t="s">
        <v>25</v>
      </c>
      <c r="E687" s="10" t="s">
        <v>35</v>
      </c>
      <c r="F687" s="11">
        <v>73.783364113999994</v>
      </c>
      <c r="G687" s="4">
        <v>1902.64526</v>
      </c>
      <c r="H687" s="20">
        <v>0</v>
      </c>
      <c r="J687" t="s">
        <v>20</v>
      </c>
    </row>
    <row r="688" spans="1:20" x14ac:dyDescent="0.2">
      <c r="A688">
        <v>1123</v>
      </c>
      <c r="B688" s="1">
        <v>46224</v>
      </c>
      <c r="C688" s="2">
        <v>0.75765046296296301</v>
      </c>
      <c r="D688" t="s">
        <v>25</v>
      </c>
      <c r="E688" s="10" t="s">
        <v>33</v>
      </c>
      <c r="F688" s="11">
        <v>87.113307569</v>
      </c>
      <c r="G688" s="4">
        <v>2214.18066</v>
      </c>
      <c r="H688" s="20">
        <v>1</v>
      </c>
      <c r="I688" s="17" t="s">
        <v>42</v>
      </c>
      <c r="J688" t="s">
        <v>20</v>
      </c>
    </row>
    <row r="689" spans="1:20" x14ac:dyDescent="0.2">
      <c r="A689">
        <v>1157</v>
      </c>
      <c r="B689" s="1">
        <v>46224</v>
      </c>
      <c r="C689" s="2">
        <v>0.77106481481481481</v>
      </c>
      <c r="D689" t="s">
        <v>25</v>
      </c>
      <c r="E689" s="10" t="s">
        <v>35</v>
      </c>
      <c r="F689" s="11">
        <v>72.448783489999997</v>
      </c>
      <c r="G689" s="4">
        <v>1576.1337900000001</v>
      </c>
      <c r="H689" s="20">
        <v>0</v>
      </c>
      <c r="J689" t="s">
        <v>20</v>
      </c>
    </row>
    <row r="690" spans="1:20" x14ac:dyDescent="0.2">
      <c r="A690">
        <v>1158</v>
      </c>
      <c r="B690" s="1">
        <v>46224</v>
      </c>
      <c r="C690" s="2">
        <v>0.77142361111111113</v>
      </c>
      <c r="D690" t="s">
        <v>25</v>
      </c>
      <c r="E690" s="10" t="s">
        <v>33</v>
      </c>
      <c r="F690" s="11">
        <v>82.346933370000002</v>
      </c>
      <c r="G690" s="4">
        <v>1942.87573</v>
      </c>
      <c r="H690" s="20">
        <v>1</v>
      </c>
      <c r="I690" s="17" t="s">
        <v>40</v>
      </c>
      <c r="J690" t="s">
        <v>20</v>
      </c>
      <c r="K690" s="11">
        <v>101.76605596900001</v>
      </c>
      <c r="L690" s="11">
        <v>17.927715299999999</v>
      </c>
      <c r="M690" s="11">
        <v>-15.7308302</v>
      </c>
      <c r="N690" s="11">
        <v>69.786022115999998</v>
      </c>
      <c r="O690" s="11">
        <v>1394.68</v>
      </c>
      <c r="P690" s="11">
        <v>290</v>
      </c>
      <c r="Q690" s="11">
        <v>1.4582583899999999</v>
      </c>
      <c r="R690" s="11">
        <v>1.5894525100000001</v>
      </c>
      <c r="S690" s="11">
        <v>110.921567032</v>
      </c>
      <c r="T690" s="11">
        <v>0.91745956399999995</v>
      </c>
    </row>
    <row r="691" spans="1:20" x14ac:dyDescent="0.2">
      <c r="A691">
        <v>1241</v>
      </c>
      <c r="B691" s="1">
        <v>46228</v>
      </c>
      <c r="C691" s="2">
        <v>0.44362268518518516</v>
      </c>
      <c r="D691" t="s">
        <v>18</v>
      </c>
      <c r="E691" s="10" t="s">
        <v>37</v>
      </c>
      <c r="F691" s="11">
        <v>72.857397430999995</v>
      </c>
      <c r="G691" s="4">
        <v>1076.51172</v>
      </c>
      <c r="H691" s="20">
        <v>0</v>
      </c>
      <c r="J691" t="s">
        <v>20</v>
      </c>
      <c r="T691" s="14"/>
    </row>
    <row r="692" spans="1:20" x14ac:dyDescent="0.2">
      <c r="A692">
        <v>1242</v>
      </c>
      <c r="B692" s="1">
        <v>46228</v>
      </c>
      <c r="C692" s="2">
        <v>0.44380787037037039</v>
      </c>
      <c r="D692" t="s">
        <v>18</v>
      </c>
      <c r="E692" s="10" t="s">
        <v>36</v>
      </c>
      <c r="F692" s="11">
        <v>77.240281612000004</v>
      </c>
      <c r="G692" s="4">
        <v>745.45208700000001</v>
      </c>
      <c r="H692" s="20">
        <v>1</v>
      </c>
      <c r="I692" s="17" t="s">
        <v>40</v>
      </c>
      <c r="J692" t="s">
        <v>20</v>
      </c>
      <c r="K692" s="11">
        <v>96.9079835</v>
      </c>
      <c r="L692" s="11">
        <v>33.589733099999997</v>
      </c>
      <c r="M692" s="11">
        <v>-2.5936512899999999</v>
      </c>
      <c r="N692" s="11">
        <v>68.789621924000002</v>
      </c>
      <c r="O692" s="11">
        <v>3471.93262</v>
      </c>
      <c r="P692" s="11">
        <v>359</v>
      </c>
      <c r="Q692" s="11">
        <v>1.40875876</v>
      </c>
      <c r="R692" s="11">
        <v>1.5651233200000001</v>
      </c>
      <c r="S692" s="11">
        <v>107.66424395200001</v>
      </c>
      <c r="T692" s="14">
        <v>0.90009437599999997</v>
      </c>
    </row>
    <row r="693" spans="1:20" x14ac:dyDescent="0.2">
      <c r="A693">
        <v>1268</v>
      </c>
      <c r="B693" s="1">
        <v>46228</v>
      </c>
      <c r="C693" s="2">
        <v>0.45490740740740743</v>
      </c>
      <c r="D693" t="s">
        <v>18</v>
      </c>
      <c r="E693" s="10" t="s">
        <v>37</v>
      </c>
      <c r="F693" s="11">
        <v>72.142798830999993</v>
      </c>
      <c r="G693" s="4">
        <v>2011.896</v>
      </c>
      <c r="H693" s="20">
        <v>0</v>
      </c>
      <c r="J693" t="s">
        <v>20</v>
      </c>
      <c r="T693" s="14"/>
    </row>
    <row r="694" spans="1:20" x14ac:dyDescent="0.2">
      <c r="A694">
        <v>1269</v>
      </c>
      <c r="B694" s="1">
        <v>46228</v>
      </c>
      <c r="C694" s="2">
        <v>0.45508101851851851</v>
      </c>
      <c r="D694" t="s">
        <v>18</v>
      </c>
      <c r="E694" s="10" t="s">
        <v>33</v>
      </c>
      <c r="F694" s="11">
        <v>84.846795471999997</v>
      </c>
      <c r="G694" s="4">
        <v>2133.2168000000001</v>
      </c>
      <c r="H694" s="20">
        <v>1</v>
      </c>
      <c r="I694" s="17" t="s">
        <v>38</v>
      </c>
      <c r="J694" t="s">
        <v>20</v>
      </c>
      <c r="N694" s="11">
        <v>66.161450067999994</v>
      </c>
      <c r="T694" s="14"/>
    </row>
    <row r="695" spans="1:20" x14ac:dyDescent="0.2">
      <c r="A695">
        <v>1270</v>
      </c>
      <c r="B695" s="1">
        <v>46228</v>
      </c>
      <c r="C695" s="2">
        <v>0.45533564814814814</v>
      </c>
      <c r="D695" t="s">
        <v>18</v>
      </c>
      <c r="E695" s="10" t="s">
        <v>33</v>
      </c>
      <c r="F695" s="11">
        <v>84.799154328</v>
      </c>
      <c r="G695" s="4">
        <v>2145.0744599999998</v>
      </c>
      <c r="H695" s="20">
        <v>1</v>
      </c>
      <c r="I695" s="17" t="s">
        <v>38</v>
      </c>
      <c r="J695" t="s">
        <v>20</v>
      </c>
      <c r="N695" s="11">
        <v>67.018463870000005</v>
      </c>
      <c r="T695" s="14"/>
    </row>
    <row r="696" spans="1:20" x14ac:dyDescent="0.2">
      <c r="A696">
        <v>1271</v>
      </c>
      <c r="B696" s="1">
        <v>46228</v>
      </c>
      <c r="C696" s="2">
        <v>0.45559027777777777</v>
      </c>
      <c r="D696" t="s">
        <v>18</v>
      </c>
      <c r="E696" s="10" t="s">
        <v>37</v>
      </c>
      <c r="F696" s="11">
        <v>73.556115575000007</v>
      </c>
      <c r="G696" s="4">
        <v>2063.8667</v>
      </c>
      <c r="H696" s="20">
        <v>1</v>
      </c>
      <c r="I696" s="17" t="s">
        <v>40</v>
      </c>
      <c r="J696" t="s">
        <v>20</v>
      </c>
      <c r="K696" s="11">
        <v>60.635105944000003</v>
      </c>
      <c r="L696" s="11">
        <v>-1.14131</v>
      </c>
      <c r="M696" s="11">
        <v>-27.653295499999999</v>
      </c>
      <c r="N696" s="11">
        <v>64.218885002999997</v>
      </c>
      <c r="O696" s="11">
        <v>2362.1118200000001</v>
      </c>
      <c r="P696" s="11">
        <v>34</v>
      </c>
      <c r="Q696" s="11">
        <v>0.94419431700000001</v>
      </c>
      <c r="R696" s="11">
        <v>1.59183812</v>
      </c>
      <c r="S696" s="11">
        <v>102.22606552800001</v>
      </c>
      <c r="T696" s="14">
        <v>0.59314720199999904</v>
      </c>
    </row>
    <row r="697" spans="1:20" x14ac:dyDescent="0.2">
      <c r="A697">
        <v>1294</v>
      </c>
      <c r="B697" s="1">
        <v>46228</v>
      </c>
      <c r="C697" s="2">
        <v>0.4674537037037037</v>
      </c>
      <c r="D697" t="s">
        <v>21</v>
      </c>
      <c r="E697" s="10" t="s">
        <v>53</v>
      </c>
      <c r="F697" s="11">
        <v>65.552603735999995</v>
      </c>
      <c r="G697" s="4">
        <v>975.67474400000003</v>
      </c>
      <c r="H697" s="20">
        <v>0</v>
      </c>
      <c r="J697" t="s">
        <v>20</v>
      </c>
      <c r="T697" s="14"/>
    </row>
    <row r="698" spans="1:20" x14ac:dyDescent="0.2">
      <c r="A698">
        <v>1295</v>
      </c>
      <c r="B698" s="1">
        <v>46228</v>
      </c>
      <c r="C698" s="2">
        <v>0.46773148148148147</v>
      </c>
      <c r="D698" t="s">
        <v>21</v>
      </c>
      <c r="E698" s="10" t="s">
        <v>33</v>
      </c>
      <c r="F698" s="11">
        <v>81.750195796</v>
      </c>
      <c r="G698" s="4">
        <v>1087.3601100000001</v>
      </c>
      <c r="H698" s="20">
        <v>1</v>
      </c>
      <c r="I698" s="17" t="s">
        <v>38</v>
      </c>
      <c r="J698" t="s">
        <v>20</v>
      </c>
      <c r="K698" s="11">
        <v>61.568744199000001</v>
      </c>
      <c r="L698" s="11">
        <v>-11.772069</v>
      </c>
      <c r="N698" s="11">
        <v>70.852718917000004</v>
      </c>
      <c r="O698" s="11">
        <v>4480.6860399999996</v>
      </c>
      <c r="P698" s="11">
        <v>13</v>
      </c>
      <c r="Q698" s="11">
        <v>0.86896799999999996</v>
      </c>
      <c r="R698" s="11">
        <v>1.57309437</v>
      </c>
      <c r="S698" s="11">
        <v>111.45800889100001</v>
      </c>
      <c r="T698" s="133">
        <v>0.55239406599999996</v>
      </c>
    </row>
    <row r="699" spans="1:20" x14ac:dyDescent="0.2">
      <c r="A699">
        <v>1296</v>
      </c>
      <c r="B699" s="1">
        <v>46228</v>
      </c>
      <c r="C699" s="2">
        <v>0.46792824074074074</v>
      </c>
      <c r="D699" t="s">
        <v>21</v>
      </c>
      <c r="E699" s="10" t="s">
        <v>46</v>
      </c>
      <c r="F699" s="11">
        <v>73.365559945000001</v>
      </c>
      <c r="G699" s="4">
        <v>298.50680499999999</v>
      </c>
      <c r="H699" s="20">
        <v>0</v>
      </c>
      <c r="J699" t="s">
        <v>20</v>
      </c>
      <c r="T699" s="14"/>
    </row>
    <row r="700" spans="1:20" x14ac:dyDescent="0.2">
      <c r="A700">
        <v>1297</v>
      </c>
      <c r="B700" s="1">
        <v>46228</v>
      </c>
      <c r="C700" s="2">
        <v>0.46818287037037037</v>
      </c>
      <c r="D700" t="s">
        <v>21</v>
      </c>
      <c r="E700" s="10" t="s">
        <v>46</v>
      </c>
      <c r="F700" s="11">
        <v>68.141040673999996</v>
      </c>
      <c r="G700" s="4">
        <v>340.19369499999999</v>
      </c>
      <c r="H700" s="20">
        <v>0</v>
      </c>
      <c r="J700" t="s">
        <v>20</v>
      </c>
      <c r="T700" s="14"/>
    </row>
    <row r="701" spans="1:20" x14ac:dyDescent="0.2">
      <c r="A701">
        <v>1298</v>
      </c>
      <c r="B701" s="1">
        <v>46228</v>
      </c>
      <c r="C701" s="2">
        <v>0.46836805555555555</v>
      </c>
      <c r="D701" t="s">
        <v>21</v>
      </c>
      <c r="E701" s="10" t="s">
        <v>54</v>
      </c>
      <c r="F701" s="11">
        <v>78.129553372999993</v>
      </c>
      <c r="G701" s="4">
        <v>994.69372599999997</v>
      </c>
      <c r="H701" s="20">
        <v>0</v>
      </c>
      <c r="I701" s="17" t="s">
        <v>48</v>
      </c>
      <c r="J701" t="s">
        <v>20</v>
      </c>
      <c r="T701" s="133"/>
    </row>
    <row r="702" spans="1:20" x14ac:dyDescent="0.2">
      <c r="A702">
        <v>1299</v>
      </c>
      <c r="B702" s="1">
        <v>46228</v>
      </c>
      <c r="C702" s="2">
        <v>0.46854166666666669</v>
      </c>
      <c r="D702" t="s">
        <v>21</v>
      </c>
      <c r="E702" s="10" t="s">
        <v>33</v>
      </c>
      <c r="F702" s="11">
        <v>81.051477652000003</v>
      </c>
      <c r="G702" s="4">
        <v>2117.42236</v>
      </c>
      <c r="H702" s="20">
        <v>1</v>
      </c>
      <c r="I702" s="17" t="s">
        <v>39</v>
      </c>
      <c r="J702" t="s">
        <v>20</v>
      </c>
      <c r="N702" s="11">
        <v>68.678638805000006</v>
      </c>
      <c r="T702" s="14"/>
    </row>
    <row r="703" spans="1:20" x14ac:dyDescent="0.2">
      <c r="A703">
        <v>1300</v>
      </c>
      <c r="B703" s="1">
        <v>46228</v>
      </c>
      <c r="C703" s="2">
        <v>0.46871527777777777</v>
      </c>
      <c r="D703" t="s">
        <v>21</v>
      </c>
      <c r="E703" s="10" t="s">
        <v>37</v>
      </c>
      <c r="F703" s="11">
        <v>72.666841801000004</v>
      </c>
      <c r="G703" s="4">
        <v>2217.93408</v>
      </c>
      <c r="H703" s="20">
        <v>0</v>
      </c>
      <c r="J703" t="s">
        <v>20</v>
      </c>
      <c r="T703" s="14"/>
    </row>
    <row r="704" spans="1:20" x14ac:dyDescent="0.2">
      <c r="A704">
        <v>1320</v>
      </c>
      <c r="B704" s="1">
        <v>46228</v>
      </c>
      <c r="C704" s="2">
        <v>0.47664351851851849</v>
      </c>
      <c r="D704" t="s">
        <v>18</v>
      </c>
      <c r="E704" s="10" t="s">
        <v>37</v>
      </c>
      <c r="F704" s="11">
        <v>73.587876264000002</v>
      </c>
      <c r="G704" s="4">
        <v>2224.3081099999999</v>
      </c>
      <c r="H704" s="20">
        <v>1</v>
      </c>
      <c r="J704" t="s">
        <v>20</v>
      </c>
      <c r="T704" s="14"/>
    </row>
    <row r="705" spans="1:20" x14ac:dyDescent="0.2">
      <c r="A705">
        <v>1321</v>
      </c>
      <c r="B705" s="1">
        <v>46228</v>
      </c>
      <c r="C705" s="2">
        <v>0.47684027777777777</v>
      </c>
      <c r="D705" t="s">
        <v>18</v>
      </c>
      <c r="E705" s="10" t="s">
        <v>37</v>
      </c>
      <c r="F705" s="11">
        <v>72.920918807999996</v>
      </c>
      <c r="G705" s="4">
        <v>2147.43433</v>
      </c>
      <c r="H705" s="20">
        <v>1</v>
      </c>
      <c r="J705" t="s">
        <v>20</v>
      </c>
      <c r="T705" s="14"/>
    </row>
    <row r="706" spans="1:20" x14ac:dyDescent="0.2">
      <c r="A706">
        <v>1322</v>
      </c>
      <c r="B706" s="1">
        <v>46228</v>
      </c>
      <c r="C706" s="2">
        <v>0.47706018518518517</v>
      </c>
      <c r="D706" t="s">
        <v>18</v>
      </c>
      <c r="E706" s="10" t="s">
        <v>37</v>
      </c>
      <c r="F706" s="11">
        <v>75.144116217999994</v>
      </c>
      <c r="G706" s="4">
        <v>2187.8647500000002</v>
      </c>
      <c r="H706" s="20">
        <v>0</v>
      </c>
      <c r="J706" t="s">
        <v>20</v>
      </c>
      <c r="T706" s="133"/>
    </row>
    <row r="707" spans="1:20" x14ac:dyDescent="0.2">
      <c r="A707">
        <v>1323</v>
      </c>
      <c r="B707" s="1">
        <v>46228</v>
      </c>
      <c r="C707" s="2">
        <v>0.47730324074074076</v>
      </c>
      <c r="D707" t="s">
        <v>18</v>
      </c>
      <c r="E707" s="10" t="s">
        <v>33</v>
      </c>
      <c r="F707" s="11">
        <v>85.227915233000004</v>
      </c>
      <c r="G707" s="4">
        <v>1100.0214800000001</v>
      </c>
      <c r="H707" s="20">
        <v>1</v>
      </c>
      <c r="I707" s="17" t="s">
        <v>38</v>
      </c>
      <c r="J707" t="s">
        <v>20</v>
      </c>
      <c r="K707" s="11">
        <v>101.534216567</v>
      </c>
      <c r="L707" s="11">
        <v>22.451387400000002</v>
      </c>
      <c r="M707" s="11">
        <v>-44.056285899999999</v>
      </c>
      <c r="N707" s="11">
        <v>67.452233946000007</v>
      </c>
      <c r="O707" s="11">
        <v>2967.7243699999999</v>
      </c>
      <c r="P707" s="11">
        <v>335</v>
      </c>
      <c r="Q707" s="11">
        <v>1.5052758500000001</v>
      </c>
      <c r="R707" s="11">
        <v>1.60630703</v>
      </c>
      <c r="S707" s="11">
        <v>108.348993325</v>
      </c>
      <c r="T707" s="14">
        <v>0.93710342400000002</v>
      </c>
    </row>
    <row r="708" spans="1:20" x14ac:dyDescent="0.2">
      <c r="A708">
        <v>1324</v>
      </c>
      <c r="B708" s="1">
        <v>46228</v>
      </c>
      <c r="C708" s="2">
        <v>0.47793981481481479</v>
      </c>
      <c r="D708" t="s">
        <v>18</v>
      </c>
      <c r="E708" s="10" t="s">
        <v>37</v>
      </c>
      <c r="F708" s="11">
        <v>72.730363178000005</v>
      </c>
      <c r="G708" s="4">
        <v>2225.2988300000002</v>
      </c>
      <c r="H708" s="20">
        <v>1</v>
      </c>
      <c r="I708" s="17" t="s">
        <v>38</v>
      </c>
      <c r="J708" t="s">
        <v>20</v>
      </c>
      <c r="K708" s="11">
        <v>76.870184577000003</v>
      </c>
      <c r="L708" s="11">
        <v>7.5470747899999999</v>
      </c>
      <c r="N708" s="11">
        <v>68.511400101000007</v>
      </c>
      <c r="P708" s="11">
        <v>127</v>
      </c>
      <c r="Q708" s="11">
        <v>1.1220057000000001</v>
      </c>
      <c r="R708" s="11">
        <v>1.5644690999999999</v>
      </c>
      <c r="S708" s="11">
        <v>107.18396797600001</v>
      </c>
      <c r="T708" s="14">
        <v>0.71717987100000002</v>
      </c>
    </row>
    <row r="709" spans="1:20" x14ac:dyDescent="0.2">
      <c r="A709">
        <v>1325</v>
      </c>
      <c r="B709" s="1">
        <v>46228</v>
      </c>
      <c r="C709" s="2">
        <v>0.47832175925925924</v>
      </c>
      <c r="D709" t="s">
        <v>18</v>
      </c>
      <c r="E709" s="10" t="s">
        <v>35</v>
      </c>
      <c r="F709" s="11">
        <v>75.588757356000002</v>
      </c>
      <c r="G709" s="4">
        <v>1328.41858</v>
      </c>
      <c r="H709" s="20">
        <v>1</v>
      </c>
      <c r="I709" s="17" t="s">
        <v>42</v>
      </c>
      <c r="J709" t="s">
        <v>20</v>
      </c>
      <c r="T709" s="14"/>
    </row>
    <row r="710" spans="1:20" x14ac:dyDescent="0.2">
      <c r="A710">
        <v>1341</v>
      </c>
      <c r="B710" s="1">
        <v>46228</v>
      </c>
      <c r="C710" s="2">
        <v>0.48421296296296296</v>
      </c>
      <c r="D710" t="s">
        <v>21</v>
      </c>
      <c r="E710" s="10" t="s">
        <v>37</v>
      </c>
      <c r="F710" s="11">
        <v>72.730363178000005</v>
      </c>
      <c r="G710" s="4">
        <v>2158.2587899999999</v>
      </c>
      <c r="H710" s="20">
        <v>1</v>
      </c>
      <c r="I710" s="17" t="s">
        <v>38</v>
      </c>
      <c r="J710" t="s">
        <v>20</v>
      </c>
      <c r="L710" s="11">
        <v>-61.622566200000001</v>
      </c>
      <c r="M710" s="11">
        <v>3.6146898300000001</v>
      </c>
      <c r="N710" s="11">
        <v>72.302105807000004</v>
      </c>
      <c r="T710" s="14"/>
    </row>
    <row r="711" spans="1:20" x14ac:dyDescent="0.2">
      <c r="A711">
        <v>1342</v>
      </c>
      <c r="B711" s="1">
        <v>46228</v>
      </c>
      <c r="C711" s="2">
        <v>0.48478009259259258</v>
      </c>
      <c r="D711" t="s">
        <v>21</v>
      </c>
      <c r="E711" s="10" t="s">
        <v>37</v>
      </c>
      <c r="F711" s="11">
        <v>71.968123433000002</v>
      </c>
      <c r="G711" s="4">
        <v>1904.60547</v>
      </c>
      <c r="H711" s="20">
        <v>0</v>
      </c>
      <c r="J711" t="s">
        <v>20</v>
      </c>
      <c r="T711" s="14"/>
    </row>
    <row r="712" spans="1:20" x14ac:dyDescent="0.2">
      <c r="A712">
        <v>1343</v>
      </c>
      <c r="B712" s="1">
        <v>46228</v>
      </c>
      <c r="C712" s="2">
        <v>0.48499999999999999</v>
      </c>
      <c r="D712" t="s">
        <v>21</v>
      </c>
      <c r="E712" s="10" t="s">
        <v>46</v>
      </c>
      <c r="F712" s="11">
        <v>70.951802654999995</v>
      </c>
      <c r="G712" s="4">
        <v>551.488831</v>
      </c>
      <c r="H712" s="20">
        <v>0</v>
      </c>
      <c r="J712" t="s">
        <v>20</v>
      </c>
      <c r="T712" s="14"/>
    </row>
    <row r="713" spans="1:20" x14ac:dyDescent="0.2">
      <c r="A713">
        <v>1344</v>
      </c>
      <c r="B713" s="1">
        <v>46228</v>
      </c>
      <c r="C713" s="2">
        <v>0.48518518518518516</v>
      </c>
      <c r="D713" t="s">
        <v>21</v>
      </c>
      <c r="E713" s="10" t="s">
        <v>54</v>
      </c>
      <c r="F713" s="11">
        <v>75.953996884000006</v>
      </c>
      <c r="G713" s="4">
        <v>1997.8302000000001</v>
      </c>
      <c r="H713" s="20">
        <v>1</v>
      </c>
      <c r="J713" t="s">
        <v>20</v>
      </c>
      <c r="T713" s="14"/>
    </row>
    <row r="714" spans="1:20" x14ac:dyDescent="0.2">
      <c r="A714">
        <v>1345</v>
      </c>
      <c r="B714" s="1">
        <v>46228</v>
      </c>
      <c r="C714" s="2">
        <v>0.4853587962962963</v>
      </c>
      <c r="D714" t="s">
        <v>21</v>
      </c>
      <c r="E714" s="10" t="s">
        <v>35</v>
      </c>
      <c r="F714" s="11">
        <v>75.398201725000007</v>
      </c>
      <c r="G714" s="4">
        <v>1504.0668900000001</v>
      </c>
      <c r="H714" s="20">
        <v>0</v>
      </c>
      <c r="J714" t="s">
        <v>20</v>
      </c>
      <c r="T714" s="14"/>
    </row>
    <row r="715" spans="1:20" x14ac:dyDescent="0.2">
      <c r="A715">
        <v>1346</v>
      </c>
      <c r="B715" s="1">
        <v>46228</v>
      </c>
      <c r="C715" s="2">
        <v>0.48557870370370371</v>
      </c>
      <c r="D715" t="s">
        <v>21</v>
      </c>
      <c r="E715" s="10" t="s">
        <v>37</v>
      </c>
      <c r="F715" s="11">
        <v>72.476279012999996</v>
      </c>
      <c r="G715" s="4">
        <v>2154.60889</v>
      </c>
      <c r="H715" s="20">
        <v>0</v>
      </c>
      <c r="I715" s="17" t="s">
        <v>48</v>
      </c>
      <c r="J715" t="s">
        <v>20</v>
      </c>
      <c r="T715" s="14"/>
    </row>
    <row r="716" spans="1:20" x14ac:dyDescent="0.2">
      <c r="A716">
        <v>1347</v>
      </c>
      <c r="B716" s="1">
        <v>46228</v>
      </c>
      <c r="C716" s="2">
        <v>0.48571759259259262</v>
      </c>
      <c r="D716" t="s">
        <v>21</v>
      </c>
      <c r="E716" s="10" t="s">
        <v>33</v>
      </c>
      <c r="F716" s="11">
        <v>83.211153684999999</v>
      </c>
      <c r="G716" s="4">
        <v>1090.00659</v>
      </c>
      <c r="H716" s="20">
        <v>1</v>
      </c>
      <c r="I716" s="17" t="s">
        <v>39</v>
      </c>
      <c r="J716" t="s">
        <v>20</v>
      </c>
      <c r="N716" s="11">
        <v>64.832189772999996</v>
      </c>
      <c r="T716" s="14"/>
    </row>
    <row r="717" spans="1:20" x14ac:dyDescent="0.2">
      <c r="A717">
        <v>1369</v>
      </c>
      <c r="B717" s="1">
        <v>46228</v>
      </c>
      <c r="C717" s="2">
        <v>0.49562499999999998</v>
      </c>
      <c r="D717" t="s">
        <v>24</v>
      </c>
      <c r="E717" s="10" t="s">
        <v>49</v>
      </c>
      <c r="F717" s="11">
        <v>68.585682035000005</v>
      </c>
      <c r="G717" s="4">
        <v>1059.3089600000001</v>
      </c>
      <c r="H717" s="20">
        <v>0</v>
      </c>
      <c r="J717" t="s">
        <v>20</v>
      </c>
      <c r="T717" s="14"/>
    </row>
    <row r="718" spans="1:20" x14ac:dyDescent="0.2">
      <c r="A718">
        <v>1370</v>
      </c>
      <c r="B718" s="1">
        <v>46228</v>
      </c>
      <c r="C718" s="2">
        <v>0.49583333333333335</v>
      </c>
      <c r="D718" t="s">
        <v>24</v>
      </c>
      <c r="E718" s="10" t="s">
        <v>49</v>
      </c>
      <c r="F718" s="11">
        <v>69.427323388999994</v>
      </c>
      <c r="G718" s="4">
        <v>2145.9555700000001</v>
      </c>
      <c r="H718" s="20">
        <v>1</v>
      </c>
      <c r="I718" s="17" t="s">
        <v>40</v>
      </c>
      <c r="J718" t="s">
        <v>20</v>
      </c>
      <c r="K718" s="11">
        <v>89.554111204999998</v>
      </c>
      <c r="L718" s="11">
        <v>14.8661528</v>
      </c>
      <c r="M718" s="11">
        <v>-30.049846599999999</v>
      </c>
      <c r="N718" s="11">
        <v>62.658109660999997</v>
      </c>
      <c r="O718" s="11">
        <v>2440.62817</v>
      </c>
      <c r="P718" s="11">
        <v>214</v>
      </c>
      <c r="Q718" s="11">
        <v>1.4292501200000001</v>
      </c>
      <c r="R718" s="11">
        <v>1.5865871899999999</v>
      </c>
      <c r="S718" s="11">
        <v>99.412555917999995</v>
      </c>
      <c r="T718" s="14">
        <v>0.90083299999999999</v>
      </c>
    </row>
    <row r="719" spans="1:20" x14ac:dyDescent="0.2">
      <c r="A719">
        <v>1399</v>
      </c>
      <c r="B719" s="1">
        <v>46228</v>
      </c>
      <c r="C719" s="2">
        <v>0.50804398148148144</v>
      </c>
      <c r="D719" t="s">
        <v>24</v>
      </c>
      <c r="E719" s="10" t="s">
        <v>33</v>
      </c>
      <c r="F719" s="11">
        <v>79.177639314000004</v>
      </c>
      <c r="G719" s="4">
        <v>1989.9917</v>
      </c>
      <c r="H719" s="20">
        <v>1</v>
      </c>
      <c r="I719" s="17" t="s">
        <v>38</v>
      </c>
      <c r="J719" t="s">
        <v>20</v>
      </c>
      <c r="T719" s="14"/>
    </row>
    <row r="720" spans="1:20" x14ac:dyDescent="0.2">
      <c r="A720">
        <v>1400</v>
      </c>
      <c r="B720" s="1">
        <v>46228</v>
      </c>
      <c r="C720" s="2">
        <v>0.5084143518518518</v>
      </c>
      <c r="D720" t="s">
        <v>24</v>
      </c>
      <c r="E720" s="10" t="s">
        <v>35</v>
      </c>
      <c r="F720" s="11">
        <v>72.666841801000004</v>
      </c>
      <c r="G720" s="4">
        <v>1284.2370599999999</v>
      </c>
      <c r="H720" s="20">
        <v>0</v>
      </c>
      <c r="J720" t="s">
        <v>20</v>
      </c>
      <c r="T720" s="14"/>
    </row>
    <row r="721" spans="1:25" x14ac:dyDescent="0.2">
      <c r="A721">
        <v>1401</v>
      </c>
      <c r="B721" s="1">
        <v>46228</v>
      </c>
      <c r="C721" s="2">
        <v>0.50865740740740739</v>
      </c>
      <c r="D721" t="s">
        <v>24</v>
      </c>
      <c r="E721" s="10" t="s">
        <v>33</v>
      </c>
      <c r="F721" s="11">
        <v>79.765195160000005</v>
      </c>
      <c r="G721" s="4">
        <v>2094.0273400000001</v>
      </c>
      <c r="H721" s="20">
        <v>0</v>
      </c>
      <c r="J721" t="s">
        <v>20</v>
      </c>
      <c r="T721" s="14"/>
    </row>
    <row r="722" spans="1:25" x14ac:dyDescent="0.2">
      <c r="A722">
        <v>1402</v>
      </c>
      <c r="B722" s="1">
        <v>46228</v>
      </c>
      <c r="C722" s="2">
        <v>0.50886574074074076</v>
      </c>
      <c r="D722" t="s">
        <v>24</v>
      </c>
      <c r="E722" s="10" t="s">
        <v>33</v>
      </c>
      <c r="F722" s="11">
        <v>82.623597837999995</v>
      </c>
      <c r="G722" s="4">
        <v>2192.9785200000001</v>
      </c>
      <c r="H722" s="20">
        <v>1</v>
      </c>
      <c r="I722" s="17" t="s">
        <v>38</v>
      </c>
      <c r="J722" t="s">
        <v>20</v>
      </c>
      <c r="T722" s="14"/>
    </row>
    <row r="723" spans="1:25" x14ac:dyDescent="0.2">
      <c r="A723">
        <v>1403</v>
      </c>
      <c r="B723" s="1">
        <v>46228</v>
      </c>
      <c r="C723" s="2">
        <v>0.50922453703703707</v>
      </c>
      <c r="D723" t="s">
        <v>24</v>
      </c>
      <c r="E723" s="10" t="s">
        <v>35</v>
      </c>
      <c r="F723" s="11">
        <v>75.509355745999997</v>
      </c>
      <c r="G723" s="4">
        <v>1381.5173299999999</v>
      </c>
      <c r="H723" s="20">
        <v>0</v>
      </c>
      <c r="J723" t="s">
        <v>20</v>
      </c>
      <c r="T723" s="14"/>
    </row>
    <row r="724" spans="1:25" x14ac:dyDescent="0.2">
      <c r="A724">
        <v>1404</v>
      </c>
      <c r="B724" s="1">
        <v>46228</v>
      </c>
      <c r="C724" s="2">
        <v>0.50967592592592592</v>
      </c>
      <c r="D724" t="s">
        <v>24</v>
      </c>
      <c r="E724" s="10" t="s">
        <v>37</v>
      </c>
      <c r="F724" s="11">
        <v>69.236763508999999</v>
      </c>
      <c r="G724" s="4">
        <v>1191.2611099999999</v>
      </c>
      <c r="H724" s="20">
        <v>0</v>
      </c>
      <c r="I724" s="17" t="s">
        <v>48</v>
      </c>
      <c r="J724" t="s">
        <v>20</v>
      </c>
      <c r="T724" s="14"/>
    </row>
    <row r="725" spans="1:25" x14ac:dyDescent="0.2">
      <c r="A725">
        <v>1405</v>
      </c>
      <c r="B725" s="1">
        <v>46228</v>
      </c>
      <c r="C725" s="2">
        <v>0.51001157407407405</v>
      </c>
      <c r="D725" t="s">
        <v>24</v>
      </c>
      <c r="E725" s="10" t="s">
        <v>33</v>
      </c>
      <c r="F725" s="11">
        <v>83.703435967000004</v>
      </c>
      <c r="G725" s="4">
        <v>2156.62183</v>
      </c>
      <c r="H725" s="20">
        <v>0</v>
      </c>
      <c r="J725" t="s">
        <v>20</v>
      </c>
      <c r="T725" s="14"/>
      <c r="W725" t="s">
        <v>276</v>
      </c>
      <c r="X725" t="s">
        <v>275</v>
      </c>
      <c r="Y725" t="s">
        <v>72</v>
      </c>
    </row>
    <row r="726" spans="1:25" x14ac:dyDescent="0.2">
      <c r="A726">
        <v>1406</v>
      </c>
      <c r="B726" s="1">
        <v>46228</v>
      </c>
      <c r="C726" s="2">
        <v>0.51026620370370368</v>
      </c>
      <c r="D726" t="s">
        <v>24</v>
      </c>
      <c r="E726" s="10" t="s">
        <v>33</v>
      </c>
      <c r="F726" s="11">
        <v>81.877238550000001</v>
      </c>
      <c r="G726" s="4">
        <v>2113.4658199999999</v>
      </c>
      <c r="H726" s="20">
        <v>1</v>
      </c>
      <c r="I726" s="17" t="s">
        <v>40</v>
      </c>
      <c r="J726" t="s">
        <v>20</v>
      </c>
      <c r="K726" s="11">
        <v>96.303062767</v>
      </c>
      <c r="L726" s="11">
        <v>17.068420400000001</v>
      </c>
      <c r="M726" s="11">
        <v>-31.3227139</v>
      </c>
      <c r="N726" s="11">
        <v>69.403332027000005</v>
      </c>
      <c r="O726" s="11">
        <v>2247.4963400000001</v>
      </c>
      <c r="P726" s="11">
        <v>257</v>
      </c>
      <c r="Q726" s="11">
        <v>1.38758552</v>
      </c>
      <c r="R726" s="11">
        <v>1.59166455</v>
      </c>
      <c r="S726" s="11">
        <v>110.46682255</v>
      </c>
      <c r="T726" s="14">
        <v>0.87178268399999903</v>
      </c>
      <c r="W726" s="14">
        <v>196</v>
      </c>
      <c r="X726" s="14">
        <v>42</v>
      </c>
      <c r="Y726" s="96">
        <f>W726/X726</f>
        <v>4.666666666666667</v>
      </c>
    </row>
    <row r="727" spans="1:25" x14ac:dyDescent="0.2">
      <c r="A727">
        <v>595</v>
      </c>
      <c r="B727" s="8">
        <v>46214</v>
      </c>
      <c r="C727" s="9">
        <v>0.45738425925925924</v>
      </c>
      <c r="D727" s="7" t="s">
        <v>26</v>
      </c>
      <c r="E727" s="13" t="s">
        <v>33</v>
      </c>
      <c r="F727" s="16">
        <v>80.0986738</v>
      </c>
      <c r="G727" s="129">
        <v>1792.5563999999999</v>
      </c>
      <c r="H727" s="22"/>
      <c r="I727" s="19"/>
      <c r="J727" s="7" t="s">
        <v>16</v>
      </c>
      <c r="K727" s="16"/>
      <c r="L727" s="16"/>
      <c r="M727" s="16"/>
      <c r="N727" s="16"/>
      <c r="O727" s="16"/>
      <c r="P727" s="16"/>
      <c r="Q727" s="16"/>
      <c r="R727" s="16"/>
      <c r="S727" s="16"/>
      <c r="T727" s="16"/>
    </row>
    <row r="728" spans="1:25" x14ac:dyDescent="0.2">
      <c r="A728">
        <v>594</v>
      </c>
      <c r="B728" s="8">
        <v>46214</v>
      </c>
      <c r="C728" s="9">
        <v>0.45738425925925924</v>
      </c>
      <c r="D728" s="7" t="s">
        <v>26</v>
      </c>
      <c r="E728" s="13" t="s">
        <v>33</v>
      </c>
      <c r="F728" s="16">
        <v>79.002955400000005</v>
      </c>
      <c r="G728" s="129">
        <v>1812.7917500000001</v>
      </c>
      <c r="H728" s="22"/>
      <c r="I728" s="19"/>
      <c r="J728" s="7" t="s">
        <v>16</v>
      </c>
      <c r="K728" s="16"/>
      <c r="L728" s="16"/>
      <c r="M728" s="16"/>
      <c r="N728" s="16"/>
      <c r="O728" s="16"/>
      <c r="P728" s="16"/>
      <c r="Q728" s="16"/>
      <c r="R728" s="16"/>
      <c r="S728" s="16"/>
      <c r="T728" s="16"/>
    </row>
    <row r="729" spans="1:25" x14ac:dyDescent="0.2">
      <c r="A729">
        <v>593</v>
      </c>
      <c r="B729" s="8">
        <v>46214</v>
      </c>
      <c r="C729" s="9">
        <v>0.45738425925925924</v>
      </c>
      <c r="D729" s="7" t="s">
        <v>26</v>
      </c>
      <c r="E729" s="13" t="s">
        <v>33</v>
      </c>
      <c r="F729" s="16">
        <v>78.701237300000003</v>
      </c>
      <c r="G729" s="129">
        <v>1810.16687</v>
      </c>
      <c r="H729" s="22"/>
      <c r="I729" s="19"/>
      <c r="J729" s="7" t="s">
        <v>16</v>
      </c>
      <c r="K729" s="16"/>
      <c r="L729" s="16"/>
      <c r="M729" s="16"/>
      <c r="N729" s="16"/>
      <c r="O729" s="16"/>
      <c r="P729" s="16"/>
      <c r="Q729" s="16"/>
      <c r="R729" s="16"/>
      <c r="S729" s="16"/>
      <c r="T729" s="16"/>
    </row>
    <row r="730" spans="1:25" x14ac:dyDescent="0.2">
      <c r="A730">
        <v>592</v>
      </c>
      <c r="B730" s="8">
        <v>46214</v>
      </c>
      <c r="C730" s="9">
        <v>0.45738425925925924</v>
      </c>
      <c r="D730" s="7" t="s">
        <v>26</v>
      </c>
      <c r="E730" s="13" t="s">
        <v>33</v>
      </c>
      <c r="F730" s="16">
        <v>77.113236599999993</v>
      </c>
      <c r="G730" s="129">
        <v>1740.69958</v>
      </c>
      <c r="H730" s="22"/>
      <c r="I730" s="19"/>
      <c r="J730" s="7" t="s">
        <v>16</v>
      </c>
      <c r="K730" s="16"/>
      <c r="L730" s="16"/>
      <c r="M730" s="16"/>
      <c r="N730" s="16"/>
      <c r="O730" s="16"/>
      <c r="P730" s="16"/>
      <c r="Q730" s="16"/>
      <c r="R730" s="16"/>
      <c r="S730" s="16"/>
      <c r="T730" s="16"/>
    </row>
    <row r="731" spans="1:25" x14ac:dyDescent="0.2">
      <c r="A731">
        <v>596</v>
      </c>
      <c r="B731" s="8">
        <v>46214</v>
      </c>
      <c r="C731" s="9">
        <v>0.45739583333333333</v>
      </c>
      <c r="D731" s="7" t="s">
        <v>26</v>
      </c>
      <c r="E731" s="13" t="s">
        <v>49</v>
      </c>
      <c r="F731" s="16">
        <v>71.444080499999998</v>
      </c>
      <c r="G731" s="129">
        <v>1604.8194599999999</v>
      </c>
      <c r="H731" s="22"/>
      <c r="I731" s="19"/>
      <c r="J731" s="7" t="s">
        <v>16</v>
      </c>
      <c r="K731" s="16"/>
      <c r="L731" s="16"/>
      <c r="M731" s="16"/>
      <c r="N731" s="16"/>
      <c r="O731" s="16"/>
      <c r="P731" s="16"/>
      <c r="Q731" s="16"/>
      <c r="R731" s="16"/>
      <c r="S731" s="16"/>
      <c r="T731" s="16"/>
    </row>
    <row r="732" spans="1:25" x14ac:dyDescent="0.2">
      <c r="A732">
        <v>599</v>
      </c>
      <c r="B732" s="8">
        <v>46214</v>
      </c>
      <c r="C732" s="9">
        <v>0.45739583333333333</v>
      </c>
      <c r="D732" s="7" t="s">
        <v>26</v>
      </c>
      <c r="E732" s="13" t="s">
        <v>33</v>
      </c>
      <c r="F732" s="16">
        <v>80.670357899999999</v>
      </c>
      <c r="G732" s="129">
        <v>1881.86365</v>
      </c>
      <c r="H732" s="22"/>
      <c r="I732" s="19"/>
      <c r="J732" s="7" t="s">
        <v>16</v>
      </c>
      <c r="K732" s="16"/>
      <c r="L732" s="16"/>
      <c r="M732" s="16"/>
      <c r="N732" s="16"/>
      <c r="O732" s="16"/>
      <c r="P732" s="16"/>
      <c r="Q732" s="16"/>
      <c r="R732" s="16"/>
      <c r="S732" s="16"/>
      <c r="T732" s="16"/>
    </row>
    <row r="733" spans="1:25" x14ac:dyDescent="0.2">
      <c r="A733">
        <v>598</v>
      </c>
      <c r="B733" s="8">
        <v>46214</v>
      </c>
      <c r="C733" s="9">
        <v>0.45739583333333333</v>
      </c>
      <c r="D733" s="7" t="s">
        <v>26</v>
      </c>
      <c r="E733" s="13" t="s">
        <v>33</v>
      </c>
      <c r="F733" s="16">
        <v>80.336879100000004</v>
      </c>
      <c r="G733" s="129">
        <v>1845.27954</v>
      </c>
      <c r="H733" s="22"/>
      <c r="I733" s="19"/>
      <c r="J733" s="7" t="s">
        <v>16</v>
      </c>
      <c r="K733" s="16"/>
      <c r="L733" s="16"/>
      <c r="M733" s="16"/>
      <c r="N733" s="16"/>
      <c r="O733" s="16"/>
      <c r="P733" s="16"/>
      <c r="Q733" s="16"/>
      <c r="R733" s="16"/>
      <c r="S733" s="16"/>
      <c r="T733" s="16"/>
    </row>
    <row r="734" spans="1:25" x14ac:dyDescent="0.2">
      <c r="A734">
        <v>597</v>
      </c>
      <c r="B734" s="8">
        <v>46214</v>
      </c>
      <c r="C734" s="9">
        <v>0.45739583333333333</v>
      </c>
      <c r="D734" s="7" t="s">
        <v>26</v>
      </c>
      <c r="E734" s="13" t="s">
        <v>33</v>
      </c>
      <c r="F734" s="16">
        <v>79.336434299999993</v>
      </c>
      <c r="G734" s="129">
        <v>1751.49353</v>
      </c>
      <c r="H734" s="22"/>
      <c r="I734" s="19"/>
      <c r="J734" s="7" t="s">
        <v>16</v>
      </c>
      <c r="K734" s="16"/>
      <c r="L734" s="16"/>
      <c r="M734" s="16"/>
      <c r="N734" s="16"/>
      <c r="O734" s="16"/>
      <c r="P734" s="16"/>
      <c r="Q734" s="16"/>
      <c r="R734" s="16"/>
      <c r="S734" s="16"/>
      <c r="T734" s="16"/>
    </row>
    <row r="735" spans="1:25" x14ac:dyDescent="0.2">
      <c r="A735">
        <v>600</v>
      </c>
      <c r="B735" s="8">
        <v>46214</v>
      </c>
      <c r="C735" s="9">
        <v>0.45756944444444442</v>
      </c>
      <c r="D735" s="7" t="s">
        <v>26</v>
      </c>
      <c r="E735" s="13" t="s">
        <v>33</v>
      </c>
      <c r="F735" s="16">
        <v>81.051477700000007</v>
      </c>
      <c r="G735" s="129">
        <v>1911.9603300000001</v>
      </c>
      <c r="H735" s="22">
        <v>1</v>
      </c>
      <c r="I735" s="19"/>
      <c r="J735" s="7" t="s">
        <v>16</v>
      </c>
      <c r="K735" s="16"/>
      <c r="L735" s="16"/>
      <c r="M735" s="16"/>
      <c r="N735" s="16"/>
      <c r="O735" s="16"/>
      <c r="P735" s="16"/>
      <c r="Q735" s="16"/>
      <c r="R735" s="16"/>
      <c r="S735" s="16"/>
      <c r="T735" s="16"/>
    </row>
    <row r="736" spans="1:25" x14ac:dyDescent="0.2">
      <c r="A736">
        <v>601</v>
      </c>
      <c r="B736" s="8">
        <v>46214</v>
      </c>
      <c r="C736" s="9">
        <v>0.45841435185185186</v>
      </c>
      <c r="D736" s="7" t="s">
        <v>26</v>
      </c>
      <c r="E736" s="13" t="s">
        <v>35</v>
      </c>
      <c r="F736" s="16">
        <v>76.223954300000003</v>
      </c>
      <c r="G736" s="129">
        <v>1724.8896500000001</v>
      </c>
      <c r="H736" s="22"/>
      <c r="I736" s="19"/>
      <c r="J736" s="7" t="s">
        <v>16</v>
      </c>
      <c r="K736" s="16"/>
      <c r="L736" s="16"/>
      <c r="M736" s="16"/>
      <c r="N736" s="16"/>
      <c r="O736" s="16"/>
      <c r="P736" s="16"/>
      <c r="Q736" s="16"/>
      <c r="R736" s="16"/>
      <c r="S736" s="16"/>
      <c r="T736" s="16"/>
    </row>
    <row r="737" spans="1:20" x14ac:dyDescent="0.2">
      <c r="A737">
        <v>602</v>
      </c>
      <c r="B737" s="8">
        <v>46214</v>
      </c>
      <c r="C737" s="9">
        <v>0.45854166666666668</v>
      </c>
      <c r="D737" s="7" t="s">
        <v>26</v>
      </c>
      <c r="E737" s="13" t="s">
        <v>33</v>
      </c>
      <c r="F737" s="16">
        <v>81.480238600000007</v>
      </c>
      <c r="G737" s="129">
        <v>1881.99585</v>
      </c>
      <c r="H737" s="22"/>
      <c r="I737" s="19"/>
      <c r="J737" s="7" t="s">
        <v>16</v>
      </c>
      <c r="K737" s="16"/>
      <c r="L737" s="16"/>
      <c r="M737" s="16"/>
      <c r="N737" s="16"/>
      <c r="O737" s="16"/>
      <c r="P737" s="16"/>
      <c r="Q737" s="16"/>
      <c r="R737" s="16"/>
      <c r="S737" s="16"/>
      <c r="T737" s="16"/>
    </row>
    <row r="738" spans="1:20" x14ac:dyDescent="0.2">
      <c r="A738">
        <v>603</v>
      </c>
      <c r="B738" s="8">
        <v>46214</v>
      </c>
      <c r="C738" s="9">
        <v>0.45872685185185186</v>
      </c>
      <c r="D738" s="7" t="s">
        <v>26</v>
      </c>
      <c r="E738" s="13" t="s">
        <v>33</v>
      </c>
      <c r="F738" s="16">
        <v>82.305991000000006</v>
      </c>
      <c r="G738" s="129">
        <v>1954.3099400000001</v>
      </c>
      <c r="H738" s="22">
        <v>1</v>
      </c>
      <c r="I738" s="19"/>
      <c r="J738" s="7" t="s">
        <v>16</v>
      </c>
      <c r="K738" s="16"/>
      <c r="L738" s="16"/>
      <c r="M738" s="16"/>
      <c r="N738" s="16"/>
      <c r="O738" s="16"/>
      <c r="P738" s="16"/>
      <c r="Q738" s="16"/>
      <c r="R738" s="16"/>
      <c r="S738" s="16"/>
      <c r="T738" s="16"/>
    </row>
    <row r="739" spans="1:20" x14ac:dyDescent="0.2">
      <c r="A739">
        <v>604</v>
      </c>
      <c r="B739" s="8">
        <v>46214</v>
      </c>
      <c r="C739" s="9">
        <v>0.45893518518518517</v>
      </c>
      <c r="D739" s="7" t="s">
        <v>26</v>
      </c>
      <c r="E739" s="13" t="s">
        <v>33</v>
      </c>
      <c r="F739" s="16">
        <v>81.242033300000003</v>
      </c>
      <c r="G739" s="129">
        <v>1897.4349400000001</v>
      </c>
      <c r="H739" s="22">
        <v>1</v>
      </c>
      <c r="I739" s="19"/>
      <c r="J739" s="7" t="s">
        <v>16</v>
      </c>
      <c r="K739" s="16"/>
      <c r="L739" s="16"/>
      <c r="M739" s="16"/>
      <c r="N739" s="16"/>
      <c r="O739" s="16"/>
      <c r="P739" s="16"/>
      <c r="Q739" s="16"/>
      <c r="R739" s="16"/>
      <c r="S739" s="16"/>
      <c r="T739" s="16"/>
    </row>
    <row r="740" spans="1:20" x14ac:dyDescent="0.2">
      <c r="A740">
        <v>605</v>
      </c>
      <c r="B740" s="8">
        <v>46214</v>
      </c>
      <c r="C740" s="9">
        <v>0.4594212962962963</v>
      </c>
      <c r="D740" s="7" t="s">
        <v>26</v>
      </c>
      <c r="E740" s="13" t="s">
        <v>33</v>
      </c>
      <c r="F740" s="16">
        <v>81.178511900000004</v>
      </c>
      <c r="G740" s="129">
        <v>1899.84265</v>
      </c>
      <c r="H740" s="22">
        <v>1</v>
      </c>
      <c r="I740" s="19"/>
      <c r="J740" s="7" t="s">
        <v>16</v>
      </c>
      <c r="K740" s="16"/>
      <c r="L740" s="16"/>
      <c r="M740" s="16"/>
      <c r="N740" s="16"/>
      <c r="O740" s="16"/>
      <c r="P740" s="16"/>
      <c r="Q740" s="16"/>
      <c r="R740" s="16"/>
      <c r="S740" s="16"/>
      <c r="T740" s="16"/>
    </row>
    <row r="741" spans="1:20" x14ac:dyDescent="0.2">
      <c r="A741">
        <v>24</v>
      </c>
      <c r="B741" s="1">
        <v>46193</v>
      </c>
      <c r="C741" s="2">
        <v>0.80903935185185183</v>
      </c>
      <c r="D741" t="s">
        <v>21</v>
      </c>
      <c r="E741" s="10" t="s">
        <v>33</v>
      </c>
      <c r="F741" s="11">
        <v>81.877238550000001</v>
      </c>
      <c r="G741" s="4">
        <v>2217.4936499999999</v>
      </c>
      <c r="H741" s="20">
        <v>0</v>
      </c>
      <c r="J741" t="s">
        <v>24</v>
      </c>
    </row>
    <row r="742" spans="1:20" x14ac:dyDescent="0.2">
      <c r="A742">
        <v>25</v>
      </c>
      <c r="B742" s="1">
        <v>46193</v>
      </c>
      <c r="C742" s="2">
        <v>0.80923611111111116</v>
      </c>
      <c r="D742" t="s">
        <v>21</v>
      </c>
      <c r="E742" s="10" t="s">
        <v>33</v>
      </c>
      <c r="F742" s="11">
        <v>83.020598054999994</v>
      </c>
      <c r="G742" s="4">
        <v>1106.80151</v>
      </c>
      <c r="H742" s="20">
        <v>1</v>
      </c>
      <c r="I742" s="17" t="s">
        <v>38</v>
      </c>
      <c r="J742" t="s">
        <v>24</v>
      </c>
      <c r="K742" s="11">
        <v>72.474161304999996</v>
      </c>
      <c r="L742" s="11">
        <v>20.961555499999999</v>
      </c>
      <c r="M742" s="11">
        <v>-37.506442999999997</v>
      </c>
      <c r="N742" s="11">
        <v>79.849494988000004</v>
      </c>
      <c r="O742" s="11">
        <v>1311.8074999999999</v>
      </c>
      <c r="Q742" s="11">
        <v>0.90763455599999998</v>
      </c>
      <c r="R742" s="11">
        <v>1.43989897</v>
      </c>
      <c r="S742" s="11">
        <v>114.975202866</v>
      </c>
      <c r="T742" s="11">
        <v>0.63034603099999997</v>
      </c>
    </row>
    <row r="743" spans="1:20" x14ac:dyDescent="0.2">
      <c r="A743">
        <v>26</v>
      </c>
      <c r="B743" s="1">
        <v>46193</v>
      </c>
      <c r="C743" s="2">
        <v>0.80954861111111109</v>
      </c>
      <c r="D743" t="s">
        <v>21</v>
      </c>
      <c r="E743" s="10" t="s">
        <v>37</v>
      </c>
      <c r="F743" s="11">
        <v>71.396439541999996</v>
      </c>
      <c r="G743" s="4">
        <v>2167.2817399999999</v>
      </c>
      <c r="H743" s="20">
        <v>0</v>
      </c>
      <c r="J743" t="s">
        <v>24</v>
      </c>
    </row>
    <row r="744" spans="1:20" x14ac:dyDescent="0.2">
      <c r="A744">
        <v>27</v>
      </c>
      <c r="B744" s="1">
        <v>46193</v>
      </c>
      <c r="C744" s="2">
        <v>0.80981481481481477</v>
      </c>
      <c r="D744" t="s">
        <v>21</v>
      </c>
      <c r="E744" s="10" t="s">
        <v>33</v>
      </c>
      <c r="F744" s="11">
        <v>82.941196446000006</v>
      </c>
      <c r="G744" s="4">
        <v>1054.1746800000001</v>
      </c>
      <c r="H744" s="20">
        <v>0</v>
      </c>
      <c r="J744" t="s">
        <v>24</v>
      </c>
    </row>
    <row r="745" spans="1:20" x14ac:dyDescent="0.2">
      <c r="A745">
        <v>28</v>
      </c>
      <c r="B745" s="1">
        <v>46193</v>
      </c>
      <c r="C745" s="2">
        <v>0.81021990740740746</v>
      </c>
      <c r="D745" t="s">
        <v>21</v>
      </c>
      <c r="E745" s="10" t="s">
        <v>46</v>
      </c>
      <c r="F745" s="11">
        <v>72.476279012999996</v>
      </c>
      <c r="G745" s="4">
        <v>422.546448</v>
      </c>
      <c r="H745" s="20">
        <v>1</v>
      </c>
      <c r="J745" t="s">
        <v>24</v>
      </c>
    </row>
    <row r="746" spans="1:20" x14ac:dyDescent="0.2">
      <c r="A746">
        <v>29</v>
      </c>
      <c r="B746" s="1">
        <v>46193</v>
      </c>
      <c r="C746" s="2">
        <v>0.81043981481481486</v>
      </c>
      <c r="D746" t="s">
        <v>21</v>
      </c>
      <c r="E746" s="10" t="s">
        <v>37</v>
      </c>
      <c r="F746" s="11">
        <v>69.999003029999997</v>
      </c>
      <c r="G746" s="4">
        <v>1153.40283</v>
      </c>
      <c r="H746" s="20">
        <v>1</v>
      </c>
      <c r="I746" s="17" t="s">
        <v>45</v>
      </c>
      <c r="J746" t="s">
        <v>24</v>
      </c>
      <c r="N746" s="11">
        <v>54.394308619</v>
      </c>
    </row>
    <row r="747" spans="1:20" x14ac:dyDescent="0.2">
      <c r="A747">
        <v>79</v>
      </c>
      <c r="B747" s="1">
        <v>46193</v>
      </c>
      <c r="C747" s="2">
        <v>0.83929398148148149</v>
      </c>
      <c r="D747" t="s">
        <v>34</v>
      </c>
      <c r="E747" s="10" t="s">
        <v>35</v>
      </c>
      <c r="F747" s="11">
        <v>77.494356605999997</v>
      </c>
      <c r="G747" s="4">
        <v>1953.18262</v>
      </c>
      <c r="H747" s="20">
        <v>1</v>
      </c>
      <c r="I747" s="17" t="s">
        <v>39</v>
      </c>
      <c r="J747" t="s">
        <v>24</v>
      </c>
      <c r="N747" s="11">
        <v>68.020982305999993</v>
      </c>
    </row>
    <row r="748" spans="1:20" x14ac:dyDescent="0.2">
      <c r="A748">
        <v>80</v>
      </c>
      <c r="B748" s="1">
        <v>46193</v>
      </c>
      <c r="C748" s="2">
        <v>0.83954861111111112</v>
      </c>
      <c r="D748" t="s">
        <v>34</v>
      </c>
      <c r="E748" s="10" t="s">
        <v>37</v>
      </c>
      <c r="F748" s="11">
        <v>73.540235343000006</v>
      </c>
      <c r="G748" s="4">
        <v>1122.83582</v>
      </c>
      <c r="H748" s="20">
        <v>1</v>
      </c>
      <c r="I748" s="17" t="s">
        <v>42</v>
      </c>
      <c r="J748" t="s">
        <v>24</v>
      </c>
    </row>
    <row r="749" spans="1:20" x14ac:dyDescent="0.2">
      <c r="A749">
        <v>147</v>
      </c>
      <c r="B749" s="1">
        <v>46193</v>
      </c>
      <c r="C749" s="2">
        <v>0.86195601851851855</v>
      </c>
      <c r="D749" t="s">
        <v>34</v>
      </c>
      <c r="E749" s="10" t="s">
        <v>33</v>
      </c>
      <c r="F749" s="11">
        <v>84.608590196999998</v>
      </c>
      <c r="G749" s="4">
        <v>2149.1433099999999</v>
      </c>
      <c r="H749" s="20">
        <v>0</v>
      </c>
      <c r="J749" t="s">
        <v>24</v>
      </c>
    </row>
    <row r="750" spans="1:20" x14ac:dyDescent="0.2">
      <c r="A750">
        <v>148</v>
      </c>
      <c r="B750" s="1">
        <v>46193</v>
      </c>
      <c r="C750" s="2">
        <v>0.86216435185185181</v>
      </c>
      <c r="D750" t="s">
        <v>34</v>
      </c>
      <c r="E750" s="10" t="s">
        <v>33</v>
      </c>
      <c r="F750" s="11">
        <v>82.496555084999997</v>
      </c>
      <c r="G750" s="4">
        <v>2042.41382</v>
      </c>
      <c r="H750" s="20">
        <v>1</v>
      </c>
      <c r="I750" s="17" t="s">
        <v>40</v>
      </c>
      <c r="J750" t="s">
        <v>24</v>
      </c>
      <c r="K750" s="11">
        <v>88.505999540000005</v>
      </c>
      <c r="L750" s="11">
        <v>-2.3491964300000001</v>
      </c>
      <c r="M750" s="11">
        <v>-17.894392</v>
      </c>
      <c r="N750" s="11">
        <v>68.779578305000001</v>
      </c>
      <c r="O750" s="11">
        <v>3093.0153799999998</v>
      </c>
      <c r="P750" s="11">
        <v>47</v>
      </c>
      <c r="Q750" s="11">
        <v>1.28680634</v>
      </c>
      <c r="R750" s="11">
        <v>1.4872458</v>
      </c>
      <c r="S750" s="11">
        <v>102.292138354</v>
      </c>
      <c r="T750" s="11">
        <v>0.865227737</v>
      </c>
    </row>
    <row r="751" spans="1:20" x14ac:dyDescent="0.2">
      <c r="A751">
        <v>160</v>
      </c>
      <c r="B751" s="1">
        <v>46193</v>
      </c>
      <c r="C751" s="2">
        <v>0.86898148148148147</v>
      </c>
      <c r="D751" t="s">
        <v>25</v>
      </c>
      <c r="E751" s="10" t="s">
        <v>37</v>
      </c>
      <c r="F751" s="11">
        <v>73.794320850000005</v>
      </c>
      <c r="G751" s="4">
        <v>2344.8793900000001</v>
      </c>
      <c r="H751" s="20">
        <v>1</v>
      </c>
      <c r="I751" s="17" t="s">
        <v>39</v>
      </c>
      <c r="J751" t="s">
        <v>24</v>
      </c>
      <c r="N751" s="11">
        <v>62.542215573</v>
      </c>
    </row>
    <row r="752" spans="1:20" x14ac:dyDescent="0.2">
      <c r="A752">
        <v>161</v>
      </c>
      <c r="B752" s="1">
        <v>46193</v>
      </c>
      <c r="C752" s="2">
        <v>0.86934027777777778</v>
      </c>
      <c r="D752" t="s">
        <v>25</v>
      </c>
      <c r="E752" s="10" t="s">
        <v>37</v>
      </c>
      <c r="F752" s="11">
        <v>72.523918590999997</v>
      </c>
      <c r="G752" s="4">
        <v>2193.89795</v>
      </c>
      <c r="H752" s="20">
        <v>1</v>
      </c>
      <c r="I752" s="17" t="s">
        <v>39</v>
      </c>
      <c r="J752" t="s">
        <v>24</v>
      </c>
      <c r="N752" s="11">
        <v>64.171798619</v>
      </c>
    </row>
    <row r="753" spans="1:20" x14ac:dyDescent="0.2">
      <c r="A753">
        <v>162</v>
      </c>
      <c r="B753" s="1">
        <v>46193</v>
      </c>
      <c r="C753" s="2">
        <v>0.86962962962962964</v>
      </c>
      <c r="D753" t="s">
        <v>25</v>
      </c>
      <c r="E753" s="10" t="s">
        <v>33</v>
      </c>
      <c r="F753" s="11">
        <v>86.958830585000001</v>
      </c>
      <c r="G753" s="4">
        <v>2053.2587899999999</v>
      </c>
      <c r="H753" s="20">
        <v>1</v>
      </c>
      <c r="I753" s="17" t="s">
        <v>38</v>
      </c>
      <c r="J753" t="s">
        <v>24</v>
      </c>
      <c r="N753" s="11">
        <v>66.840938616000003</v>
      </c>
    </row>
    <row r="754" spans="1:20" x14ac:dyDescent="0.2">
      <c r="A754">
        <v>163</v>
      </c>
      <c r="B754" s="1">
        <v>46193</v>
      </c>
      <c r="C754" s="2">
        <v>0.87003472222222222</v>
      </c>
      <c r="D754" t="s">
        <v>25</v>
      </c>
      <c r="E754" s="10" t="s">
        <v>35</v>
      </c>
      <c r="F754" s="11">
        <v>76.462159622000001</v>
      </c>
      <c r="G754" s="4">
        <v>1811.2419400000001</v>
      </c>
      <c r="H754" s="20">
        <v>1</v>
      </c>
      <c r="I754" s="17" t="s">
        <v>40</v>
      </c>
      <c r="J754" t="s">
        <v>24</v>
      </c>
      <c r="K754" s="11">
        <v>83.928099055000004</v>
      </c>
      <c r="L754" s="11">
        <v>26.885356900000001</v>
      </c>
      <c r="M754" s="11">
        <v>-16.736764900000001</v>
      </c>
      <c r="N754" s="11">
        <v>66.39139926</v>
      </c>
      <c r="O754" s="11">
        <v>3709.3391099999999</v>
      </c>
      <c r="P754" s="11">
        <v>273</v>
      </c>
      <c r="Q754" s="11">
        <v>1.2641410799999999</v>
      </c>
      <c r="R754" s="11">
        <v>1.4736298299999999</v>
      </c>
      <c r="S754" s="11">
        <v>97.836348178999998</v>
      </c>
      <c r="T754" s="11">
        <v>0.857841721</v>
      </c>
    </row>
    <row r="755" spans="1:20" x14ac:dyDescent="0.2">
      <c r="A755">
        <v>164</v>
      </c>
      <c r="B755" s="1">
        <v>46193</v>
      </c>
      <c r="C755" s="2">
        <v>0.87033564814814812</v>
      </c>
      <c r="D755" t="s">
        <v>25</v>
      </c>
      <c r="E755" s="10" t="s">
        <v>35</v>
      </c>
      <c r="F755" s="11">
        <v>76.017518261000006</v>
      </c>
      <c r="G755" s="4">
        <v>1737.5220899999999</v>
      </c>
      <c r="H755" s="20">
        <v>0</v>
      </c>
      <c r="J755" t="s">
        <v>24</v>
      </c>
    </row>
    <row r="756" spans="1:20" x14ac:dyDescent="0.2">
      <c r="A756">
        <v>165</v>
      </c>
      <c r="B756" s="1">
        <v>46193</v>
      </c>
      <c r="C756" s="2">
        <v>0.8706828703703704</v>
      </c>
      <c r="D756" t="s">
        <v>25</v>
      </c>
      <c r="E756" s="10" t="s">
        <v>35</v>
      </c>
      <c r="F756" s="11">
        <v>74.207201299000005</v>
      </c>
      <c r="G756" s="4">
        <v>1807.3370399999999</v>
      </c>
      <c r="H756" s="20">
        <v>1</v>
      </c>
      <c r="I756" s="17" t="s">
        <v>40</v>
      </c>
      <c r="J756" t="s">
        <v>24</v>
      </c>
      <c r="K756" s="11">
        <v>91.218526924000003</v>
      </c>
      <c r="L756" s="11">
        <v>14.4718132</v>
      </c>
      <c r="M756" s="11">
        <v>9.2985687299999995</v>
      </c>
      <c r="N756" s="11">
        <v>66.082342616000005</v>
      </c>
      <c r="O756" s="11">
        <v>1756.53638</v>
      </c>
      <c r="P756" s="11">
        <v>217</v>
      </c>
      <c r="Q756" s="11">
        <v>1.3803767</v>
      </c>
      <c r="R756" s="11">
        <v>1.4662431499999999</v>
      </c>
      <c r="S756" s="11">
        <v>96.892785981000003</v>
      </c>
      <c r="T756" s="11">
        <v>0.94143775899999904</v>
      </c>
    </row>
    <row r="757" spans="1:20" x14ac:dyDescent="0.2">
      <c r="A757">
        <v>229</v>
      </c>
      <c r="B757" s="1">
        <v>46197</v>
      </c>
      <c r="C757" s="2">
        <v>0.59201388888888884</v>
      </c>
      <c r="D757" t="s">
        <v>28</v>
      </c>
      <c r="E757" s="10" t="s">
        <v>33</v>
      </c>
      <c r="F757" s="11">
        <v>78.574194509999998</v>
      </c>
      <c r="G757" s="4">
        <v>2112.3071300000001</v>
      </c>
      <c r="H757" s="20">
        <v>0</v>
      </c>
      <c r="J757" t="s">
        <v>24</v>
      </c>
    </row>
    <row r="758" spans="1:20" x14ac:dyDescent="0.2">
      <c r="A758">
        <v>230</v>
      </c>
      <c r="B758" s="1">
        <v>46197</v>
      </c>
      <c r="C758" s="2">
        <v>0.59244212962962961</v>
      </c>
      <c r="D758" t="s">
        <v>28</v>
      </c>
      <c r="E758" s="10" t="s">
        <v>33</v>
      </c>
      <c r="F758" s="11">
        <v>77.938997743000002</v>
      </c>
      <c r="G758" s="4">
        <v>994.86468500000001</v>
      </c>
      <c r="H758" s="20">
        <v>0</v>
      </c>
      <c r="J758" t="s">
        <v>24</v>
      </c>
    </row>
    <row r="759" spans="1:20" x14ac:dyDescent="0.2">
      <c r="A759">
        <v>231</v>
      </c>
      <c r="B759" s="1">
        <v>46197</v>
      </c>
      <c r="C759" s="2">
        <v>0.59265046296296298</v>
      </c>
      <c r="D759" t="s">
        <v>28</v>
      </c>
      <c r="E759" s="10" t="s">
        <v>33</v>
      </c>
      <c r="F759" s="11">
        <v>78.463040712999998</v>
      </c>
      <c r="G759" s="4">
        <v>2033.07251</v>
      </c>
      <c r="H759" s="20">
        <v>1</v>
      </c>
      <c r="I759" s="17" t="s">
        <v>39</v>
      </c>
      <c r="J759" t="s">
        <v>24</v>
      </c>
      <c r="N759" s="11">
        <v>68.667195758999995</v>
      </c>
    </row>
    <row r="760" spans="1:20" x14ac:dyDescent="0.2">
      <c r="A760">
        <v>232</v>
      </c>
      <c r="B760" s="1">
        <v>46197</v>
      </c>
      <c r="C760" s="2">
        <v>0.59290509259259261</v>
      </c>
      <c r="D760" t="s">
        <v>28</v>
      </c>
      <c r="E760" s="10" t="s">
        <v>37</v>
      </c>
      <c r="F760" s="11">
        <v>71.76167907</v>
      </c>
      <c r="G760" s="4">
        <v>2353.0661599999999</v>
      </c>
      <c r="H760" s="20">
        <v>1</v>
      </c>
      <c r="I760" s="17" t="s">
        <v>40</v>
      </c>
      <c r="J760" t="s">
        <v>24</v>
      </c>
      <c r="K760" s="11">
        <v>87.714926137000006</v>
      </c>
      <c r="L760" s="11">
        <v>-23.6558876</v>
      </c>
      <c r="M760" s="11">
        <v>-35.477027900000003</v>
      </c>
      <c r="N760" s="11">
        <v>68.498617354000004</v>
      </c>
      <c r="Q760" s="11">
        <v>1.2805356999999999</v>
      </c>
      <c r="R760" s="11">
        <v>1.4492312700000001</v>
      </c>
      <c r="S760" s="11">
        <v>99.270341146000007</v>
      </c>
      <c r="T760" s="11">
        <v>0.88359649699999998</v>
      </c>
    </row>
    <row r="761" spans="1:20" x14ac:dyDescent="0.2">
      <c r="A761">
        <v>266</v>
      </c>
      <c r="B761" s="1">
        <v>46197</v>
      </c>
      <c r="C761" s="2">
        <v>0.60624999999999996</v>
      </c>
      <c r="D761" t="s">
        <v>28</v>
      </c>
      <c r="E761" s="10" t="s">
        <v>33</v>
      </c>
      <c r="F761" s="11">
        <v>79.781075392999995</v>
      </c>
      <c r="G761" s="4">
        <v>2148.7602499999998</v>
      </c>
      <c r="H761" s="20">
        <v>1</v>
      </c>
      <c r="I761" s="17" t="s">
        <v>40</v>
      </c>
      <c r="J761" t="s">
        <v>24</v>
      </c>
      <c r="K761" s="11">
        <v>79.067842217999996</v>
      </c>
      <c r="L761" s="11">
        <v>4.0375623699999998</v>
      </c>
      <c r="M761" s="11">
        <v>-24.478088400000001</v>
      </c>
      <c r="N761" s="11">
        <v>63.497489696999999</v>
      </c>
      <c r="O761" s="11">
        <v>2784.7810100000002</v>
      </c>
      <c r="P761" s="11">
        <v>93</v>
      </c>
      <c r="Q761" s="11">
        <v>1.2452120799999999</v>
      </c>
      <c r="R761" s="11">
        <v>1.5019637299999999</v>
      </c>
      <c r="S761" s="11">
        <v>95.370926390999998</v>
      </c>
      <c r="T761" s="11">
        <v>0.82905600000000002</v>
      </c>
    </row>
    <row r="762" spans="1:20" x14ac:dyDescent="0.2">
      <c r="A762">
        <v>311</v>
      </c>
      <c r="B762" s="8">
        <v>46200</v>
      </c>
      <c r="C762" s="9">
        <v>0.73709490740740746</v>
      </c>
      <c r="D762" s="7" t="s">
        <v>18</v>
      </c>
      <c r="E762" s="13" t="s">
        <v>35</v>
      </c>
      <c r="F762" s="16">
        <v>79.971639499999995</v>
      </c>
      <c r="G762" s="129">
        <v>1573.26514</v>
      </c>
      <c r="H762" s="22">
        <v>0</v>
      </c>
      <c r="I762" s="19"/>
      <c r="J762" s="7" t="s">
        <v>24</v>
      </c>
      <c r="K762" s="16"/>
      <c r="L762" s="16"/>
      <c r="M762" s="16"/>
      <c r="N762" s="16"/>
      <c r="O762" s="16"/>
      <c r="P762" s="16"/>
      <c r="Q762" s="16"/>
      <c r="R762" s="16"/>
      <c r="S762" s="16"/>
      <c r="T762" s="16"/>
    </row>
    <row r="763" spans="1:20" x14ac:dyDescent="0.2">
      <c r="A763">
        <v>312</v>
      </c>
      <c r="B763" s="8">
        <v>46200</v>
      </c>
      <c r="C763" s="9">
        <v>0.73728009259259264</v>
      </c>
      <c r="D763" s="7" t="s">
        <v>18</v>
      </c>
      <c r="E763" s="13" t="s">
        <v>33</v>
      </c>
      <c r="F763" s="16">
        <v>84.418034599999999</v>
      </c>
      <c r="G763" s="129">
        <v>1121.9829099999999</v>
      </c>
      <c r="H763" s="22">
        <v>1</v>
      </c>
      <c r="I763" s="19" t="s">
        <v>38</v>
      </c>
      <c r="J763" s="7" t="s">
        <v>24</v>
      </c>
      <c r="K763" s="16"/>
      <c r="L763" s="16"/>
      <c r="M763" s="16"/>
      <c r="N763" s="16">
        <v>68.498617400000001</v>
      </c>
      <c r="O763" s="16"/>
      <c r="P763" s="16"/>
      <c r="Q763" s="16"/>
      <c r="R763" s="16"/>
      <c r="S763" s="16"/>
      <c r="T763" s="16"/>
    </row>
    <row r="764" spans="1:20" x14ac:dyDescent="0.2">
      <c r="A764">
        <v>313</v>
      </c>
      <c r="B764" s="8">
        <v>46200</v>
      </c>
      <c r="C764" s="9">
        <v>0.73762731481481481</v>
      </c>
      <c r="D764" s="7" t="s">
        <v>18</v>
      </c>
      <c r="E764" s="13" t="s">
        <v>44</v>
      </c>
      <c r="F764" s="16">
        <v>70.951802700000002</v>
      </c>
      <c r="G764" s="129">
        <v>2140.7736799999998</v>
      </c>
      <c r="H764" s="22">
        <v>1</v>
      </c>
      <c r="I764" s="19"/>
      <c r="J764" s="7" t="s">
        <v>24</v>
      </c>
      <c r="K764" s="16"/>
      <c r="L764" s="16"/>
      <c r="M764" s="16"/>
      <c r="N764" s="16"/>
      <c r="O764" s="16"/>
      <c r="P764" s="16"/>
      <c r="Q764" s="16"/>
      <c r="R764" s="16"/>
      <c r="S764" s="16"/>
      <c r="T764" s="16"/>
    </row>
    <row r="765" spans="1:20" x14ac:dyDescent="0.2">
      <c r="A765">
        <v>314</v>
      </c>
      <c r="B765" s="8">
        <v>46200</v>
      </c>
      <c r="C765" s="9">
        <v>0.73784722222222221</v>
      </c>
      <c r="D765" s="7" t="s">
        <v>18</v>
      </c>
      <c r="E765" s="13" t="s">
        <v>33</v>
      </c>
      <c r="F765" s="16">
        <v>83.655794999999998</v>
      </c>
      <c r="G765" s="129">
        <v>1157.8474100000001</v>
      </c>
      <c r="H765" s="22">
        <v>1</v>
      </c>
      <c r="I765" s="19" t="s">
        <v>38</v>
      </c>
      <c r="J765" s="7" t="s">
        <v>24</v>
      </c>
      <c r="K765" s="16">
        <v>79.362545999999995</v>
      </c>
      <c r="L765" s="16">
        <v>46.221958200000003</v>
      </c>
      <c r="M765" s="16"/>
      <c r="N765" s="16">
        <v>68.891965299999995</v>
      </c>
      <c r="O765" s="16">
        <v>3984.6845699999999</v>
      </c>
      <c r="P765" s="16">
        <v>286</v>
      </c>
      <c r="Q765" s="16">
        <v>1.1519855299999999</v>
      </c>
      <c r="R765" s="16">
        <v>1.48394465</v>
      </c>
      <c r="S765" s="16">
        <v>102.23186</v>
      </c>
      <c r="T765" s="16">
        <v>0.77629952000000002</v>
      </c>
    </row>
    <row r="766" spans="1:20" x14ac:dyDescent="0.2">
      <c r="A766">
        <v>315</v>
      </c>
      <c r="B766" s="8">
        <v>46200</v>
      </c>
      <c r="C766" s="9">
        <v>0.7380902777777778</v>
      </c>
      <c r="D766" s="7" t="s">
        <v>18</v>
      </c>
      <c r="E766" s="13" t="s">
        <v>37</v>
      </c>
      <c r="F766" s="16">
        <v>72.412756099999996</v>
      </c>
      <c r="G766" s="129">
        <v>2141.50317</v>
      </c>
      <c r="H766" s="22">
        <v>1</v>
      </c>
      <c r="I766" s="19" t="s">
        <v>40</v>
      </c>
      <c r="J766" s="7" t="s">
        <v>24</v>
      </c>
      <c r="K766" s="16">
        <v>89.191474400000004</v>
      </c>
      <c r="L766" s="16">
        <v>-3.4964168</v>
      </c>
      <c r="M766" s="16">
        <v>-12.917782000000001</v>
      </c>
      <c r="N766" s="16">
        <v>65.969955600000006</v>
      </c>
      <c r="O766" s="16">
        <v>2320.3960000000002</v>
      </c>
      <c r="P766" s="16">
        <v>38</v>
      </c>
      <c r="Q766" s="16">
        <v>1.3520014300000001</v>
      </c>
      <c r="R766" s="16">
        <v>1.4609725499999999</v>
      </c>
      <c r="S766" s="16">
        <v>96.380296999999999</v>
      </c>
      <c r="T766" s="16">
        <v>0.92541191</v>
      </c>
    </row>
    <row r="767" spans="1:20" x14ac:dyDescent="0.2">
      <c r="A767">
        <v>342</v>
      </c>
      <c r="B767" s="8">
        <v>46200</v>
      </c>
      <c r="C767" s="9">
        <v>0.74943287037037032</v>
      </c>
      <c r="D767" s="7" t="s">
        <v>18</v>
      </c>
      <c r="E767" s="13" t="s">
        <v>33</v>
      </c>
      <c r="F767" s="16">
        <v>84.7832741</v>
      </c>
      <c r="G767" s="129">
        <v>2285.0632300000002</v>
      </c>
      <c r="H767" s="22">
        <v>0</v>
      </c>
      <c r="I767" s="19"/>
      <c r="J767" s="7" t="s">
        <v>24</v>
      </c>
      <c r="K767" s="16"/>
      <c r="L767" s="16"/>
      <c r="M767" s="16"/>
      <c r="N767" s="16"/>
      <c r="O767" s="16"/>
      <c r="P767" s="16"/>
      <c r="Q767" s="16"/>
      <c r="R767" s="16"/>
      <c r="S767" s="16"/>
      <c r="T767" s="16"/>
    </row>
    <row r="768" spans="1:20" x14ac:dyDescent="0.2">
      <c r="A768">
        <v>343</v>
      </c>
      <c r="B768" s="8">
        <v>46200</v>
      </c>
      <c r="C768" s="9">
        <v>0.74959490740740742</v>
      </c>
      <c r="D768" s="7" t="s">
        <v>18</v>
      </c>
      <c r="E768" s="13" t="s">
        <v>35</v>
      </c>
      <c r="F768" s="16">
        <v>78.002519100000001</v>
      </c>
      <c r="G768" s="129">
        <v>2228.5439500000002</v>
      </c>
      <c r="H768" s="22">
        <v>1</v>
      </c>
      <c r="I768" s="19" t="s">
        <v>38</v>
      </c>
      <c r="J768" s="7" t="s">
        <v>24</v>
      </c>
      <c r="K768" s="16">
        <v>76.359701000000001</v>
      </c>
      <c r="L768" s="16">
        <v>0.51693487000000005</v>
      </c>
      <c r="M768" s="16">
        <v>-9.6527843999999998</v>
      </c>
      <c r="N768" s="16">
        <v>56.417235400000003</v>
      </c>
      <c r="O768" s="16">
        <v>3881.4350599999998</v>
      </c>
      <c r="P768" s="16">
        <v>37</v>
      </c>
      <c r="Q768" s="16">
        <v>1.3534817699999999</v>
      </c>
      <c r="R768" s="16">
        <v>1.53608072</v>
      </c>
      <c r="S768" s="16">
        <v>86.661430199999998</v>
      </c>
      <c r="T768" s="16">
        <v>0.88112670999999998</v>
      </c>
    </row>
    <row r="769" spans="1:20" x14ac:dyDescent="0.2">
      <c r="A769">
        <v>344</v>
      </c>
      <c r="B769" s="8">
        <v>46200</v>
      </c>
      <c r="C769" s="9">
        <v>0.74982638888888886</v>
      </c>
      <c r="D769" s="7" t="s">
        <v>18</v>
      </c>
      <c r="E769" s="13" t="s">
        <v>33</v>
      </c>
      <c r="F769" s="16">
        <v>84.402154300000007</v>
      </c>
      <c r="G769" s="129">
        <v>2280.6691900000001</v>
      </c>
      <c r="H769" s="22">
        <v>0</v>
      </c>
      <c r="I769" s="19"/>
      <c r="J769" s="7" t="s">
        <v>24</v>
      </c>
      <c r="K769" s="16"/>
      <c r="L769" s="16"/>
      <c r="M769" s="16"/>
      <c r="N769" s="16"/>
      <c r="O769" s="16"/>
      <c r="P769" s="16"/>
      <c r="Q769" s="16"/>
      <c r="R769" s="16"/>
      <c r="S769" s="16"/>
      <c r="T769" s="16"/>
    </row>
    <row r="770" spans="1:20" x14ac:dyDescent="0.2">
      <c r="A770">
        <v>345</v>
      </c>
      <c r="B770" s="8">
        <v>46200</v>
      </c>
      <c r="C770" s="9">
        <v>0.75002314814814819</v>
      </c>
      <c r="D770" s="7" t="s">
        <v>18</v>
      </c>
      <c r="E770" s="13" t="s">
        <v>35</v>
      </c>
      <c r="F770" s="16">
        <v>81.543751400000005</v>
      </c>
      <c r="G770" s="129">
        <v>1569.5502899999999</v>
      </c>
      <c r="H770" s="22">
        <v>1</v>
      </c>
      <c r="I770" s="19" t="s">
        <v>38</v>
      </c>
      <c r="J770" s="7" t="s">
        <v>24</v>
      </c>
      <c r="K770" s="16"/>
      <c r="L770" s="16"/>
      <c r="M770" s="16"/>
      <c r="N770" s="16">
        <v>49.646046200000001</v>
      </c>
      <c r="O770" s="16"/>
      <c r="P770" s="16"/>
      <c r="Q770" s="16"/>
      <c r="R770" s="16"/>
      <c r="S770" s="16"/>
      <c r="T770" s="16"/>
    </row>
    <row r="771" spans="1:20" x14ac:dyDescent="0.2">
      <c r="A771">
        <v>346</v>
      </c>
      <c r="B771" s="8">
        <v>46200</v>
      </c>
      <c r="C771" s="9">
        <v>0.75028935185185186</v>
      </c>
      <c r="D771" s="7" t="s">
        <v>18</v>
      </c>
      <c r="E771" s="13" t="s">
        <v>37</v>
      </c>
      <c r="F771" s="16">
        <v>74.238962000000001</v>
      </c>
      <c r="G771" s="129">
        <v>1172.49756</v>
      </c>
      <c r="H771" s="22">
        <v>1</v>
      </c>
      <c r="I771" s="19" t="s">
        <v>40</v>
      </c>
      <c r="J771" s="7" t="s">
        <v>24</v>
      </c>
      <c r="K771" s="16">
        <v>53.953025099999998</v>
      </c>
      <c r="L771" s="16">
        <v>-17.759308000000001</v>
      </c>
      <c r="M771" s="16">
        <v>-10.687233000000001</v>
      </c>
      <c r="N771" s="16">
        <v>64.621337800000006</v>
      </c>
      <c r="O771" s="16"/>
      <c r="P771" s="16">
        <v>10</v>
      </c>
      <c r="Q771" s="16">
        <v>0.83491039</v>
      </c>
      <c r="R771" s="16">
        <v>1.4674269</v>
      </c>
      <c r="S771" s="16">
        <v>94.827094799999998</v>
      </c>
      <c r="T771" s="16">
        <v>0.56896214000000001</v>
      </c>
    </row>
    <row r="772" spans="1:20" x14ac:dyDescent="0.2">
      <c r="A772">
        <v>374</v>
      </c>
      <c r="B772" s="8">
        <v>46200</v>
      </c>
      <c r="C772" s="9">
        <v>0.75900462962962967</v>
      </c>
      <c r="D772" s="7" t="s">
        <v>21</v>
      </c>
      <c r="E772" s="13" t="s">
        <v>37</v>
      </c>
      <c r="F772" s="16">
        <v>74.111919200000003</v>
      </c>
      <c r="G772" s="129">
        <v>2206.2072800000001</v>
      </c>
      <c r="H772" s="22">
        <v>1</v>
      </c>
      <c r="I772" s="19" t="s">
        <v>40</v>
      </c>
      <c r="J772" s="7" t="s">
        <v>24</v>
      </c>
      <c r="K772" s="16">
        <v>84.570241999999993</v>
      </c>
      <c r="L772" s="16">
        <v>29.893549</v>
      </c>
      <c r="M772" s="16">
        <v>-12.638973</v>
      </c>
      <c r="N772" s="16">
        <v>65.632803300000006</v>
      </c>
      <c r="O772" s="16">
        <v>1973.96057</v>
      </c>
      <c r="P772" s="16">
        <v>291</v>
      </c>
      <c r="Q772" s="16">
        <v>1.2885361900000001</v>
      </c>
      <c r="R772" s="16">
        <v>1.47037649</v>
      </c>
      <c r="S772" s="16">
        <v>96.504924799999998</v>
      </c>
      <c r="T772" s="16">
        <v>0.87633079000000003</v>
      </c>
    </row>
    <row r="773" spans="1:20" x14ac:dyDescent="0.2">
      <c r="A773">
        <v>437</v>
      </c>
      <c r="B773" s="8">
        <v>46200</v>
      </c>
      <c r="C773" s="9">
        <v>0.78277777777777779</v>
      </c>
      <c r="D773" s="7" t="s">
        <v>25</v>
      </c>
      <c r="E773" s="13" t="s">
        <v>35</v>
      </c>
      <c r="F773" s="16">
        <v>72.333363000000006</v>
      </c>
      <c r="G773" s="129">
        <v>1914.3663300000001</v>
      </c>
      <c r="H773" s="22">
        <v>1</v>
      </c>
      <c r="I773" s="19" t="s">
        <v>39</v>
      </c>
      <c r="J773" s="7" t="s">
        <v>24</v>
      </c>
      <c r="K773" s="16"/>
      <c r="L773" s="16"/>
      <c r="M773" s="16"/>
      <c r="N773" s="16">
        <v>65.857573099999996</v>
      </c>
      <c r="O773" s="16"/>
      <c r="P773" s="16"/>
      <c r="Q773" s="16"/>
      <c r="R773" s="16"/>
      <c r="S773" s="16"/>
      <c r="T773" s="16"/>
    </row>
    <row r="774" spans="1:20" x14ac:dyDescent="0.2">
      <c r="A774">
        <v>438</v>
      </c>
      <c r="B774" s="8">
        <v>46200</v>
      </c>
      <c r="C774" s="9">
        <v>0.78304398148148147</v>
      </c>
      <c r="D774" s="7" t="s">
        <v>25</v>
      </c>
      <c r="E774" s="13" t="s">
        <v>35</v>
      </c>
      <c r="F774" s="16">
        <v>74.064279900000002</v>
      </c>
      <c r="G774" s="129">
        <v>1667.22974</v>
      </c>
      <c r="H774" s="22">
        <v>0</v>
      </c>
      <c r="I774" s="19"/>
      <c r="J774" s="7" t="s">
        <v>24</v>
      </c>
      <c r="K774" s="16"/>
      <c r="L774" s="16"/>
      <c r="M774" s="16"/>
      <c r="N774" s="16"/>
      <c r="O774" s="16"/>
      <c r="P774" s="16"/>
      <c r="Q774" s="16"/>
      <c r="R774" s="16"/>
      <c r="S774" s="16"/>
      <c r="T774" s="16"/>
    </row>
    <row r="775" spans="1:20" x14ac:dyDescent="0.2">
      <c r="A775">
        <v>439</v>
      </c>
      <c r="B775" s="8">
        <v>46200</v>
      </c>
      <c r="C775" s="9">
        <v>0.78334490740740736</v>
      </c>
      <c r="D775" s="7" t="s">
        <v>25</v>
      </c>
      <c r="E775" s="13" t="s">
        <v>33</v>
      </c>
      <c r="F775" s="16">
        <v>85.354949500000004</v>
      </c>
      <c r="G775" s="129">
        <v>1085.4005099999999</v>
      </c>
      <c r="H775" s="22">
        <v>1</v>
      </c>
      <c r="I775" s="19" t="s">
        <v>40</v>
      </c>
      <c r="J775" s="7" t="s">
        <v>24</v>
      </c>
      <c r="K775" s="16"/>
      <c r="L775" s="16"/>
      <c r="M775" s="16"/>
      <c r="N775" s="16">
        <v>68.751482600000003</v>
      </c>
      <c r="O775" s="16"/>
      <c r="P775" s="16"/>
      <c r="Q775" s="16"/>
      <c r="R775" s="16"/>
      <c r="S775" s="16"/>
      <c r="T775" s="16"/>
    </row>
    <row r="776" spans="1:20" x14ac:dyDescent="0.2">
      <c r="A776">
        <v>440</v>
      </c>
      <c r="B776" s="8">
        <v>46200</v>
      </c>
      <c r="C776" s="9">
        <v>0.78358796296296296</v>
      </c>
      <c r="D776" s="7" t="s">
        <v>25</v>
      </c>
      <c r="E776" s="13" t="s">
        <v>35</v>
      </c>
      <c r="F776" s="16">
        <v>72.031636300000002</v>
      </c>
      <c r="G776" s="129">
        <v>1971.2415800000001</v>
      </c>
      <c r="H776" s="22">
        <v>1</v>
      </c>
      <c r="I776" s="19" t="s">
        <v>40</v>
      </c>
      <c r="J776" s="7" t="s">
        <v>24</v>
      </c>
      <c r="K776" s="16">
        <v>69.017433699999998</v>
      </c>
      <c r="L776" s="16">
        <v>57.261707299999998</v>
      </c>
      <c r="M776" s="16">
        <v>11.875368099999999</v>
      </c>
      <c r="N776" s="16">
        <v>67.262382299999999</v>
      </c>
      <c r="O776" s="16">
        <v>4826.3134799999998</v>
      </c>
      <c r="P776" s="16">
        <v>208</v>
      </c>
      <c r="Q776" s="16">
        <v>1.0260926500000001</v>
      </c>
      <c r="R776" s="16">
        <v>1.45286548</v>
      </c>
      <c r="S776" s="16">
        <v>97.723189000000005</v>
      </c>
      <c r="T776" s="16">
        <v>0.70625435000000003</v>
      </c>
    </row>
    <row r="777" spans="1:20" x14ac:dyDescent="0.2">
      <c r="A777">
        <v>441</v>
      </c>
      <c r="B777" s="8">
        <v>46200</v>
      </c>
      <c r="C777" s="9">
        <v>0.7838194444444444</v>
      </c>
      <c r="D777" s="7" t="s">
        <v>25</v>
      </c>
      <c r="E777" s="13" t="s">
        <v>35</v>
      </c>
      <c r="F777" s="16">
        <v>72.412756099999996</v>
      </c>
      <c r="G777" s="129">
        <v>1565.43066</v>
      </c>
      <c r="H777" s="22">
        <v>0</v>
      </c>
      <c r="I777" s="19"/>
      <c r="J777" s="7" t="s">
        <v>24</v>
      </c>
      <c r="K777" s="16"/>
      <c r="L777" s="16"/>
      <c r="M777" s="16"/>
      <c r="N777" s="16"/>
      <c r="O777" s="16"/>
      <c r="P777" s="16"/>
      <c r="Q777" s="16"/>
      <c r="R777" s="16"/>
      <c r="S777" s="16"/>
      <c r="T777" s="16"/>
    </row>
    <row r="778" spans="1:20" x14ac:dyDescent="0.2">
      <c r="A778">
        <v>508</v>
      </c>
      <c r="B778" s="8">
        <v>46203</v>
      </c>
      <c r="C778" s="9">
        <v>0.78989583333333335</v>
      </c>
      <c r="D778" s="7" t="s">
        <v>28</v>
      </c>
      <c r="E778" s="13" t="s">
        <v>37</v>
      </c>
      <c r="F778" s="16">
        <v>71.904602100000005</v>
      </c>
      <c r="G778" s="129">
        <v>229.89762899999999</v>
      </c>
      <c r="H778" s="22">
        <v>1</v>
      </c>
      <c r="I778" s="19" t="s">
        <v>39</v>
      </c>
      <c r="J778" s="7" t="s">
        <v>24</v>
      </c>
      <c r="K778" s="16"/>
      <c r="L778" s="16"/>
      <c r="M778" s="16"/>
      <c r="N778" s="16">
        <v>61.109306400000001</v>
      </c>
      <c r="O778" s="16"/>
      <c r="P778" s="16"/>
      <c r="Q778" s="16"/>
      <c r="R778" s="16"/>
      <c r="S778" s="16"/>
      <c r="T778" s="16"/>
    </row>
    <row r="779" spans="1:20" x14ac:dyDescent="0.2">
      <c r="A779">
        <v>509</v>
      </c>
      <c r="B779" s="8">
        <v>46203</v>
      </c>
      <c r="C779" s="9">
        <v>0.79025462962962967</v>
      </c>
      <c r="D779" s="7" t="s">
        <v>28</v>
      </c>
      <c r="E779" s="13" t="s">
        <v>37</v>
      </c>
      <c r="F779" s="16">
        <v>74.381876700000007</v>
      </c>
      <c r="G779" s="129">
        <v>2451.6435499999998</v>
      </c>
      <c r="H779" s="22">
        <v>1</v>
      </c>
      <c r="I779" s="19" t="s">
        <v>40</v>
      </c>
      <c r="J779" s="7" t="s">
        <v>24</v>
      </c>
      <c r="K779" s="16"/>
      <c r="L779" s="16"/>
      <c r="M779" s="16"/>
      <c r="N779" s="16">
        <v>68.667195800000002</v>
      </c>
      <c r="O779" s="16"/>
      <c r="P779" s="16"/>
      <c r="Q779" s="16"/>
      <c r="R779" s="16"/>
      <c r="S779" s="16"/>
      <c r="T779" s="16"/>
    </row>
    <row r="780" spans="1:20" x14ac:dyDescent="0.2">
      <c r="A780">
        <v>557</v>
      </c>
      <c r="B780" s="8">
        <v>46203</v>
      </c>
      <c r="C780" s="9">
        <v>0.81010416666666663</v>
      </c>
      <c r="D780" s="7" t="s">
        <v>25</v>
      </c>
      <c r="E780" s="13" t="s">
        <v>33</v>
      </c>
      <c r="F780" s="16">
        <v>83.274675099999996</v>
      </c>
      <c r="G780" s="129">
        <v>1921.75928</v>
      </c>
      <c r="H780" s="22">
        <v>0</v>
      </c>
      <c r="I780" s="19"/>
      <c r="J780" s="7" t="s">
        <v>24</v>
      </c>
      <c r="K780" s="16"/>
      <c r="L780" s="16"/>
      <c r="M780" s="16"/>
      <c r="N780" s="16"/>
      <c r="O780" s="16"/>
      <c r="P780" s="16"/>
      <c r="Q780" s="16"/>
      <c r="R780" s="16"/>
      <c r="S780" s="16"/>
      <c r="T780" s="16"/>
    </row>
    <row r="781" spans="1:20" x14ac:dyDescent="0.2">
      <c r="A781">
        <v>558</v>
      </c>
      <c r="B781" s="8">
        <v>46203</v>
      </c>
      <c r="C781" s="9">
        <v>0.81027777777777776</v>
      </c>
      <c r="D781" s="7" t="s">
        <v>25</v>
      </c>
      <c r="E781" s="13" t="s">
        <v>33</v>
      </c>
      <c r="F781" s="16">
        <v>81.861358300000006</v>
      </c>
      <c r="G781" s="129">
        <v>2054.3483900000001</v>
      </c>
      <c r="H781" s="22">
        <v>0</v>
      </c>
      <c r="I781" s="19"/>
      <c r="J781" s="7" t="s">
        <v>24</v>
      </c>
      <c r="K781" s="16"/>
      <c r="L781" s="16"/>
      <c r="M781" s="16"/>
      <c r="N781" s="16"/>
      <c r="O781" s="16"/>
      <c r="P781" s="16"/>
      <c r="Q781" s="16"/>
      <c r="R781" s="16"/>
      <c r="S781" s="16"/>
      <c r="T781" s="16"/>
    </row>
    <row r="782" spans="1:20" x14ac:dyDescent="0.2">
      <c r="A782">
        <v>559</v>
      </c>
      <c r="B782" s="8">
        <v>46203</v>
      </c>
      <c r="C782" s="9">
        <v>0.81048611111111113</v>
      </c>
      <c r="D782" s="7" t="s">
        <v>25</v>
      </c>
      <c r="E782" s="13" t="s">
        <v>37</v>
      </c>
      <c r="F782" s="16">
        <v>68.919160700000006</v>
      </c>
      <c r="G782" s="129">
        <v>2072.84204</v>
      </c>
      <c r="H782" s="22">
        <v>1</v>
      </c>
      <c r="I782" s="19" t="s">
        <v>39</v>
      </c>
      <c r="J782" s="7" t="s">
        <v>24</v>
      </c>
      <c r="K782" s="16"/>
      <c r="L782" s="16"/>
      <c r="M782" s="16"/>
      <c r="N782" s="16">
        <v>60.575479999999999</v>
      </c>
      <c r="O782" s="16"/>
      <c r="P782" s="16"/>
      <c r="Q782" s="16"/>
      <c r="R782" s="16"/>
      <c r="S782" s="16"/>
      <c r="T782" s="16"/>
    </row>
    <row r="783" spans="1:20" x14ac:dyDescent="0.2">
      <c r="A783">
        <v>560</v>
      </c>
      <c r="B783" s="8">
        <v>46203</v>
      </c>
      <c r="C783" s="9">
        <v>0.81072916666666661</v>
      </c>
      <c r="D783" s="7" t="s">
        <v>25</v>
      </c>
      <c r="E783" s="13" t="s">
        <v>35</v>
      </c>
      <c r="F783" s="16">
        <v>72.841516999999996</v>
      </c>
      <c r="G783" s="129">
        <v>1567.9846199999999</v>
      </c>
      <c r="H783" s="22">
        <v>1</v>
      </c>
      <c r="I783" s="19" t="s">
        <v>38</v>
      </c>
      <c r="J783" s="7" t="s">
        <v>24</v>
      </c>
      <c r="K783" s="16"/>
      <c r="L783" s="16"/>
      <c r="M783" s="16"/>
      <c r="N783" s="16">
        <v>67.206190899999996</v>
      </c>
      <c r="O783" s="16"/>
      <c r="P783" s="16"/>
      <c r="Q783" s="16"/>
      <c r="R783" s="16"/>
      <c r="S783" s="16"/>
      <c r="T783" s="16"/>
    </row>
    <row r="784" spans="1:20" x14ac:dyDescent="0.2">
      <c r="A784">
        <v>561</v>
      </c>
      <c r="B784" s="8">
        <v>46203</v>
      </c>
      <c r="C784" s="9">
        <v>0.81107638888888889</v>
      </c>
      <c r="D784" s="7" t="s">
        <v>25</v>
      </c>
      <c r="E784" s="13" t="s">
        <v>33</v>
      </c>
      <c r="F784" s="16">
        <v>86.133069500000005</v>
      </c>
      <c r="G784" s="129">
        <v>1901.55432</v>
      </c>
      <c r="H784" s="22">
        <v>1</v>
      </c>
      <c r="I784" s="19" t="s">
        <v>38</v>
      </c>
      <c r="J784" s="7" t="s">
        <v>24</v>
      </c>
      <c r="K784" s="16"/>
      <c r="L784" s="16"/>
      <c r="M784" s="16"/>
      <c r="N784" s="16">
        <v>61.305980300000002</v>
      </c>
      <c r="O784" s="16"/>
      <c r="P784" s="16"/>
      <c r="Q784" s="16"/>
      <c r="R784" s="16"/>
      <c r="S784" s="16"/>
      <c r="T784" s="16"/>
    </row>
    <row r="785" spans="1:20" x14ac:dyDescent="0.2">
      <c r="A785">
        <v>562</v>
      </c>
      <c r="B785" s="8">
        <v>46203</v>
      </c>
      <c r="C785" s="9">
        <v>0.81135416666666671</v>
      </c>
      <c r="D785" s="7" t="s">
        <v>25</v>
      </c>
      <c r="E785" s="13" t="s">
        <v>37</v>
      </c>
      <c r="F785" s="16">
        <v>71.459960899999999</v>
      </c>
      <c r="G785" s="129">
        <v>1073.2896699999999</v>
      </c>
      <c r="H785" s="22">
        <v>1</v>
      </c>
      <c r="I785" s="19" t="s">
        <v>40</v>
      </c>
      <c r="J785" s="7" t="s">
        <v>24</v>
      </c>
      <c r="K785" s="16">
        <v>86.220637499999995</v>
      </c>
      <c r="L785" s="16">
        <v>19.473520300000001</v>
      </c>
      <c r="M785" s="16">
        <v>-21.925294999999998</v>
      </c>
      <c r="N785" s="16">
        <v>58.496357600000003</v>
      </c>
      <c r="O785" s="16">
        <v>2491.9287100000001</v>
      </c>
      <c r="P785" s="16">
        <v>243</v>
      </c>
      <c r="Q785" s="16">
        <v>1.47394884</v>
      </c>
      <c r="R785" s="16">
        <v>1.4857887000000001</v>
      </c>
      <c r="S785" s="16">
        <v>86.913228899999993</v>
      </c>
      <c r="T785" s="16">
        <v>0.99203125000000003</v>
      </c>
    </row>
    <row r="786" spans="1:20" x14ac:dyDescent="0.2">
      <c r="A786">
        <v>824</v>
      </c>
      <c r="B786" s="8">
        <v>46218</v>
      </c>
      <c r="C786" s="9">
        <v>0.45894675925925926</v>
      </c>
      <c r="D786" s="7" t="s">
        <v>28</v>
      </c>
      <c r="E786" s="13" t="s">
        <v>35</v>
      </c>
      <c r="F786" s="16">
        <v>73.619636999999997</v>
      </c>
      <c r="G786" s="129">
        <v>1729.70129</v>
      </c>
      <c r="H786" s="22">
        <v>0</v>
      </c>
      <c r="I786" s="19"/>
      <c r="J786" s="7" t="s">
        <v>24</v>
      </c>
      <c r="K786" s="16"/>
      <c r="L786" s="16"/>
      <c r="M786" s="16"/>
      <c r="N786" s="16"/>
      <c r="O786" s="16"/>
      <c r="P786" s="16"/>
      <c r="Q786" s="16"/>
      <c r="R786" s="16"/>
      <c r="S786" s="16"/>
      <c r="T786" s="16"/>
    </row>
    <row r="787" spans="1:20" x14ac:dyDescent="0.2">
      <c r="A787">
        <v>825</v>
      </c>
      <c r="B787" s="8">
        <v>46218</v>
      </c>
      <c r="C787" s="9">
        <v>0.4592013888888889</v>
      </c>
      <c r="D787" s="7" t="s">
        <v>28</v>
      </c>
      <c r="E787" s="13" t="s">
        <v>35</v>
      </c>
      <c r="F787" s="16">
        <v>73.778440399999994</v>
      </c>
      <c r="G787" s="129">
        <v>1640.4537399999999</v>
      </c>
      <c r="H787" s="22">
        <v>0</v>
      </c>
      <c r="I787" s="19"/>
      <c r="J787" s="7" t="s">
        <v>24</v>
      </c>
      <c r="K787" s="16"/>
      <c r="L787" s="16"/>
      <c r="M787" s="16"/>
      <c r="N787" s="16"/>
      <c r="O787" s="16"/>
      <c r="P787" s="16"/>
      <c r="Q787" s="16"/>
      <c r="R787" s="16"/>
      <c r="S787" s="16"/>
      <c r="T787" s="16"/>
    </row>
    <row r="788" spans="1:20" x14ac:dyDescent="0.2">
      <c r="A788">
        <v>826</v>
      </c>
      <c r="B788" s="8">
        <v>46218</v>
      </c>
      <c r="C788" s="9">
        <v>0.45940972222222221</v>
      </c>
      <c r="D788" s="7" t="s">
        <v>28</v>
      </c>
      <c r="E788" s="13" t="s">
        <v>37</v>
      </c>
      <c r="F788" s="16">
        <v>71.142362500000004</v>
      </c>
      <c r="G788" s="129">
        <v>2283.0288099999998</v>
      </c>
      <c r="H788" s="22">
        <v>1</v>
      </c>
      <c r="I788" s="19"/>
      <c r="J788" s="7" t="s">
        <v>24</v>
      </c>
      <c r="K788" s="16"/>
      <c r="L788" s="16"/>
      <c r="M788" s="16"/>
      <c r="N788" s="16"/>
      <c r="O788" s="16"/>
      <c r="P788" s="16"/>
      <c r="Q788" s="16"/>
      <c r="R788" s="16"/>
      <c r="S788" s="16"/>
      <c r="T788" s="16"/>
    </row>
    <row r="789" spans="1:20" x14ac:dyDescent="0.2">
      <c r="A789">
        <v>827</v>
      </c>
      <c r="B789" s="8">
        <v>46218</v>
      </c>
      <c r="C789" s="9">
        <v>0.45959490740740738</v>
      </c>
      <c r="D789" s="7" t="s">
        <v>28</v>
      </c>
      <c r="E789" s="13" t="s">
        <v>37</v>
      </c>
      <c r="F789" s="16">
        <v>70.697721200000004</v>
      </c>
      <c r="G789" s="129">
        <v>2249.3349600000001</v>
      </c>
      <c r="H789" s="22">
        <v>1</v>
      </c>
      <c r="I789" s="19"/>
      <c r="J789" s="7" t="s">
        <v>24</v>
      </c>
      <c r="K789" s="16"/>
      <c r="L789" s="16"/>
      <c r="M789" s="16"/>
      <c r="N789" s="16"/>
      <c r="O789" s="16"/>
      <c r="P789" s="16"/>
      <c r="Q789" s="16"/>
      <c r="R789" s="16"/>
      <c r="S789" s="16"/>
      <c r="T789" s="16"/>
    </row>
    <row r="790" spans="1:20" x14ac:dyDescent="0.2">
      <c r="A790">
        <v>828</v>
      </c>
      <c r="B790" s="8">
        <v>46218</v>
      </c>
      <c r="C790" s="9">
        <v>0.45980324074074075</v>
      </c>
      <c r="D790" s="7" t="s">
        <v>28</v>
      </c>
      <c r="E790" s="13" t="s">
        <v>33</v>
      </c>
      <c r="F790" s="16">
        <v>76.859159599999998</v>
      </c>
      <c r="G790" s="129">
        <v>1904.12183</v>
      </c>
      <c r="H790" s="22">
        <v>1</v>
      </c>
      <c r="I790" s="19" t="s">
        <v>45</v>
      </c>
      <c r="J790" s="7" t="s">
        <v>24</v>
      </c>
      <c r="K790" s="16"/>
      <c r="L790" s="16"/>
      <c r="M790" s="16"/>
      <c r="N790" s="16">
        <v>69.072281200000006</v>
      </c>
      <c r="O790" s="16"/>
      <c r="P790" s="16"/>
      <c r="Q790" s="16"/>
      <c r="R790" s="16"/>
      <c r="S790" s="16"/>
      <c r="T790" s="16"/>
    </row>
    <row r="791" spans="1:20" x14ac:dyDescent="0.2">
      <c r="A791">
        <v>852</v>
      </c>
      <c r="B791" s="8">
        <v>46218</v>
      </c>
      <c r="C791" s="9">
        <v>0.46944444444444444</v>
      </c>
      <c r="D791" s="7" t="s">
        <v>25</v>
      </c>
      <c r="E791" s="13" t="s">
        <v>33</v>
      </c>
      <c r="F791" s="16">
        <v>85.815471099999996</v>
      </c>
      <c r="G791" s="129">
        <v>1902.6010699999999</v>
      </c>
      <c r="H791" s="22">
        <v>1</v>
      </c>
      <c r="I791" s="19" t="s">
        <v>40</v>
      </c>
      <c r="J791" s="7" t="s">
        <v>24</v>
      </c>
      <c r="K791" s="16">
        <v>84.531176799999997</v>
      </c>
      <c r="L791" s="16">
        <v>-19.477619000000001</v>
      </c>
      <c r="M791" s="16">
        <v>14.683818799999999</v>
      </c>
      <c r="N791" s="16">
        <v>68.338073100000003</v>
      </c>
      <c r="O791" s="16"/>
      <c r="P791" s="16">
        <v>10</v>
      </c>
      <c r="Q791" s="16">
        <v>1.2369557600000001</v>
      </c>
      <c r="R791" s="16">
        <v>1.61075079</v>
      </c>
      <c r="S791" s="16">
        <v>110.075608</v>
      </c>
      <c r="T791" s="16">
        <v>0.76793739000000005</v>
      </c>
    </row>
    <row r="792" spans="1:20" x14ac:dyDescent="0.2">
      <c r="A792">
        <v>884</v>
      </c>
      <c r="B792" s="8">
        <v>46218</v>
      </c>
      <c r="C792" s="9">
        <v>0.48180555555555554</v>
      </c>
      <c r="D792" s="7" t="s">
        <v>25</v>
      </c>
      <c r="E792" s="13" t="s">
        <v>35</v>
      </c>
      <c r="F792" s="16">
        <v>71.189999200000003</v>
      </c>
      <c r="G792" s="129">
        <v>1564.30969</v>
      </c>
      <c r="H792" s="22">
        <v>0</v>
      </c>
      <c r="I792" s="19"/>
      <c r="J792" s="7" t="s">
        <v>24</v>
      </c>
      <c r="K792" s="16"/>
      <c r="L792" s="16"/>
      <c r="M792" s="16"/>
      <c r="N792" s="16"/>
      <c r="O792" s="16"/>
      <c r="P792" s="16"/>
      <c r="Q792" s="16"/>
      <c r="R792" s="16"/>
      <c r="S792" s="16"/>
      <c r="T792" s="16"/>
    </row>
    <row r="793" spans="1:20" x14ac:dyDescent="0.2">
      <c r="A793">
        <v>885</v>
      </c>
      <c r="B793" s="8">
        <v>46218</v>
      </c>
      <c r="C793" s="9">
        <v>0.48212962962962963</v>
      </c>
      <c r="D793" s="7" t="s">
        <v>25</v>
      </c>
      <c r="E793" s="13" t="s">
        <v>33</v>
      </c>
      <c r="F793" s="16">
        <v>83.385837600000002</v>
      </c>
      <c r="G793" s="129">
        <v>1972.3457000000001</v>
      </c>
      <c r="H793" s="22">
        <v>1</v>
      </c>
      <c r="I793" s="19" t="s">
        <v>40</v>
      </c>
      <c r="J793" s="7" t="s">
        <v>24</v>
      </c>
      <c r="K793" s="16">
        <v>74.9524598</v>
      </c>
      <c r="L793" s="16">
        <v>4.8158869700000002</v>
      </c>
      <c r="M793" s="16">
        <v>-20.443480000000001</v>
      </c>
      <c r="N793" s="16">
        <v>66.361349599999997</v>
      </c>
      <c r="O793" s="16">
        <v>3726.3676799999998</v>
      </c>
      <c r="P793" s="16">
        <v>67</v>
      </c>
      <c r="Q793" s="16">
        <v>1.1294595000000001</v>
      </c>
      <c r="R793" s="16">
        <v>1.61500216</v>
      </c>
      <c r="S793" s="16">
        <v>107.17372</v>
      </c>
      <c r="T793" s="16">
        <v>0.69935486000000002</v>
      </c>
    </row>
    <row r="794" spans="1:20" x14ac:dyDescent="0.2">
      <c r="A794">
        <v>941</v>
      </c>
      <c r="B794" s="8">
        <v>46221</v>
      </c>
      <c r="C794" s="9">
        <v>0.44480324074074074</v>
      </c>
      <c r="D794" s="7" t="s">
        <v>18</v>
      </c>
      <c r="E794" s="13" t="s">
        <v>36</v>
      </c>
      <c r="F794" s="16">
        <v>78.320117499999995</v>
      </c>
      <c r="G794" s="129">
        <v>1329.43262</v>
      </c>
      <c r="H794" s="22">
        <v>0</v>
      </c>
      <c r="I794" s="19"/>
      <c r="J794" s="7" t="s">
        <v>24</v>
      </c>
      <c r="K794" s="16"/>
      <c r="L794" s="16"/>
      <c r="M794" s="16"/>
      <c r="N794" s="16"/>
      <c r="O794" s="16"/>
      <c r="P794" s="16"/>
      <c r="Q794" s="16"/>
      <c r="R794" s="16"/>
      <c r="S794" s="16"/>
      <c r="T794" s="16"/>
    </row>
    <row r="795" spans="1:20" x14ac:dyDescent="0.2">
      <c r="A795">
        <v>942</v>
      </c>
      <c r="B795" s="8">
        <v>46221</v>
      </c>
      <c r="C795" s="9">
        <v>0.44506944444444446</v>
      </c>
      <c r="D795" s="7" t="s">
        <v>18</v>
      </c>
      <c r="E795" s="13" t="s">
        <v>36</v>
      </c>
      <c r="F795" s="16">
        <v>78.113672899999997</v>
      </c>
      <c r="G795" s="129">
        <v>2043.2849100000001</v>
      </c>
      <c r="H795" s="22">
        <v>0</v>
      </c>
      <c r="I795" s="19"/>
      <c r="J795" s="7" t="s">
        <v>24</v>
      </c>
      <c r="K795" s="16"/>
      <c r="L795" s="16"/>
      <c r="M795" s="16"/>
      <c r="N795" s="16"/>
      <c r="O795" s="16"/>
      <c r="P795" s="16"/>
      <c r="Q795" s="16"/>
      <c r="R795" s="16"/>
      <c r="S795" s="16"/>
      <c r="T795" s="16"/>
    </row>
    <row r="796" spans="1:20" x14ac:dyDescent="0.2">
      <c r="A796">
        <v>943</v>
      </c>
      <c r="B796" s="8">
        <v>46221</v>
      </c>
      <c r="C796" s="9">
        <v>0.44527777777777777</v>
      </c>
      <c r="D796" s="7" t="s">
        <v>18</v>
      </c>
      <c r="E796" s="13" t="s">
        <v>33</v>
      </c>
      <c r="F796" s="16">
        <v>84.735633000000007</v>
      </c>
      <c r="G796" s="129">
        <v>2177.96045</v>
      </c>
      <c r="H796" s="22">
        <v>0</v>
      </c>
      <c r="I796" s="19"/>
      <c r="J796" s="7" t="s">
        <v>24</v>
      </c>
      <c r="K796" s="16"/>
      <c r="L796" s="16"/>
      <c r="M796" s="16"/>
      <c r="N796" s="16"/>
      <c r="O796" s="16"/>
      <c r="P796" s="16"/>
      <c r="Q796" s="16"/>
      <c r="R796" s="16"/>
      <c r="S796" s="16"/>
      <c r="T796" s="16"/>
    </row>
    <row r="797" spans="1:20" x14ac:dyDescent="0.2">
      <c r="A797">
        <v>944</v>
      </c>
      <c r="B797" s="8">
        <v>46221</v>
      </c>
      <c r="C797" s="9">
        <v>0.44550925925925927</v>
      </c>
      <c r="D797" s="7" t="s">
        <v>18</v>
      </c>
      <c r="E797" s="13" t="s">
        <v>33</v>
      </c>
      <c r="F797" s="16">
        <v>83.846350700000002</v>
      </c>
      <c r="G797" s="129">
        <v>2063.3261699999998</v>
      </c>
      <c r="H797" s="22">
        <v>1</v>
      </c>
      <c r="I797" s="19" t="s">
        <v>39</v>
      </c>
      <c r="J797" s="7" t="s">
        <v>24</v>
      </c>
      <c r="K797" s="16"/>
      <c r="L797" s="16"/>
      <c r="M797" s="16"/>
      <c r="N797" s="16">
        <v>63.940291799999997</v>
      </c>
      <c r="O797" s="16"/>
      <c r="P797" s="16"/>
      <c r="Q797" s="16"/>
      <c r="R797" s="16"/>
      <c r="S797" s="16"/>
      <c r="T797" s="16"/>
    </row>
    <row r="798" spans="1:20" x14ac:dyDescent="0.2">
      <c r="A798">
        <v>945</v>
      </c>
      <c r="B798" s="8">
        <v>46221</v>
      </c>
      <c r="C798" s="9">
        <v>0.44572916666666668</v>
      </c>
      <c r="D798" s="7" t="s">
        <v>18</v>
      </c>
      <c r="E798" s="13" t="s">
        <v>33</v>
      </c>
      <c r="F798" s="16">
        <v>84.656231300000002</v>
      </c>
      <c r="G798" s="129">
        <v>1080.14246</v>
      </c>
      <c r="H798" s="22">
        <v>1</v>
      </c>
      <c r="I798" s="19" t="s">
        <v>38</v>
      </c>
      <c r="J798" s="7" t="s">
        <v>24</v>
      </c>
      <c r="K798" s="16"/>
      <c r="L798" s="16"/>
      <c r="M798" s="16"/>
      <c r="N798" s="16">
        <v>69.039824999999993</v>
      </c>
      <c r="O798" s="16"/>
      <c r="P798" s="16"/>
      <c r="Q798" s="16"/>
      <c r="R798" s="16"/>
      <c r="S798" s="16"/>
      <c r="T798" s="16"/>
    </row>
    <row r="799" spans="1:20" x14ac:dyDescent="0.2">
      <c r="A799">
        <v>946</v>
      </c>
      <c r="B799" s="8">
        <v>46221</v>
      </c>
      <c r="C799" s="9">
        <v>0.44594907407407408</v>
      </c>
      <c r="D799" s="7" t="s">
        <v>18</v>
      </c>
      <c r="E799" s="13" t="s">
        <v>35</v>
      </c>
      <c r="F799" s="16">
        <v>79.781075400000006</v>
      </c>
      <c r="G799" s="129">
        <v>1440.2951700000001</v>
      </c>
      <c r="H799" s="22">
        <v>0</v>
      </c>
      <c r="I799" s="19" t="s">
        <v>48</v>
      </c>
      <c r="J799" s="7" t="s">
        <v>24</v>
      </c>
      <c r="K799" s="16"/>
      <c r="L799" s="16"/>
      <c r="M799" s="16"/>
      <c r="N799" s="16"/>
      <c r="O799" s="16"/>
      <c r="P799" s="16"/>
      <c r="Q799" s="16"/>
      <c r="R799" s="16"/>
      <c r="S799" s="16"/>
      <c r="T799" s="16"/>
    </row>
    <row r="800" spans="1:20" x14ac:dyDescent="0.2">
      <c r="A800">
        <v>947</v>
      </c>
      <c r="B800" s="8">
        <v>46221</v>
      </c>
      <c r="C800" s="9">
        <v>0.44613425925925926</v>
      </c>
      <c r="D800" s="7" t="s">
        <v>18</v>
      </c>
      <c r="E800" s="13" t="s">
        <v>33</v>
      </c>
      <c r="F800" s="16">
        <v>84.2909918</v>
      </c>
      <c r="G800" s="129">
        <v>2285.66284</v>
      </c>
      <c r="H800" s="22">
        <v>1</v>
      </c>
      <c r="I800" s="19" t="s">
        <v>38</v>
      </c>
      <c r="J800" s="7" t="s">
        <v>24</v>
      </c>
      <c r="K800" s="16"/>
      <c r="L800" s="16"/>
      <c r="M800" s="16"/>
      <c r="N800" s="16">
        <v>70.833067</v>
      </c>
      <c r="O800" s="16"/>
      <c r="P800" s="16"/>
      <c r="Q800" s="16"/>
      <c r="R800" s="16"/>
      <c r="S800" s="16"/>
      <c r="T800" s="16"/>
    </row>
    <row r="801" spans="1:20" x14ac:dyDescent="0.2">
      <c r="A801">
        <v>996</v>
      </c>
      <c r="B801" s="8">
        <v>46221</v>
      </c>
      <c r="C801" s="9">
        <v>0.46750000000000003</v>
      </c>
      <c r="D801" s="7" t="s">
        <v>21</v>
      </c>
      <c r="E801" s="13" t="s">
        <v>33</v>
      </c>
      <c r="F801" s="16">
        <v>83.846350700000002</v>
      </c>
      <c r="G801" s="129">
        <v>2151.4150399999999</v>
      </c>
      <c r="H801" s="22">
        <v>1</v>
      </c>
      <c r="I801" s="19"/>
      <c r="J801" s="7" t="s">
        <v>24</v>
      </c>
      <c r="K801" s="16"/>
      <c r="L801" s="16"/>
      <c r="M801" s="16"/>
      <c r="N801" s="16"/>
      <c r="O801" s="16"/>
      <c r="P801" s="16"/>
      <c r="Q801" s="16"/>
      <c r="R801" s="16"/>
      <c r="S801" s="16"/>
      <c r="T801" s="16"/>
    </row>
    <row r="802" spans="1:20" x14ac:dyDescent="0.2">
      <c r="A802">
        <v>997</v>
      </c>
      <c r="B802" s="8">
        <v>46221</v>
      </c>
      <c r="C802" s="9">
        <v>0.46766203703703701</v>
      </c>
      <c r="D802" s="7" t="s">
        <v>21</v>
      </c>
      <c r="E802" s="13" t="s">
        <v>33</v>
      </c>
      <c r="F802" s="16">
        <v>84.100436200000004</v>
      </c>
      <c r="G802" s="129">
        <v>2135.08545</v>
      </c>
      <c r="H802" s="22">
        <v>0</v>
      </c>
      <c r="I802" s="19"/>
      <c r="J802" s="7" t="s">
        <v>24</v>
      </c>
      <c r="K802" s="16"/>
      <c r="L802" s="16"/>
      <c r="M802" s="16"/>
      <c r="N802" s="16"/>
      <c r="O802" s="16"/>
      <c r="P802" s="16"/>
      <c r="Q802" s="16"/>
      <c r="R802" s="16"/>
      <c r="S802" s="16"/>
      <c r="T802" s="16"/>
    </row>
    <row r="803" spans="1:20" x14ac:dyDescent="0.2">
      <c r="A803">
        <v>998</v>
      </c>
      <c r="B803" s="8">
        <v>46221</v>
      </c>
      <c r="C803" s="9">
        <v>0.46782407407407406</v>
      </c>
      <c r="D803" s="7" t="s">
        <v>21</v>
      </c>
      <c r="E803" s="13" t="s">
        <v>33</v>
      </c>
      <c r="F803" s="16">
        <v>83.893991600000007</v>
      </c>
      <c r="G803" s="129">
        <v>2155.4606899999999</v>
      </c>
      <c r="H803" s="22">
        <v>1</v>
      </c>
      <c r="I803" s="19" t="s">
        <v>40</v>
      </c>
      <c r="J803" s="7" t="s">
        <v>24</v>
      </c>
      <c r="K803" s="16">
        <v>92.290684999999996</v>
      </c>
      <c r="L803" s="16">
        <v>-3.7409306</v>
      </c>
      <c r="M803" s="16">
        <v>-9.0257644999999993</v>
      </c>
      <c r="N803" s="16">
        <v>66.293924099999998</v>
      </c>
      <c r="O803" s="16">
        <v>1211.33789</v>
      </c>
      <c r="P803" s="16">
        <v>29</v>
      </c>
      <c r="Q803" s="16">
        <v>1.3921439600000001</v>
      </c>
      <c r="R803" s="16">
        <v>1.61927032</v>
      </c>
      <c r="S803" s="16">
        <v>107.34778900000001</v>
      </c>
      <c r="T803" s="16">
        <v>0.85973533999999996</v>
      </c>
    </row>
    <row r="804" spans="1:20" x14ac:dyDescent="0.2">
      <c r="A804">
        <v>1012</v>
      </c>
      <c r="B804" s="8">
        <v>46221</v>
      </c>
      <c r="C804" s="9">
        <v>0.4723148148148148</v>
      </c>
      <c r="D804" s="7" t="s">
        <v>18</v>
      </c>
      <c r="E804" s="13" t="s">
        <v>35</v>
      </c>
      <c r="F804" s="16">
        <v>78.510673100000005</v>
      </c>
      <c r="G804" s="129">
        <v>1404.71021</v>
      </c>
      <c r="H804" s="22">
        <v>1</v>
      </c>
      <c r="I804" s="19" t="s">
        <v>40</v>
      </c>
      <c r="J804" s="7" t="s">
        <v>24</v>
      </c>
      <c r="K804" s="16">
        <v>70.314536500000003</v>
      </c>
      <c r="L804" s="16">
        <v>36.378028899999997</v>
      </c>
      <c r="M804" s="16">
        <v>-5.5192040999999996</v>
      </c>
      <c r="N804" s="16">
        <v>65.845613700000001</v>
      </c>
      <c r="O804" s="16">
        <v>4501.0209999999997</v>
      </c>
      <c r="P804" s="16">
        <v>234</v>
      </c>
      <c r="Q804" s="16">
        <v>1.0678696599999999</v>
      </c>
      <c r="R804" s="16">
        <v>1.5938614600000001</v>
      </c>
      <c r="S804" s="16">
        <v>104.948781</v>
      </c>
      <c r="T804" s="16">
        <v>0.66998908999999995</v>
      </c>
    </row>
    <row r="805" spans="1:20" x14ac:dyDescent="0.2">
      <c r="A805">
        <v>1029</v>
      </c>
      <c r="B805" s="8">
        <v>46221</v>
      </c>
      <c r="C805" s="9">
        <v>0.47994212962962962</v>
      </c>
      <c r="D805" s="7" t="s">
        <v>27</v>
      </c>
      <c r="E805" s="13" t="s">
        <v>33</v>
      </c>
      <c r="F805" s="16">
        <v>74.508919500000005</v>
      </c>
      <c r="G805" s="129">
        <v>2022.58716</v>
      </c>
      <c r="H805" s="22"/>
      <c r="I805" s="19"/>
      <c r="J805" s="7" t="s">
        <v>24</v>
      </c>
      <c r="K805" s="16"/>
      <c r="L805" s="16"/>
      <c r="M805" s="16"/>
      <c r="N805" s="16"/>
      <c r="O805" s="16"/>
      <c r="P805" s="16"/>
      <c r="Q805" s="16"/>
      <c r="R805" s="16"/>
      <c r="S805" s="16"/>
      <c r="T805" s="16"/>
    </row>
    <row r="806" spans="1:20" x14ac:dyDescent="0.2">
      <c r="A806">
        <v>1030</v>
      </c>
      <c r="B806" s="8">
        <v>46221</v>
      </c>
      <c r="C806" s="9">
        <v>0.48016203703703703</v>
      </c>
      <c r="D806" s="7" t="s">
        <v>27</v>
      </c>
      <c r="E806" s="13"/>
      <c r="F806" s="16">
        <v>69.490840500000004</v>
      </c>
      <c r="G806" s="129">
        <v>2027.17615</v>
      </c>
      <c r="H806" s="22"/>
      <c r="I806" s="19"/>
      <c r="J806" s="7" t="s">
        <v>24</v>
      </c>
      <c r="K806" s="16"/>
      <c r="L806" s="16"/>
      <c r="M806" s="16"/>
      <c r="N806" s="16"/>
      <c r="O806" s="16"/>
      <c r="P806" s="16"/>
      <c r="Q806" s="16"/>
      <c r="R806" s="16"/>
      <c r="S806" s="16"/>
      <c r="T806" s="16"/>
    </row>
    <row r="807" spans="1:20" x14ac:dyDescent="0.2">
      <c r="A807">
        <v>1031</v>
      </c>
      <c r="B807" s="8">
        <v>46221</v>
      </c>
      <c r="C807" s="9">
        <v>0.48040509259259262</v>
      </c>
      <c r="D807" s="7" t="s">
        <v>27</v>
      </c>
      <c r="E807" s="13" t="s">
        <v>33</v>
      </c>
      <c r="F807" s="16">
        <v>75.207637599999998</v>
      </c>
      <c r="G807" s="129">
        <v>2032.90344</v>
      </c>
      <c r="H807" s="22"/>
      <c r="I807" s="19"/>
      <c r="J807" s="7" t="s">
        <v>24</v>
      </c>
      <c r="K807" s="16"/>
      <c r="L807" s="16"/>
      <c r="M807" s="16"/>
      <c r="N807" s="16"/>
      <c r="O807" s="16"/>
      <c r="P807" s="16"/>
      <c r="Q807" s="16"/>
      <c r="R807" s="16"/>
      <c r="S807" s="16"/>
      <c r="T807" s="16"/>
    </row>
    <row r="808" spans="1:20" x14ac:dyDescent="0.2">
      <c r="A808">
        <v>1032</v>
      </c>
      <c r="B808" s="8">
        <v>46221</v>
      </c>
      <c r="C808" s="9">
        <v>0.4805902777777778</v>
      </c>
      <c r="D808" s="7" t="s">
        <v>27</v>
      </c>
      <c r="E808" s="13" t="s">
        <v>33</v>
      </c>
      <c r="F808" s="16">
        <v>76.795638199999999</v>
      </c>
      <c r="G808" s="129">
        <v>2107.9743699999999</v>
      </c>
      <c r="H808" s="22">
        <v>1</v>
      </c>
      <c r="I808" s="19" t="s">
        <v>39</v>
      </c>
      <c r="J808" s="7" t="s">
        <v>24</v>
      </c>
      <c r="K808" s="16"/>
      <c r="L808" s="16"/>
      <c r="M808" s="16"/>
      <c r="N808" s="16">
        <v>65.957689099999996</v>
      </c>
      <c r="O808" s="16"/>
      <c r="P808" s="16"/>
      <c r="Q808" s="16"/>
      <c r="R808" s="16"/>
      <c r="S808" s="16"/>
      <c r="T808" s="16"/>
    </row>
    <row r="809" spans="1:20" x14ac:dyDescent="0.2">
      <c r="A809">
        <v>1033</v>
      </c>
      <c r="B809" s="8">
        <v>46221</v>
      </c>
      <c r="C809" s="9">
        <v>0.48084490740740743</v>
      </c>
      <c r="D809" s="7" t="s">
        <v>27</v>
      </c>
      <c r="E809" s="13" t="s">
        <v>33</v>
      </c>
      <c r="F809" s="16">
        <v>76.160441500000005</v>
      </c>
      <c r="G809" s="129">
        <v>1050.35095</v>
      </c>
      <c r="H809" s="22">
        <v>1</v>
      </c>
      <c r="I809" s="19" t="s">
        <v>40</v>
      </c>
      <c r="J809" s="7" t="s">
        <v>24</v>
      </c>
      <c r="K809" s="16">
        <v>84.745693599999996</v>
      </c>
      <c r="L809" s="16">
        <v>26.2222309</v>
      </c>
      <c r="M809" s="16">
        <v>-16.195608</v>
      </c>
      <c r="N809" s="16">
        <v>66.910352099999997</v>
      </c>
      <c r="O809" s="16"/>
      <c r="P809" s="16">
        <v>272</v>
      </c>
      <c r="Q809" s="16">
        <v>1.26655579</v>
      </c>
      <c r="R809" s="16">
        <v>1.57490051</v>
      </c>
      <c r="S809" s="16">
        <v>105.37714099999999</v>
      </c>
      <c r="T809" s="16">
        <v>0.80421326000000004</v>
      </c>
    </row>
    <row r="810" spans="1:20" x14ac:dyDescent="0.2">
      <c r="A810">
        <v>1055</v>
      </c>
      <c r="B810" s="8">
        <v>46221</v>
      </c>
      <c r="C810" s="9">
        <v>0.48841435185185184</v>
      </c>
      <c r="D810" s="7" t="s">
        <v>21</v>
      </c>
      <c r="E810" s="13" t="s">
        <v>33</v>
      </c>
      <c r="F810" s="16">
        <v>84.735633000000007</v>
      </c>
      <c r="G810" s="129">
        <v>2230.8208</v>
      </c>
      <c r="H810" s="22">
        <v>0</v>
      </c>
      <c r="I810" s="19"/>
      <c r="J810" s="7" t="s">
        <v>24</v>
      </c>
      <c r="K810" s="16"/>
      <c r="L810" s="16"/>
      <c r="M810" s="16"/>
      <c r="N810" s="16"/>
      <c r="O810" s="16"/>
      <c r="P810" s="16"/>
      <c r="Q810" s="16"/>
      <c r="R810" s="16"/>
      <c r="S810" s="16"/>
      <c r="T810" s="16"/>
    </row>
    <row r="811" spans="1:20" x14ac:dyDescent="0.2">
      <c r="A811">
        <v>1056</v>
      </c>
      <c r="B811" s="8">
        <v>46221</v>
      </c>
      <c r="C811" s="9">
        <v>0.48855324074074075</v>
      </c>
      <c r="D811" s="7" t="s">
        <v>21</v>
      </c>
      <c r="E811" s="13" t="s">
        <v>33</v>
      </c>
      <c r="F811" s="16">
        <v>85.688436800000005</v>
      </c>
      <c r="G811" s="129">
        <v>1135.7426800000001</v>
      </c>
      <c r="H811" s="22">
        <v>0</v>
      </c>
      <c r="I811" s="19"/>
      <c r="J811" s="7" t="s">
        <v>24</v>
      </c>
      <c r="K811" s="16"/>
      <c r="L811" s="16"/>
      <c r="M811" s="16"/>
      <c r="N811" s="16"/>
      <c r="O811" s="16"/>
      <c r="P811" s="16"/>
      <c r="Q811" s="16"/>
      <c r="R811" s="16"/>
      <c r="S811" s="16"/>
      <c r="T811" s="16"/>
    </row>
    <row r="812" spans="1:20" x14ac:dyDescent="0.2">
      <c r="A812">
        <v>1057</v>
      </c>
      <c r="B812" s="8">
        <v>46221</v>
      </c>
      <c r="C812" s="9">
        <v>0.48883101851851851</v>
      </c>
      <c r="D812" s="7" t="s">
        <v>21</v>
      </c>
      <c r="E812" s="13" t="s">
        <v>35</v>
      </c>
      <c r="F812" s="16">
        <v>72.857397399999996</v>
      </c>
      <c r="G812" s="129">
        <v>995.07403599999998</v>
      </c>
      <c r="H812" s="22">
        <v>1</v>
      </c>
      <c r="I812" s="19" t="s">
        <v>39</v>
      </c>
      <c r="J812" s="7" t="s">
        <v>24</v>
      </c>
      <c r="K812" s="16"/>
      <c r="L812" s="16"/>
      <c r="M812" s="16"/>
      <c r="N812" s="16">
        <v>69.376059999999995</v>
      </c>
      <c r="O812" s="16"/>
      <c r="P812" s="16"/>
      <c r="Q812" s="16"/>
      <c r="R812" s="16"/>
      <c r="S812" s="16"/>
      <c r="T812" s="16"/>
    </row>
    <row r="813" spans="1:20" x14ac:dyDescent="0.2">
      <c r="A813">
        <v>1058</v>
      </c>
      <c r="B813" s="8">
        <v>46221</v>
      </c>
      <c r="C813" s="9">
        <v>0.48900462962962965</v>
      </c>
      <c r="D813" s="7" t="s">
        <v>21</v>
      </c>
      <c r="E813" s="13" t="s">
        <v>35</v>
      </c>
      <c r="F813" s="16">
        <v>73.8102011</v>
      </c>
      <c r="G813" s="129">
        <v>1937.0775100000001</v>
      </c>
      <c r="H813" s="22">
        <v>1</v>
      </c>
      <c r="I813" s="19" t="s">
        <v>40</v>
      </c>
      <c r="J813" s="7" t="s">
        <v>24</v>
      </c>
      <c r="K813" s="16"/>
      <c r="L813" s="16"/>
      <c r="M813" s="16"/>
      <c r="N813" s="16">
        <v>62.203091999999998</v>
      </c>
      <c r="O813" s="16"/>
      <c r="P813" s="16"/>
      <c r="Q813" s="16"/>
      <c r="R813" s="16"/>
      <c r="S813" s="16"/>
      <c r="T813" s="16"/>
    </row>
    <row r="814" spans="1:20" x14ac:dyDescent="0.2">
      <c r="A814">
        <v>1084</v>
      </c>
      <c r="B814" s="1">
        <v>46224</v>
      </c>
      <c r="C814" s="2">
        <v>0.74391203703703701</v>
      </c>
      <c r="D814" t="s">
        <v>28</v>
      </c>
      <c r="E814" s="10" t="s">
        <v>33</v>
      </c>
      <c r="F814" s="11">
        <v>75.038508903999997</v>
      </c>
      <c r="G814" s="4">
        <v>1967.75549</v>
      </c>
      <c r="H814" s="20">
        <v>0</v>
      </c>
      <c r="J814" t="s">
        <v>24</v>
      </c>
    </row>
    <row r="815" spans="1:20" x14ac:dyDescent="0.2">
      <c r="A815">
        <v>1085</v>
      </c>
      <c r="B815" s="1">
        <v>46224</v>
      </c>
      <c r="C815" s="2">
        <v>0.7441550925925926</v>
      </c>
      <c r="D815" t="s">
        <v>28</v>
      </c>
      <c r="E815" s="10" t="s">
        <v>33</v>
      </c>
      <c r="F815" s="11">
        <v>75.117944738000006</v>
      </c>
      <c r="G815" s="4">
        <v>1943.0294200000001</v>
      </c>
      <c r="H815" s="20">
        <v>0</v>
      </c>
      <c r="J815" t="s">
        <v>24</v>
      </c>
    </row>
    <row r="816" spans="1:20" x14ac:dyDescent="0.2">
      <c r="A816">
        <v>1086</v>
      </c>
      <c r="B816" s="1">
        <v>46224</v>
      </c>
      <c r="C816" s="2">
        <v>0.74438657407407405</v>
      </c>
      <c r="D816" t="s">
        <v>28</v>
      </c>
      <c r="E816" s="10" t="s">
        <v>37</v>
      </c>
      <c r="F816" s="11">
        <v>70.669335351000001</v>
      </c>
      <c r="G816" s="4">
        <v>2338.7961399999999</v>
      </c>
      <c r="H816" s="20">
        <v>1</v>
      </c>
      <c r="I816" s="17" t="s">
        <v>38</v>
      </c>
      <c r="J816" t="s">
        <v>24</v>
      </c>
      <c r="N816" s="11">
        <v>66.791155605</v>
      </c>
    </row>
    <row r="817" spans="1:20" x14ac:dyDescent="0.2">
      <c r="A817">
        <v>1087</v>
      </c>
      <c r="B817" s="1">
        <v>46224</v>
      </c>
      <c r="C817" s="2">
        <v>0.74480324074074078</v>
      </c>
      <c r="D817" t="s">
        <v>28</v>
      </c>
      <c r="E817" s="10" t="s">
        <v>35</v>
      </c>
      <c r="F817" s="11">
        <v>72.687099716999995</v>
      </c>
      <c r="G817" s="4">
        <v>1718.6159700000001</v>
      </c>
      <c r="H817" s="20">
        <v>0</v>
      </c>
      <c r="J817" t="s">
        <v>24</v>
      </c>
    </row>
    <row r="818" spans="1:20" x14ac:dyDescent="0.2">
      <c r="A818">
        <v>1088</v>
      </c>
      <c r="B818" s="1">
        <v>46224</v>
      </c>
      <c r="C818" s="2">
        <v>0.745</v>
      </c>
      <c r="D818" t="s">
        <v>28</v>
      </c>
      <c r="E818" s="10" t="s">
        <v>37</v>
      </c>
      <c r="F818" s="11">
        <v>71.813262366999993</v>
      </c>
      <c r="G818" s="4">
        <v>763.117615</v>
      </c>
      <c r="H818" s="20">
        <v>0</v>
      </c>
      <c r="I818" s="17" t="s">
        <v>48</v>
      </c>
      <c r="J818" t="s">
        <v>24</v>
      </c>
    </row>
    <row r="819" spans="1:20" x14ac:dyDescent="0.2">
      <c r="A819">
        <v>1089</v>
      </c>
      <c r="B819" s="1">
        <v>46224</v>
      </c>
      <c r="C819" s="2">
        <v>0.74523148148148144</v>
      </c>
      <c r="D819" t="s">
        <v>28</v>
      </c>
      <c r="E819" s="10" t="s">
        <v>33</v>
      </c>
      <c r="F819" s="11">
        <v>75.880568341</v>
      </c>
      <c r="G819" s="4">
        <v>2046.56519</v>
      </c>
      <c r="H819" s="20">
        <v>0</v>
      </c>
      <c r="J819" t="s">
        <v>24</v>
      </c>
    </row>
    <row r="820" spans="1:20" s="115" customFormat="1" ht="17" thickBot="1" x14ac:dyDescent="0.25">
      <c r="A820">
        <v>1124</v>
      </c>
      <c r="B820" s="116">
        <v>46224</v>
      </c>
      <c r="C820" s="117">
        <v>0.75828703703703704</v>
      </c>
      <c r="D820" s="115" t="s">
        <v>25</v>
      </c>
      <c r="E820" s="118" t="s">
        <v>33</v>
      </c>
      <c r="F820" s="119">
        <v>83.570300470999996</v>
      </c>
      <c r="G820" s="130">
        <v>1909.62744</v>
      </c>
      <c r="H820" s="121">
        <v>1</v>
      </c>
      <c r="I820" s="120" t="s">
        <v>38</v>
      </c>
      <c r="J820" s="115" t="s">
        <v>24</v>
      </c>
      <c r="K820" s="119"/>
      <c r="L820" s="119"/>
      <c r="M820" s="119"/>
      <c r="N820" s="119">
        <v>67.412733458999995</v>
      </c>
      <c r="O820" s="119"/>
      <c r="P820" s="119"/>
      <c r="Q820" s="119"/>
      <c r="R820" s="119"/>
      <c r="S820" s="119"/>
      <c r="T820" s="119"/>
    </row>
    <row r="821" spans="1:20" x14ac:dyDescent="0.2">
      <c r="A821">
        <v>1125</v>
      </c>
      <c r="B821" s="1">
        <v>46224</v>
      </c>
      <c r="C821" s="2">
        <v>0.75858796296296294</v>
      </c>
      <c r="D821" t="s">
        <v>25</v>
      </c>
      <c r="E821" s="10" t="s">
        <v>33</v>
      </c>
      <c r="F821" s="11">
        <v>82.982454493000006</v>
      </c>
      <c r="G821" s="4">
        <v>2166.3813500000001</v>
      </c>
      <c r="H821" s="20">
        <v>1</v>
      </c>
      <c r="J821" t="s">
        <v>24</v>
      </c>
    </row>
    <row r="822" spans="1:20" x14ac:dyDescent="0.2">
      <c r="A822">
        <v>1126</v>
      </c>
      <c r="B822" s="1">
        <v>46224</v>
      </c>
      <c r="C822" s="2">
        <v>0.75886574074074076</v>
      </c>
      <c r="D822" t="s">
        <v>25</v>
      </c>
      <c r="E822" s="10" t="s">
        <v>35</v>
      </c>
      <c r="F822" s="11">
        <v>73.068407156999996</v>
      </c>
      <c r="G822" s="4">
        <v>1904.68335</v>
      </c>
      <c r="H822" s="20">
        <v>1</v>
      </c>
      <c r="I822" s="17" t="s">
        <v>45</v>
      </c>
      <c r="J822" t="s">
        <v>24</v>
      </c>
      <c r="N822" s="11">
        <v>66.508624549000004</v>
      </c>
    </row>
    <row r="823" spans="1:20" x14ac:dyDescent="0.2">
      <c r="A823">
        <v>1162</v>
      </c>
      <c r="B823" s="1">
        <v>46224</v>
      </c>
      <c r="C823" s="2">
        <v>0.77284722222222224</v>
      </c>
      <c r="D823" t="s">
        <v>25</v>
      </c>
      <c r="E823" s="10" t="s">
        <v>35</v>
      </c>
      <c r="F823" s="11">
        <v>74.101124675999998</v>
      </c>
      <c r="G823" s="4">
        <v>1794.6516099999999</v>
      </c>
      <c r="H823" s="20">
        <v>1</v>
      </c>
      <c r="I823" s="17" t="s">
        <v>38</v>
      </c>
      <c r="J823" t="s">
        <v>24</v>
      </c>
      <c r="N823" s="11">
        <v>66.113074984999997</v>
      </c>
    </row>
    <row r="824" spans="1:20" x14ac:dyDescent="0.2">
      <c r="A824">
        <v>1163</v>
      </c>
      <c r="B824" s="1">
        <v>46224</v>
      </c>
      <c r="C824" s="2">
        <v>0.77317129629629633</v>
      </c>
      <c r="D824" t="s">
        <v>25</v>
      </c>
      <c r="E824" s="10" t="s">
        <v>33</v>
      </c>
      <c r="F824" s="11">
        <v>84.062830157999997</v>
      </c>
      <c r="G824" s="4">
        <v>1926.9093</v>
      </c>
      <c r="H824" s="20">
        <v>1</v>
      </c>
      <c r="I824" s="17" t="s">
        <v>38</v>
      </c>
      <c r="J824" t="s">
        <v>24</v>
      </c>
      <c r="K824" s="11">
        <v>71.895403328</v>
      </c>
      <c r="L824" s="11">
        <v>48.229091599999997</v>
      </c>
      <c r="N824" s="11">
        <v>67.243212185000004</v>
      </c>
      <c r="P824" s="11">
        <v>241</v>
      </c>
      <c r="Q824" s="11">
        <v>1.06918454</v>
      </c>
      <c r="R824" s="11">
        <v>1.6113752100000001</v>
      </c>
      <c r="S824" s="11">
        <v>108.35404813</v>
      </c>
      <c r="T824" s="11">
        <v>0.66352299999999997</v>
      </c>
    </row>
    <row r="825" spans="1:20" x14ac:dyDescent="0.2">
      <c r="A825">
        <v>1164</v>
      </c>
      <c r="B825" s="1">
        <v>46224</v>
      </c>
      <c r="C825" s="2">
        <v>0.7734375</v>
      </c>
      <c r="D825" t="s">
        <v>25</v>
      </c>
      <c r="E825" s="10" t="s">
        <v>37</v>
      </c>
      <c r="F825" s="11">
        <v>74.037569074000004</v>
      </c>
      <c r="G825" s="4">
        <v>2211.5700000000002</v>
      </c>
      <c r="H825" s="20">
        <v>0</v>
      </c>
      <c r="J825" t="s">
        <v>24</v>
      </c>
    </row>
    <row r="826" spans="1:20" x14ac:dyDescent="0.2">
      <c r="A826">
        <v>1165</v>
      </c>
      <c r="B826" s="1">
        <v>46224</v>
      </c>
      <c r="C826" s="2">
        <v>0.77370370370370367</v>
      </c>
      <c r="D826" t="s">
        <v>25</v>
      </c>
      <c r="E826" s="10" t="s">
        <v>33</v>
      </c>
      <c r="F826" s="11">
        <v>86.303017319999995</v>
      </c>
      <c r="G826" s="4">
        <v>2096.87354</v>
      </c>
      <c r="H826" s="20">
        <v>1</v>
      </c>
      <c r="I826" s="17" t="s">
        <v>38</v>
      </c>
      <c r="J826" t="s">
        <v>24</v>
      </c>
      <c r="N826" s="11">
        <v>61.875057464000001</v>
      </c>
    </row>
    <row r="827" spans="1:20" x14ac:dyDescent="0.2">
      <c r="A827">
        <v>1166</v>
      </c>
      <c r="B827" s="1">
        <v>46224</v>
      </c>
      <c r="C827" s="2">
        <v>0.77418981481481486</v>
      </c>
      <c r="D827" t="s">
        <v>25</v>
      </c>
      <c r="E827" s="10" t="s">
        <v>33</v>
      </c>
      <c r="F827" s="11">
        <v>87.446948586999994</v>
      </c>
      <c r="G827" s="4">
        <v>2038.8707300000001</v>
      </c>
      <c r="H827" s="20">
        <v>1</v>
      </c>
      <c r="I827" s="17" t="s">
        <v>38</v>
      </c>
      <c r="J827" t="s">
        <v>24</v>
      </c>
      <c r="N827" s="11">
        <v>67.582254731999996</v>
      </c>
    </row>
    <row r="828" spans="1:20" x14ac:dyDescent="0.2">
      <c r="A828">
        <v>1167</v>
      </c>
      <c r="B828" s="1">
        <v>46224</v>
      </c>
      <c r="C828" s="2">
        <v>0.77451388888888884</v>
      </c>
      <c r="D828" t="s">
        <v>25</v>
      </c>
      <c r="E828" s="10" t="s">
        <v>35</v>
      </c>
      <c r="F828" s="11">
        <v>73.338501073000003</v>
      </c>
      <c r="G828" s="4">
        <v>1858.18677</v>
      </c>
      <c r="H828" s="20">
        <v>1</v>
      </c>
      <c r="I828" s="17" t="s">
        <v>38</v>
      </c>
      <c r="J828" t="s">
        <v>24</v>
      </c>
      <c r="N828" s="11">
        <v>52.720937104000001</v>
      </c>
    </row>
    <row r="829" spans="1:20" x14ac:dyDescent="0.2">
      <c r="A829">
        <v>1168</v>
      </c>
      <c r="B829" s="1">
        <v>46224</v>
      </c>
      <c r="C829" s="2">
        <v>0.77487268518518515</v>
      </c>
      <c r="D829" t="s">
        <v>25</v>
      </c>
      <c r="E829" s="10" t="s">
        <v>35</v>
      </c>
      <c r="F829" s="11">
        <v>76.452525585999993</v>
      </c>
      <c r="G829" s="4">
        <v>1931.0269800000001</v>
      </c>
      <c r="H829" s="20">
        <v>1</v>
      </c>
      <c r="I829" s="17" t="s">
        <v>40</v>
      </c>
      <c r="J829" t="s">
        <v>24</v>
      </c>
      <c r="K829" s="11">
        <v>79.557265696000002</v>
      </c>
      <c r="L829" s="11">
        <v>21.748901400000001</v>
      </c>
      <c r="M829" s="11">
        <v>0.35366300000000001</v>
      </c>
      <c r="N829" s="11">
        <v>63.061701681000002</v>
      </c>
      <c r="O829" s="11">
        <v>2710.1960399999998</v>
      </c>
      <c r="P829" s="11">
        <v>225</v>
      </c>
      <c r="Q829" s="11">
        <v>1.2615782</v>
      </c>
      <c r="R829" s="11">
        <v>1.6095715799999999</v>
      </c>
      <c r="S829" s="11">
        <v>101.502327702</v>
      </c>
      <c r="T829" s="11">
        <v>0.78379745499999998</v>
      </c>
    </row>
    <row r="830" spans="1:20" x14ac:dyDescent="0.2">
      <c r="A830">
        <v>1250</v>
      </c>
      <c r="B830" s="1">
        <v>46228</v>
      </c>
      <c r="C830" s="2">
        <v>0.44832175925925927</v>
      </c>
      <c r="D830" t="s">
        <v>21</v>
      </c>
      <c r="E830" s="10" t="s">
        <v>37</v>
      </c>
      <c r="F830" s="11">
        <v>70.951802654999995</v>
      </c>
      <c r="G830" s="4">
        <v>2193.3786599999999</v>
      </c>
      <c r="H830" s="20">
        <v>0</v>
      </c>
      <c r="J830" t="s">
        <v>24</v>
      </c>
      <c r="T830" s="14"/>
    </row>
    <row r="831" spans="1:20" x14ac:dyDescent="0.2">
      <c r="A831">
        <v>1251</v>
      </c>
      <c r="B831" s="1">
        <v>46228</v>
      </c>
      <c r="C831" s="2">
        <v>0.44849537037037035</v>
      </c>
      <c r="D831" t="s">
        <v>21</v>
      </c>
      <c r="E831" s="10" t="s">
        <v>33</v>
      </c>
      <c r="F831" s="11">
        <v>82.512435541000002</v>
      </c>
      <c r="G831" s="4">
        <v>2126.5354000000002</v>
      </c>
      <c r="H831" s="20">
        <v>1</v>
      </c>
      <c r="I831" s="17" t="s">
        <v>38</v>
      </c>
      <c r="J831" t="s">
        <v>24</v>
      </c>
      <c r="K831" s="11">
        <v>85.294389140999996</v>
      </c>
      <c r="L831" s="11">
        <v>11.6418295</v>
      </c>
      <c r="M831" s="11">
        <v>-30.7451057</v>
      </c>
      <c r="N831" s="11">
        <v>60.448023380000002</v>
      </c>
      <c r="O831" s="11">
        <v>3708.9980500000001</v>
      </c>
      <c r="P831" s="11">
        <v>159</v>
      </c>
      <c r="Q831" s="11">
        <v>1.4110368499999999</v>
      </c>
      <c r="R831" s="11">
        <v>1.6558289500000001</v>
      </c>
      <c r="S831" s="11">
        <v>100.091587907</v>
      </c>
      <c r="T831" s="14">
        <v>0.85216339099999905</v>
      </c>
    </row>
    <row r="832" spans="1:20" x14ac:dyDescent="0.2">
      <c r="A832">
        <v>1252</v>
      </c>
      <c r="B832" s="1">
        <v>46228</v>
      </c>
      <c r="C832" s="2">
        <v>0.44877314814814817</v>
      </c>
      <c r="D832" t="s">
        <v>21</v>
      </c>
      <c r="E832" s="10" t="s">
        <v>46</v>
      </c>
      <c r="F832" s="11">
        <v>72.285721816999995</v>
      </c>
      <c r="G832" s="4">
        <v>1434.26782</v>
      </c>
      <c r="H832" s="20">
        <v>1</v>
      </c>
      <c r="I832" s="17" t="s">
        <v>38</v>
      </c>
      <c r="J832" t="s">
        <v>24</v>
      </c>
      <c r="N832" s="11">
        <v>61.819245686999999</v>
      </c>
      <c r="T832" s="14"/>
    </row>
    <row r="833" spans="1:20" x14ac:dyDescent="0.2">
      <c r="A833">
        <v>1253</v>
      </c>
      <c r="B833" s="1">
        <v>46228</v>
      </c>
      <c r="C833" s="2">
        <v>0.44907407407407407</v>
      </c>
      <c r="D833" t="s">
        <v>21</v>
      </c>
      <c r="E833" s="10" t="s">
        <v>37</v>
      </c>
      <c r="F833" s="11">
        <v>71.698157469999998</v>
      </c>
      <c r="G833" s="4">
        <v>2092.6242699999998</v>
      </c>
      <c r="H833" s="20">
        <v>0</v>
      </c>
      <c r="J833" t="s">
        <v>24</v>
      </c>
      <c r="T833" s="14"/>
    </row>
    <row r="834" spans="1:20" x14ac:dyDescent="0.2">
      <c r="A834">
        <v>1254</v>
      </c>
      <c r="B834" s="1">
        <v>46228</v>
      </c>
      <c r="C834" s="2">
        <v>0.44923611111111111</v>
      </c>
      <c r="D834" t="s">
        <v>21</v>
      </c>
      <c r="E834" s="10" t="s">
        <v>54</v>
      </c>
      <c r="F834" s="11">
        <v>76.382757788999996</v>
      </c>
      <c r="G834" s="4">
        <v>1945.5251499999999</v>
      </c>
      <c r="H834" s="20">
        <v>0</v>
      </c>
      <c r="J834" t="s">
        <v>24</v>
      </c>
      <c r="T834" s="133"/>
    </row>
    <row r="835" spans="1:20" x14ac:dyDescent="0.2">
      <c r="A835">
        <v>1255</v>
      </c>
      <c r="B835" s="1">
        <v>46228</v>
      </c>
      <c r="C835" s="2">
        <v>0.44958333333333333</v>
      </c>
      <c r="D835" t="s">
        <v>21</v>
      </c>
      <c r="E835" s="10" t="s">
        <v>33</v>
      </c>
      <c r="F835" s="11">
        <v>82.830033924000006</v>
      </c>
      <c r="G835" s="4">
        <v>1092.8010300000001</v>
      </c>
      <c r="H835" s="20">
        <v>1</v>
      </c>
      <c r="I835" s="17" t="s">
        <v>38</v>
      </c>
      <c r="J835" t="s">
        <v>24</v>
      </c>
      <c r="K835" s="11">
        <v>67.068664964000007</v>
      </c>
      <c r="L835" s="11">
        <v>33.582492799999997</v>
      </c>
      <c r="M835" s="11">
        <v>-26.613431899999998</v>
      </c>
      <c r="N835" s="11">
        <v>64.104616496000006</v>
      </c>
      <c r="O835" s="11">
        <v>4216.9165000000003</v>
      </c>
      <c r="Q835" s="11">
        <v>1.04623771</v>
      </c>
      <c r="R835" s="11">
        <v>1.6190646900000001</v>
      </c>
      <c r="S835" s="11">
        <v>103.789516022</v>
      </c>
      <c r="T835" s="14">
        <v>0.64619880699999999</v>
      </c>
    </row>
    <row r="836" spans="1:20" x14ac:dyDescent="0.2">
      <c r="A836">
        <v>1256</v>
      </c>
      <c r="B836" s="1">
        <v>46228</v>
      </c>
      <c r="C836" s="2">
        <v>0.44983796296296297</v>
      </c>
      <c r="D836" t="s">
        <v>21</v>
      </c>
      <c r="E836" s="10" t="s">
        <v>35</v>
      </c>
      <c r="F836" s="11">
        <v>72.444514522000006</v>
      </c>
      <c r="G836" s="4">
        <v>1490.42383</v>
      </c>
      <c r="H836" s="20">
        <v>0</v>
      </c>
      <c r="I836" s="17" t="s">
        <v>48</v>
      </c>
      <c r="J836" t="s">
        <v>24</v>
      </c>
      <c r="T836" s="14"/>
    </row>
    <row r="837" spans="1:20" x14ac:dyDescent="0.2">
      <c r="A837">
        <v>1257</v>
      </c>
      <c r="B837" s="1">
        <v>46228</v>
      </c>
      <c r="C837" s="2">
        <v>0.45013888888888887</v>
      </c>
      <c r="D837" t="s">
        <v>21</v>
      </c>
      <c r="E837" s="10" t="s">
        <v>33</v>
      </c>
      <c r="F837" s="11">
        <v>81.353195803000006</v>
      </c>
      <c r="G837" s="4">
        <v>2064.0668900000001</v>
      </c>
      <c r="H837" s="20">
        <v>1</v>
      </c>
      <c r="I837" s="17" t="s">
        <v>40</v>
      </c>
      <c r="J837" t="s">
        <v>24</v>
      </c>
      <c r="N837" s="11">
        <v>62.790528219000002</v>
      </c>
      <c r="T837" s="14"/>
    </row>
    <row r="838" spans="1:20" x14ac:dyDescent="0.2">
      <c r="A838">
        <v>1281</v>
      </c>
      <c r="B838" s="1">
        <v>46228</v>
      </c>
      <c r="C838" s="2">
        <v>0.45881944444444445</v>
      </c>
      <c r="D838" t="s">
        <v>18</v>
      </c>
      <c r="E838" s="10" t="s">
        <v>33</v>
      </c>
      <c r="F838" s="11">
        <v>84.465675712000007</v>
      </c>
      <c r="G838" s="4">
        <v>2194.11841</v>
      </c>
      <c r="H838" s="20">
        <v>1</v>
      </c>
      <c r="I838" s="17" t="s">
        <v>40</v>
      </c>
      <c r="J838" t="s">
        <v>24</v>
      </c>
      <c r="K838" s="11">
        <v>88.954685505</v>
      </c>
      <c r="L838" s="11">
        <v>34.390724200000001</v>
      </c>
      <c r="M838" s="11">
        <v>13.067368500000001</v>
      </c>
      <c r="N838" s="11">
        <v>64.333153510000002</v>
      </c>
      <c r="O838" s="11">
        <v>3189.5073200000002</v>
      </c>
      <c r="P838" s="11">
        <v>323</v>
      </c>
      <c r="Q838" s="11">
        <v>1.3827191599999999</v>
      </c>
      <c r="R838" s="11">
        <v>1.6354138899999999</v>
      </c>
      <c r="S838" s="11">
        <v>105.211332004</v>
      </c>
      <c r="T838" s="14">
        <v>0.84548576399999997</v>
      </c>
    </row>
    <row r="839" spans="1:20" x14ac:dyDescent="0.2">
      <c r="A839">
        <v>1302</v>
      </c>
      <c r="B839" s="1">
        <v>46228</v>
      </c>
      <c r="C839" s="2">
        <v>0.46998842592592593</v>
      </c>
      <c r="D839" t="s">
        <v>21</v>
      </c>
      <c r="E839" s="10" t="s">
        <v>54</v>
      </c>
      <c r="F839" s="11">
        <v>76.033398716999997</v>
      </c>
      <c r="G839" s="4">
        <v>1939.5896</v>
      </c>
      <c r="H839" s="20">
        <v>1</v>
      </c>
      <c r="J839" t="s">
        <v>24</v>
      </c>
      <c r="T839" s="14"/>
    </row>
    <row r="840" spans="1:20" x14ac:dyDescent="0.2">
      <c r="A840">
        <v>1303</v>
      </c>
      <c r="B840" s="1">
        <v>46228</v>
      </c>
      <c r="C840" s="2">
        <v>0.47016203703703702</v>
      </c>
      <c r="D840" t="s">
        <v>21</v>
      </c>
      <c r="E840" s="10" t="s">
        <v>53</v>
      </c>
      <c r="F840" s="11">
        <v>67.267642882000004</v>
      </c>
      <c r="G840" s="4">
        <v>989.49060099999997</v>
      </c>
      <c r="H840" s="20">
        <v>0</v>
      </c>
      <c r="J840" t="s">
        <v>24</v>
      </c>
      <c r="T840" s="14"/>
    </row>
    <row r="841" spans="1:20" x14ac:dyDescent="0.2">
      <c r="A841">
        <v>1304</v>
      </c>
      <c r="B841" s="1">
        <v>46228</v>
      </c>
      <c r="C841" s="2">
        <v>0.47032407407407406</v>
      </c>
      <c r="D841" t="s">
        <v>21</v>
      </c>
      <c r="E841" s="10" t="s">
        <v>35</v>
      </c>
      <c r="F841" s="11">
        <v>72.603320424000003</v>
      </c>
      <c r="G841" s="4">
        <v>1468.5472400000001</v>
      </c>
      <c r="H841" s="20">
        <v>1</v>
      </c>
      <c r="I841" s="17" t="s">
        <v>39</v>
      </c>
      <c r="J841" t="s">
        <v>24</v>
      </c>
      <c r="N841" s="11">
        <v>64.107496327999996</v>
      </c>
      <c r="T841" s="14"/>
    </row>
    <row r="842" spans="1:20" x14ac:dyDescent="0.2">
      <c r="A842">
        <v>1305</v>
      </c>
      <c r="B842" s="1">
        <v>46228</v>
      </c>
      <c r="C842" s="2">
        <v>0.47053240740740743</v>
      </c>
      <c r="D842" t="s">
        <v>21</v>
      </c>
      <c r="E842" s="10" t="s">
        <v>37</v>
      </c>
      <c r="F842" s="11">
        <v>71.968123433000002</v>
      </c>
      <c r="G842" s="4">
        <v>2141.6174299999998</v>
      </c>
      <c r="H842" s="20">
        <v>1</v>
      </c>
      <c r="I842" s="17" t="s">
        <v>40</v>
      </c>
      <c r="J842" t="s">
        <v>24</v>
      </c>
      <c r="K842" s="11">
        <v>85.199917741999997</v>
      </c>
      <c r="L842" s="11">
        <v>-5.3278317499999996</v>
      </c>
      <c r="M842" s="11">
        <v>14.6399031</v>
      </c>
      <c r="N842" s="11">
        <v>66.783288076999995</v>
      </c>
      <c r="P842" s="11">
        <v>16</v>
      </c>
      <c r="Q842" s="11">
        <v>1.27576709</v>
      </c>
      <c r="R842" s="11">
        <v>1.5707707399999999</v>
      </c>
      <c r="S842" s="11">
        <v>104.90123429099999</v>
      </c>
      <c r="T842" s="14">
        <v>0.81219169599999996</v>
      </c>
    </row>
    <row r="843" spans="1:20" x14ac:dyDescent="0.2">
      <c r="A843">
        <v>1332</v>
      </c>
      <c r="B843" s="1">
        <v>46228</v>
      </c>
      <c r="C843" s="2">
        <v>0.48185185185185186</v>
      </c>
      <c r="D843" t="s">
        <v>21</v>
      </c>
      <c r="E843" s="10" t="s">
        <v>33</v>
      </c>
      <c r="F843" s="11">
        <v>75.271158971999995</v>
      </c>
      <c r="G843" s="4">
        <v>1898.56</v>
      </c>
      <c r="H843" s="20">
        <v>0</v>
      </c>
      <c r="J843" t="s">
        <v>24</v>
      </c>
      <c r="T843" s="14"/>
    </row>
    <row r="844" spans="1:20" x14ac:dyDescent="0.2">
      <c r="A844">
        <v>1333</v>
      </c>
      <c r="B844" s="1">
        <v>46228</v>
      </c>
      <c r="C844" s="2">
        <v>0.48216435185185186</v>
      </c>
      <c r="D844" t="s">
        <v>21</v>
      </c>
      <c r="E844" s="10" t="s">
        <v>35</v>
      </c>
      <c r="F844" s="11">
        <v>72.666841801000004</v>
      </c>
      <c r="G844" s="4">
        <v>1504.4709499999999</v>
      </c>
      <c r="H844" s="20">
        <v>1</v>
      </c>
      <c r="I844" s="17" t="s">
        <v>40</v>
      </c>
      <c r="J844" t="s">
        <v>24</v>
      </c>
      <c r="K844" s="11">
        <v>82.776035632000003</v>
      </c>
      <c r="L844" s="11">
        <v>36.093940699999997</v>
      </c>
      <c r="M844" s="11">
        <v>26.756891299999999</v>
      </c>
      <c r="N844" s="11">
        <v>63.048330172</v>
      </c>
      <c r="O844" s="11">
        <v>3635.1220699999999</v>
      </c>
      <c r="P844" s="11">
        <v>296</v>
      </c>
      <c r="Q844" s="11">
        <v>1.31289816</v>
      </c>
      <c r="R844" s="11">
        <v>1.5900613100000001</v>
      </c>
      <c r="S844" s="11">
        <v>100.250707205</v>
      </c>
      <c r="T844" s="14">
        <v>0.82569030799999998</v>
      </c>
    </row>
    <row r="845" spans="1:20" x14ac:dyDescent="0.2">
      <c r="A845">
        <v>702</v>
      </c>
      <c r="B845" s="8">
        <v>46214</v>
      </c>
      <c r="C845" s="9">
        <v>0.50083333333333335</v>
      </c>
      <c r="D845" s="7" t="s">
        <v>18</v>
      </c>
      <c r="E845" s="13" t="s">
        <v>33</v>
      </c>
      <c r="F845" s="16">
        <v>81.797836899999993</v>
      </c>
      <c r="G845" s="129">
        <v>2193.4697299999998</v>
      </c>
      <c r="H845" s="22">
        <v>0</v>
      </c>
      <c r="I845" s="19"/>
      <c r="J845" s="7" t="s">
        <v>52</v>
      </c>
      <c r="K845" s="16"/>
      <c r="L845" s="16"/>
      <c r="M845" s="16"/>
      <c r="N845" s="16"/>
      <c r="O845" s="16"/>
      <c r="P845" s="16"/>
      <c r="Q845" s="16"/>
      <c r="R845" s="16"/>
      <c r="S845" s="16"/>
      <c r="T845" s="16"/>
    </row>
    <row r="846" spans="1:20" x14ac:dyDescent="0.2">
      <c r="A846">
        <v>703</v>
      </c>
      <c r="B846" s="8">
        <v>46214</v>
      </c>
      <c r="C846" s="9">
        <v>0.50103009259259257</v>
      </c>
      <c r="D846" s="7" t="s">
        <v>18</v>
      </c>
      <c r="E846" s="13" t="s">
        <v>33</v>
      </c>
      <c r="F846" s="16">
        <v>82.639478299999993</v>
      </c>
      <c r="G846" s="129">
        <v>2205.1779799999999</v>
      </c>
      <c r="H846" s="22">
        <v>1</v>
      </c>
      <c r="I846" s="19" t="s">
        <v>39</v>
      </c>
      <c r="J846" s="7" t="s">
        <v>52</v>
      </c>
      <c r="K846" s="16"/>
      <c r="L846" s="16"/>
      <c r="M846" s="16"/>
      <c r="N846" s="16">
        <v>56.657309400000003</v>
      </c>
      <c r="O846" s="16"/>
      <c r="P846" s="16"/>
      <c r="Q846" s="16"/>
      <c r="R846" s="16"/>
      <c r="S846" s="16"/>
      <c r="T846" s="16"/>
    </row>
    <row r="847" spans="1:20" x14ac:dyDescent="0.2">
      <c r="A847">
        <v>704</v>
      </c>
      <c r="B847" s="8">
        <v>46214</v>
      </c>
      <c r="C847" s="9">
        <v>0.50124999999999997</v>
      </c>
      <c r="D847" s="7" t="s">
        <v>18</v>
      </c>
      <c r="E847" s="13" t="s">
        <v>37</v>
      </c>
      <c r="F847" s="16">
        <v>73.794320900000002</v>
      </c>
      <c r="G847" s="129">
        <v>2236.9316399999998</v>
      </c>
      <c r="H847" s="22">
        <v>0</v>
      </c>
      <c r="I847" s="19"/>
      <c r="J847" s="7" t="s">
        <v>52</v>
      </c>
      <c r="K847" s="16"/>
      <c r="L847" s="16"/>
      <c r="M847" s="16"/>
      <c r="N847" s="16"/>
      <c r="O847" s="16"/>
      <c r="P847" s="16"/>
      <c r="Q847" s="16"/>
      <c r="R847" s="16"/>
      <c r="S847" s="16"/>
      <c r="T847" s="16"/>
    </row>
    <row r="848" spans="1:20" x14ac:dyDescent="0.2">
      <c r="A848">
        <v>705</v>
      </c>
      <c r="B848" s="8">
        <v>46214</v>
      </c>
      <c r="C848" s="9">
        <v>0.50143518518518515</v>
      </c>
      <c r="D848" s="7" t="s">
        <v>18</v>
      </c>
      <c r="E848" s="13" t="s">
        <v>37</v>
      </c>
      <c r="F848" s="16">
        <v>74.064279900000002</v>
      </c>
      <c r="G848" s="129">
        <v>730.99707000000001</v>
      </c>
      <c r="H848" s="22">
        <v>0</v>
      </c>
      <c r="I848" s="19"/>
      <c r="J848" s="7" t="s">
        <v>52</v>
      </c>
      <c r="K848" s="16"/>
      <c r="L848" s="16"/>
      <c r="M848" s="16"/>
      <c r="N848" s="16"/>
      <c r="O848" s="16"/>
      <c r="P848" s="16"/>
      <c r="Q848" s="16"/>
      <c r="R848" s="16"/>
      <c r="S848" s="16"/>
      <c r="T848" s="16"/>
    </row>
    <row r="849" spans="1:20" x14ac:dyDescent="0.2">
      <c r="A849">
        <v>706</v>
      </c>
      <c r="B849" s="8">
        <v>46214</v>
      </c>
      <c r="C849" s="9">
        <v>0.50163194444444448</v>
      </c>
      <c r="D849" s="7" t="s">
        <v>18</v>
      </c>
      <c r="E849" s="13" t="s">
        <v>33</v>
      </c>
      <c r="F849" s="16">
        <v>81.559631699999997</v>
      </c>
      <c r="G849" s="129">
        <v>1025.56628</v>
      </c>
      <c r="H849" s="22">
        <v>1</v>
      </c>
      <c r="I849" s="19"/>
      <c r="J849" s="7" t="s">
        <v>52</v>
      </c>
      <c r="K849" s="16"/>
      <c r="L849" s="16"/>
      <c r="M849" s="16"/>
      <c r="N849" s="16"/>
      <c r="O849" s="16"/>
      <c r="P849" s="16"/>
      <c r="Q849" s="16"/>
      <c r="R849" s="16"/>
      <c r="S849" s="16"/>
      <c r="T849" s="16"/>
    </row>
    <row r="850" spans="1:20" x14ac:dyDescent="0.2">
      <c r="A850">
        <v>707</v>
      </c>
      <c r="B850" s="8">
        <v>46214</v>
      </c>
      <c r="C850" s="9">
        <v>0.50197916666666664</v>
      </c>
      <c r="D850" s="7" t="s">
        <v>18</v>
      </c>
      <c r="E850" s="13" t="s">
        <v>33</v>
      </c>
      <c r="F850" s="16">
        <v>82.575956899999994</v>
      </c>
      <c r="G850" s="129">
        <v>2152.7426799999998</v>
      </c>
      <c r="H850" s="22">
        <v>0</v>
      </c>
      <c r="I850" s="19" t="s">
        <v>48</v>
      </c>
      <c r="J850" s="7" t="s">
        <v>52</v>
      </c>
      <c r="K850" s="16"/>
      <c r="L850" s="16"/>
      <c r="M850" s="16"/>
      <c r="N850" s="16"/>
      <c r="O850" s="16"/>
      <c r="P850" s="16"/>
      <c r="Q850" s="16"/>
      <c r="R850" s="16"/>
      <c r="S850" s="16"/>
      <c r="T850" s="16"/>
    </row>
    <row r="851" spans="1:20" x14ac:dyDescent="0.2">
      <c r="A851">
        <v>708</v>
      </c>
      <c r="B851" s="8">
        <v>46214</v>
      </c>
      <c r="C851" s="9">
        <v>0.50214120370370374</v>
      </c>
      <c r="D851" s="7" t="s">
        <v>18</v>
      </c>
      <c r="E851" s="13" t="s">
        <v>33</v>
      </c>
      <c r="F851" s="16">
        <v>80.019272200000003</v>
      </c>
      <c r="G851" s="129">
        <v>2036.4301800000001</v>
      </c>
      <c r="H851" s="22">
        <v>1</v>
      </c>
      <c r="I851" s="19" t="s">
        <v>38</v>
      </c>
      <c r="J851" s="7" t="s">
        <v>52</v>
      </c>
      <c r="K851" s="16"/>
      <c r="L851" s="16"/>
      <c r="M851" s="16"/>
      <c r="N851" s="16">
        <v>58.793199000000001</v>
      </c>
      <c r="O851" s="16"/>
      <c r="P851" s="16"/>
      <c r="Q851" s="16"/>
      <c r="R851" s="16"/>
      <c r="S851" s="16"/>
      <c r="T851" s="16"/>
    </row>
    <row r="852" spans="1:20" x14ac:dyDescent="0.2">
      <c r="A852">
        <v>964</v>
      </c>
      <c r="B852" s="8">
        <v>46221</v>
      </c>
      <c r="C852" s="9">
        <v>0.45557870370370368</v>
      </c>
      <c r="D852" s="7" t="s">
        <v>24</v>
      </c>
      <c r="E852" s="13" t="s">
        <v>33</v>
      </c>
      <c r="F852" s="16">
        <v>81.289674399999996</v>
      </c>
      <c r="G852" s="129">
        <v>2165.6745599999999</v>
      </c>
      <c r="H852" s="22">
        <v>1</v>
      </c>
      <c r="I852" s="19"/>
      <c r="J852" s="7" t="s">
        <v>52</v>
      </c>
      <c r="K852" s="16"/>
      <c r="L852" s="16"/>
      <c r="M852" s="16"/>
      <c r="N852" s="16"/>
      <c r="O852" s="16"/>
      <c r="P852" s="16"/>
      <c r="Q852" s="16"/>
      <c r="R852" s="16"/>
      <c r="S852" s="16"/>
      <c r="T852" s="16"/>
    </row>
    <row r="853" spans="1:20" x14ac:dyDescent="0.2">
      <c r="A853">
        <v>965</v>
      </c>
      <c r="B853" s="8">
        <v>46221</v>
      </c>
      <c r="C853" s="9">
        <v>0.45578703703703705</v>
      </c>
      <c r="D853" s="7" t="s">
        <v>24</v>
      </c>
      <c r="E853" s="13" t="s">
        <v>37</v>
      </c>
      <c r="F853" s="16">
        <v>71.3964395</v>
      </c>
      <c r="G853" s="129">
        <v>2327.58</v>
      </c>
      <c r="H853" s="22">
        <v>0</v>
      </c>
      <c r="I853" s="19"/>
      <c r="J853" s="7" t="s">
        <v>52</v>
      </c>
      <c r="K853" s="16"/>
      <c r="L853" s="16"/>
      <c r="M853" s="16"/>
      <c r="N853" s="16"/>
      <c r="O853" s="16"/>
      <c r="P853" s="16"/>
      <c r="Q853" s="16"/>
      <c r="R853" s="16"/>
      <c r="S853" s="16"/>
      <c r="T853" s="16"/>
    </row>
    <row r="854" spans="1:20" x14ac:dyDescent="0.2">
      <c r="A854">
        <v>966</v>
      </c>
      <c r="B854" s="8">
        <v>46221</v>
      </c>
      <c r="C854" s="9">
        <v>0.45599537037037036</v>
      </c>
      <c r="D854" s="7" t="s">
        <v>24</v>
      </c>
      <c r="E854" s="13" t="s">
        <v>33</v>
      </c>
      <c r="F854" s="16">
        <v>81.114998999999997</v>
      </c>
      <c r="G854" s="129">
        <v>1053.4597200000001</v>
      </c>
      <c r="H854" s="22">
        <v>0</v>
      </c>
      <c r="I854" s="19"/>
      <c r="J854" s="7" t="s">
        <v>52</v>
      </c>
      <c r="K854" s="16"/>
      <c r="L854" s="16"/>
      <c r="M854" s="16"/>
      <c r="N854" s="16"/>
      <c r="O854" s="16"/>
      <c r="P854" s="16"/>
      <c r="Q854" s="16"/>
      <c r="R854" s="16"/>
      <c r="S854" s="16"/>
      <c r="T854" s="16"/>
    </row>
    <row r="855" spans="1:20" x14ac:dyDescent="0.2">
      <c r="A855">
        <v>967</v>
      </c>
      <c r="B855" s="8">
        <v>46221</v>
      </c>
      <c r="C855" s="9">
        <v>0.45620370370370372</v>
      </c>
      <c r="D855" s="7" t="s">
        <v>24</v>
      </c>
      <c r="E855" s="13" t="s">
        <v>33</v>
      </c>
      <c r="F855" s="16">
        <v>80.924434899999994</v>
      </c>
      <c r="G855" s="129">
        <v>1070.73279</v>
      </c>
      <c r="H855" s="22">
        <v>1</v>
      </c>
      <c r="I855" s="19"/>
      <c r="J855" s="7" t="s">
        <v>52</v>
      </c>
      <c r="K855" s="16"/>
      <c r="L855" s="16"/>
      <c r="M855" s="16"/>
      <c r="N855" s="16"/>
      <c r="O855" s="16"/>
      <c r="P855" s="16"/>
      <c r="Q855" s="16"/>
      <c r="R855" s="16"/>
      <c r="S855" s="16"/>
      <c r="T855" s="16"/>
    </row>
    <row r="856" spans="1:20" x14ac:dyDescent="0.2">
      <c r="A856">
        <v>968</v>
      </c>
      <c r="B856" s="8">
        <v>46221</v>
      </c>
      <c r="C856" s="9">
        <v>0.45640046296296294</v>
      </c>
      <c r="D856" s="7" t="s">
        <v>24</v>
      </c>
      <c r="E856" s="13" t="s">
        <v>33</v>
      </c>
      <c r="F856" s="16">
        <v>82.2583585</v>
      </c>
      <c r="G856" s="129">
        <v>2167.27783</v>
      </c>
      <c r="H856" s="22">
        <v>0</v>
      </c>
      <c r="I856" s="19"/>
      <c r="J856" s="7" t="s">
        <v>52</v>
      </c>
      <c r="K856" s="16"/>
      <c r="L856" s="16"/>
      <c r="M856" s="16"/>
      <c r="N856" s="16"/>
      <c r="O856" s="16"/>
      <c r="P856" s="16"/>
      <c r="Q856" s="16"/>
      <c r="R856" s="16"/>
      <c r="S856" s="16"/>
      <c r="T856" s="16"/>
    </row>
    <row r="857" spans="1:20" x14ac:dyDescent="0.2">
      <c r="A857">
        <v>969</v>
      </c>
      <c r="B857" s="8">
        <v>46221</v>
      </c>
      <c r="C857" s="9">
        <v>0.45673611111111112</v>
      </c>
      <c r="D857" s="7" t="s">
        <v>24</v>
      </c>
      <c r="E857" s="13" t="s">
        <v>37</v>
      </c>
      <c r="F857" s="16">
        <v>73.667278100000004</v>
      </c>
      <c r="G857" s="129">
        <v>2326.96</v>
      </c>
      <c r="H857" s="22">
        <v>0</v>
      </c>
      <c r="I857" s="19" t="s">
        <v>48</v>
      </c>
      <c r="J857" s="7" t="s">
        <v>52</v>
      </c>
      <c r="K857" s="16"/>
      <c r="L857" s="16"/>
      <c r="M857" s="16"/>
      <c r="N857" s="16"/>
      <c r="O857" s="16"/>
      <c r="P857" s="16"/>
      <c r="Q857" s="16"/>
      <c r="R857" s="16"/>
      <c r="S857" s="16"/>
      <c r="T857" s="16"/>
    </row>
    <row r="858" spans="1:20" x14ac:dyDescent="0.2">
      <c r="A858">
        <v>970</v>
      </c>
      <c r="B858" s="8">
        <v>46221</v>
      </c>
      <c r="C858" s="9">
        <v>0.45693287037037039</v>
      </c>
      <c r="D858" s="7" t="s">
        <v>24</v>
      </c>
      <c r="E858" s="13" t="s">
        <v>33</v>
      </c>
      <c r="F858" s="16">
        <v>82.957076700000002</v>
      </c>
      <c r="G858" s="129">
        <v>2155.3081099999999</v>
      </c>
      <c r="H858" s="22">
        <v>1</v>
      </c>
      <c r="I858" s="19" t="s">
        <v>39</v>
      </c>
      <c r="J858" s="7" t="s">
        <v>52</v>
      </c>
      <c r="K858" s="16"/>
      <c r="L858" s="16"/>
      <c r="M858" s="16"/>
      <c r="N858" s="16">
        <v>54.8620065</v>
      </c>
      <c r="O858" s="16"/>
      <c r="P858" s="16"/>
      <c r="Q858" s="16"/>
      <c r="R858" s="16"/>
      <c r="S858" s="16"/>
      <c r="T858" s="16"/>
    </row>
    <row r="859" spans="1:20" x14ac:dyDescent="0.2">
      <c r="A859">
        <v>1380</v>
      </c>
      <c r="B859" s="1">
        <v>46228</v>
      </c>
      <c r="C859" s="2">
        <v>0.50134259259259262</v>
      </c>
      <c r="D859" t="s">
        <v>25</v>
      </c>
      <c r="E859" s="10" t="s">
        <v>37</v>
      </c>
      <c r="F859" s="11">
        <v>76.605074106999993</v>
      </c>
      <c r="G859" s="4">
        <v>1992.3472899999999</v>
      </c>
      <c r="H859" s="20">
        <v>0</v>
      </c>
      <c r="J859" t="s">
        <v>199</v>
      </c>
      <c r="T859" s="14"/>
    </row>
    <row r="860" spans="1:20" x14ac:dyDescent="0.2">
      <c r="A860">
        <v>1381</v>
      </c>
      <c r="B860" s="1">
        <v>46228</v>
      </c>
      <c r="C860" s="2">
        <v>0.50150462962962961</v>
      </c>
      <c r="D860" t="s">
        <v>25</v>
      </c>
      <c r="E860" s="10" t="s">
        <v>33</v>
      </c>
      <c r="F860" s="11">
        <v>87.085873337999999</v>
      </c>
      <c r="G860" s="4">
        <v>1667.01404</v>
      </c>
      <c r="H860" s="20">
        <v>1</v>
      </c>
      <c r="J860" t="s">
        <v>199</v>
      </c>
      <c r="T860" s="14"/>
    </row>
    <row r="861" spans="1:20" x14ac:dyDescent="0.2">
      <c r="A861">
        <v>1382</v>
      </c>
      <c r="B861" s="1">
        <v>46228</v>
      </c>
      <c r="C861" s="2">
        <v>0.50168981481481478</v>
      </c>
      <c r="D861" t="s">
        <v>25</v>
      </c>
      <c r="E861" s="10" t="s">
        <v>33</v>
      </c>
      <c r="F861" s="11">
        <v>86.355394282000006</v>
      </c>
      <c r="G861" s="4">
        <v>1879.7724599999999</v>
      </c>
      <c r="H861" s="20">
        <v>1</v>
      </c>
      <c r="J861" t="s">
        <v>199</v>
      </c>
      <c r="T861" s="14"/>
    </row>
    <row r="862" spans="1:20" x14ac:dyDescent="0.2">
      <c r="A862">
        <v>1383</v>
      </c>
      <c r="B862" s="1">
        <v>46228</v>
      </c>
      <c r="C862" s="2">
        <v>0.50187499999999996</v>
      </c>
      <c r="D862" t="s">
        <v>25</v>
      </c>
      <c r="E862" s="10" t="s">
        <v>37</v>
      </c>
      <c r="F862" s="11">
        <v>76.795638237999995</v>
      </c>
      <c r="G862" s="4">
        <v>1623.3819599999999</v>
      </c>
      <c r="H862" s="20">
        <v>0</v>
      </c>
      <c r="J862" t="s">
        <v>199</v>
      </c>
      <c r="T862" s="14"/>
    </row>
    <row r="863" spans="1:20" x14ac:dyDescent="0.2">
      <c r="A863">
        <v>1384</v>
      </c>
      <c r="B863" s="1">
        <v>46228</v>
      </c>
      <c r="C863" s="2">
        <v>0.50219907407407405</v>
      </c>
      <c r="D863" t="s">
        <v>25</v>
      </c>
      <c r="E863" s="10" t="s">
        <v>33</v>
      </c>
      <c r="F863" s="11">
        <v>88.102189866000003</v>
      </c>
      <c r="G863" s="4">
        <v>2024.00317</v>
      </c>
      <c r="H863" s="20">
        <v>1</v>
      </c>
      <c r="I863" s="17" t="s">
        <v>42</v>
      </c>
      <c r="J863" t="s">
        <v>199</v>
      </c>
      <c r="T863" s="14"/>
    </row>
    <row r="864" spans="1:20" x14ac:dyDescent="0.2">
      <c r="A864">
        <v>1385</v>
      </c>
      <c r="B864" s="1">
        <v>46228</v>
      </c>
      <c r="C864" s="2">
        <v>0.50246527777777783</v>
      </c>
      <c r="D864" t="s">
        <v>25</v>
      </c>
      <c r="E864" s="10" t="s">
        <v>33</v>
      </c>
      <c r="F864" s="11">
        <v>87.324069889</v>
      </c>
      <c r="G864" s="4">
        <v>1931.7351100000001</v>
      </c>
      <c r="H864" s="20">
        <v>1</v>
      </c>
      <c r="I864" s="17" t="s">
        <v>40</v>
      </c>
      <c r="J864" t="s">
        <v>199</v>
      </c>
      <c r="K864" s="11">
        <v>84.531355954999995</v>
      </c>
      <c r="L864" s="11">
        <v>-11.635043100000001</v>
      </c>
      <c r="M864" s="11">
        <v>0.408875614</v>
      </c>
      <c r="N864" s="11">
        <v>61.487448127999997</v>
      </c>
      <c r="O864" s="11">
        <v>2346.92139</v>
      </c>
      <c r="P864" s="11">
        <v>12</v>
      </c>
      <c r="Q864" s="11">
        <v>1.3747742199999999</v>
      </c>
      <c r="R864" s="11">
        <v>1.6656234299999999</v>
      </c>
      <c r="S864" s="11">
        <v>102.4149316</v>
      </c>
      <c r="T864" s="14">
        <v>0.82538116500000003</v>
      </c>
    </row>
    <row r="865" spans="1:20" x14ac:dyDescent="0.2">
      <c r="A865">
        <v>11</v>
      </c>
      <c r="B865" s="1">
        <v>46193</v>
      </c>
      <c r="C865" s="2">
        <v>0.80109953703703707</v>
      </c>
      <c r="D865" t="s">
        <v>18</v>
      </c>
      <c r="E865" s="10" t="s">
        <v>33</v>
      </c>
      <c r="F865" s="11">
        <v>84.735632950999999</v>
      </c>
      <c r="G865" s="4">
        <v>2150.64</v>
      </c>
      <c r="H865" s="20">
        <v>0</v>
      </c>
      <c r="J865" t="s">
        <v>23</v>
      </c>
    </row>
    <row r="866" spans="1:20" x14ac:dyDescent="0.2">
      <c r="A866">
        <v>12</v>
      </c>
      <c r="B866" s="1">
        <v>46193</v>
      </c>
      <c r="C866" s="2">
        <v>0.80137731481481478</v>
      </c>
      <c r="D866" t="s">
        <v>18</v>
      </c>
      <c r="E866" s="10" t="s">
        <v>33</v>
      </c>
      <c r="F866" s="11">
        <v>81.559631664999998</v>
      </c>
      <c r="G866" s="4">
        <v>2143.5754400000001</v>
      </c>
      <c r="H866" s="20">
        <v>0</v>
      </c>
      <c r="J866" t="s">
        <v>23</v>
      </c>
    </row>
    <row r="867" spans="1:20" x14ac:dyDescent="0.2">
      <c r="A867">
        <v>13</v>
      </c>
      <c r="B867" s="1">
        <v>46193</v>
      </c>
      <c r="C867" s="2">
        <v>0.80170138888888887</v>
      </c>
      <c r="D867" t="s">
        <v>18</v>
      </c>
      <c r="E867" s="10" t="s">
        <v>33</v>
      </c>
      <c r="F867" s="11">
        <v>86.577710600000003</v>
      </c>
      <c r="G867" s="4">
        <v>2234.8813500000001</v>
      </c>
      <c r="H867" s="20">
        <v>0</v>
      </c>
      <c r="I867" s="17" t="s">
        <v>41</v>
      </c>
      <c r="J867" t="s">
        <v>23</v>
      </c>
    </row>
    <row r="868" spans="1:20" x14ac:dyDescent="0.2">
      <c r="A868">
        <v>42</v>
      </c>
      <c r="B868" s="1">
        <v>46193</v>
      </c>
      <c r="C868" s="2">
        <v>0.81462962962962959</v>
      </c>
      <c r="D868" t="s">
        <v>18</v>
      </c>
      <c r="E868" s="10" t="s">
        <v>37</v>
      </c>
      <c r="F868" s="11">
        <v>75.826954130000004</v>
      </c>
      <c r="G868" s="4">
        <v>1762.8067599999999</v>
      </c>
      <c r="I868" s="17" t="s">
        <v>43</v>
      </c>
      <c r="J868" t="s">
        <v>23</v>
      </c>
    </row>
    <row r="869" spans="1:20" x14ac:dyDescent="0.2">
      <c r="A869">
        <v>43</v>
      </c>
      <c r="B869" s="1">
        <v>46193</v>
      </c>
      <c r="C869" s="2">
        <v>0.8147106481481482</v>
      </c>
      <c r="D869" t="s">
        <v>18</v>
      </c>
      <c r="E869" s="10" t="s">
        <v>33</v>
      </c>
      <c r="F869" s="11">
        <v>80.924434898000001</v>
      </c>
      <c r="G869" s="4">
        <v>2086.11987</v>
      </c>
      <c r="I869" s="17" t="s">
        <v>41</v>
      </c>
      <c r="J869" t="s">
        <v>23</v>
      </c>
    </row>
    <row r="870" spans="1:20" x14ac:dyDescent="0.2">
      <c r="A870">
        <v>44</v>
      </c>
      <c r="B870" s="1">
        <v>46193</v>
      </c>
      <c r="C870" s="2">
        <v>0.81487268518518519</v>
      </c>
      <c r="D870" t="s">
        <v>18</v>
      </c>
      <c r="E870" s="10" t="s">
        <v>33</v>
      </c>
      <c r="F870" s="11">
        <v>81.686674418999999</v>
      </c>
      <c r="G870" s="4">
        <v>2215.70532</v>
      </c>
      <c r="I870" s="17" t="s">
        <v>43</v>
      </c>
      <c r="J870" t="s">
        <v>23</v>
      </c>
    </row>
    <row r="871" spans="1:20" x14ac:dyDescent="0.2">
      <c r="A871">
        <v>45</v>
      </c>
      <c r="B871" s="1">
        <v>46193</v>
      </c>
      <c r="C871" s="2">
        <v>0.81530092592592596</v>
      </c>
      <c r="D871" t="s">
        <v>18</v>
      </c>
      <c r="E871" s="10" t="s">
        <v>36</v>
      </c>
      <c r="F871" s="11">
        <v>77.240281612000004</v>
      </c>
      <c r="G871" s="4">
        <v>1373.30078</v>
      </c>
      <c r="I871" s="17" t="s">
        <v>43</v>
      </c>
      <c r="J871" t="s">
        <v>23</v>
      </c>
    </row>
    <row r="872" spans="1:20" x14ac:dyDescent="0.2">
      <c r="A872">
        <v>46</v>
      </c>
      <c r="B872" s="1">
        <v>46193</v>
      </c>
      <c r="C872" s="2">
        <v>0.8153125</v>
      </c>
      <c r="D872" t="s">
        <v>18</v>
      </c>
      <c r="E872" s="10" t="s">
        <v>36</v>
      </c>
      <c r="F872" s="11">
        <v>79.908118146000007</v>
      </c>
      <c r="G872" s="4">
        <v>1991.73621</v>
      </c>
      <c r="J872" t="s">
        <v>23</v>
      </c>
    </row>
    <row r="873" spans="1:20" x14ac:dyDescent="0.2">
      <c r="A873">
        <v>47</v>
      </c>
      <c r="B873" s="1">
        <v>46193</v>
      </c>
      <c r="C873" s="2">
        <v>0.8153125</v>
      </c>
      <c r="D873" t="s">
        <v>18</v>
      </c>
      <c r="E873" s="10" t="s">
        <v>37</v>
      </c>
      <c r="F873" s="11">
        <v>70.824759678000007</v>
      </c>
      <c r="G873" s="4">
        <v>2272.6831099999999</v>
      </c>
      <c r="I873" s="17" t="s">
        <v>43</v>
      </c>
      <c r="J873" t="s">
        <v>23</v>
      </c>
    </row>
    <row r="874" spans="1:20" x14ac:dyDescent="0.2">
      <c r="A874">
        <v>48</v>
      </c>
      <c r="B874" s="1">
        <v>46193</v>
      </c>
      <c r="C874" s="2">
        <v>0.81557870370370367</v>
      </c>
      <c r="D874" t="s">
        <v>18</v>
      </c>
      <c r="E874" s="10" t="s">
        <v>36</v>
      </c>
      <c r="F874" s="11">
        <v>79.463477009000002</v>
      </c>
      <c r="G874" s="4">
        <v>2059.9448200000002</v>
      </c>
      <c r="I874" s="17" t="s">
        <v>43</v>
      </c>
      <c r="J874" t="s">
        <v>23</v>
      </c>
    </row>
    <row r="875" spans="1:20" x14ac:dyDescent="0.2">
      <c r="A875">
        <v>49</v>
      </c>
      <c r="B875" s="1">
        <v>46193</v>
      </c>
      <c r="C875" s="2">
        <v>0.81575231481481481</v>
      </c>
      <c r="D875" t="s">
        <v>18</v>
      </c>
      <c r="E875" s="10" t="s">
        <v>37</v>
      </c>
      <c r="F875" s="11">
        <v>68.093404003000003</v>
      </c>
      <c r="G875" s="4">
        <v>1092.8313000000001</v>
      </c>
      <c r="I875" s="17" t="s">
        <v>43</v>
      </c>
      <c r="J875" t="s">
        <v>23</v>
      </c>
    </row>
    <row r="876" spans="1:20" x14ac:dyDescent="0.2">
      <c r="A876">
        <v>50</v>
      </c>
      <c r="B876" s="1">
        <v>46193</v>
      </c>
      <c r="C876" s="2">
        <v>0.81620370370370365</v>
      </c>
      <c r="D876" t="s">
        <v>18</v>
      </c>
      <c r="E876" s="10" t="s">
        <v>37</v>
      </c>
      <c r="F876" s="11">
        <v>74.635962203999995</v>
      </c>
      <c r="G876" s="4">
        <v>1908.45508</v>
      </c>
      <c r="I876" s="17" t="s">
        <v>43</v>
      </c>
      <c r="J876" t="s">
        <v>23</v>
      </c>
    </row>
    <row r="877" spans="1:20" x14ac:dyDescent="0.2">
      <c r="A877">
        <v>51</v>
      </c>
      <c r="B877" s="1">
        <v>46193</v>
      </c>
      <c r="C877" s="2">
        <v>0.81620370370370365</v>
      </c>
      <c r="D877" t="s">
        <v>18</v>
      </c>
      <c r="E877" s="10" t="s">
        <v>37</v>
      </c>
      <c r="F877" s="11">
        <v>73.349679713</v>
      </c>
      <c r="G877" s="4">
        <v>1872.8709699999999</v>
      </c>
      <c r="I877" s="17" t="s">
        <v>40</v>
      </c>
      <c r="J877" t="s">
        <v>23</v>
      </c>
    </row>
    <row r="878" spans="1:20" x14ac:dyDescent="0.2">
      <c r="A878">
        <v>122</v>
      </c>
      <c r="B878" s="1">
        <v>46193</v>
      </c>
      <c r="C878" s="2">
        <v>0.85508101851851848</v>
      </c>
      <c r="D878" t="s">
        <v>34</v>
      </c>
      <c r="E878" s="10" t="s">
        <v>49</v>
      </c>
      <c r="F878" s="11">
        <v>72.603320424000003</v>
      </c>
      <c r="G878" s="4">
        <v>2119.3542499999999</v>
      </c>
      <c r="H878" s="20">
        <v>1</v>
      </c>
      <c r="J878" t="s">
        <v>23</v>
      </c>
    </row>
    <row r="879" spans="1:20" x14ac:dyDescent="0.2">
      <c r="A879">
        <v>123</v>
      </c>
      <c r="B879" s="1">
        <v>46193</v>
      </c>
      <c r="C879" s="2">
        <v>0.85525462962962961</v>
      </c>
      <c r="D879" t="s">
        <v>34</v>
      </c>
      <c r="E879" s="10" t="s">
        <v>33</v>
      </c>
      <c r="F879" s="11">
        <v>82.067794402999994</v>
      </c>
      <c r="G879" s="4">
        <v>2045.5310099999999</v>
      </c>
      <c r="H879" s="20">
        <v>0</v>
      </c>
      <c r="J879" t="s">
        <v>23</v>
      </c>
    </row>
    <row r="880" spans="1:20" x14ac:dyDescent="0.2">
      <c r="A880">
        <v>124</v>
      </c>
      <c r="B880" s="1">
        <v>46193</v>
      </c>
      <c r="C880" s="2">
        <v>0.85546296296296298</v>
      </c>
      <c r="D880" t="s">
        <v>34</v>
      </c>
      <c r="E880" s="10" t="s">
        <v>33</v>
      </c>
      <c r="F880" s="11">
        <v>83.782837799999996</v>
      </c>
      <c r="G880" s="4">
        <v>2135.6008299999999</v>
      </c>
      <c r="H880" s="20">
        <v>1</v>
      </c>
      <c r="I880" s="17" t="s">
        <v>40</v>
      </c>
      <c r="J880" t="s">
        <v>23</v>
      </c>
      <c r="K880" s="11">
        <v>83.771239957999995</v>
      </c>
      <c r="L880" s="11">
        <v>1.0285658799999999</v>
      </c>
      <c r="M880" s="11">
        <v>23.482097599999999</v>
      </c>
      <c r="N880" s="11">
        <v>72.713049292999997</v>
      </c>
      <c r="O880" s="11">
        <v>3079.2358399999998</v>
      </c>
      <c r="P880" s="11">
        <v>70</v>
      </c>
      <c r="Q880" s="11">
        <v>1.1520799399999999</v>
      </c>
      <c r="R880" s="11">
        <v>1.47506213</v>
      </c>
      <c r="S880" s="11">
        <v>107.256261721</v>
      </c>
      <c r="T880" s="11">
        <v>0.78103820799999901</v>
      </c>
    </row>
    <row r="881" spans="1:20" x14ac:dyDescent="0.2">
      <c r="A881">
        <v>221</v>
      </c>
      <c r="B881" s="1">
        <v>46197</v>
      </c>
      <c r="C881" s="2">
        <v>0.58983796296296298</v>
      </c>
      <c r="D881" t="s">
        <v>28</v>
      </c>
      <c r="E881" s="10" t="s">
        <v>33</v>
      </c>
      <c r="F881" s="11">
        <v>79.606400218999994</v>
      </c>
      <c r="G881" s="4">
        <v>2069.1145000000001</v>
      </c>
      <c r="H881" s="20">
        <v>1</v>
      </c>
      <c r="I881" s="17" t="s">
        <v>40</v>
      </c>
      <c r="J881" t="s">
        <v>23</v>
      </c>
      <c r="K881" s="11">
        <v>87.925185146999993</v>
      </c>
      <c r="L881" s="11">
        <v>-12.5700941</v>
      </c>
      <c r="M881" s="11">
        <v>-22.189109800000001</v>
      </c>
      <c r="N881" s="11">
        <v>62.092676216999998</v>
      </c>
      <c r="P881" s="11">
        <v>16</v>
      </c>
      <c r="Q881" s="11">
        <v>1.41603148</v>
      </c>
      <c r="R881" s="11">
        <v>1.5085760399999999</v>
      </c>
      <c r="S881" s="11">
        <v>93.671524321999996</v>
      </c>
      <c r="T881" s="11">
        <v>0.938654404</v>
      </c>
    </row>
    <row r="882" spans="1:20" x14ac:dyDescent="0.2">
      <c r="A882">
        <v>260</v>
      </c>
      <c r="B882" s="1">
        <v>46197</v>
      </c>
      <c r="C882" s="2">
        <v>0.60273148148148148</v>
      </c>
      <c r="D882" t="s">
        <v>25</v>
      </c>
      <c r="E882" s="10" t="s">
        <v>33</v>
      </c>
      <c r="F882" s="11">
        <v>84.672111573999999</v>
      </c>
      <c r="G882" s="4">
        <v>2076.7690400000001</v>
      </c>
      <c r="H882" s="20">
        <v>0</v>
      </c>
      <c r="J882" t="s">
        <v>23</v>
      </c>
    </row>
    <row r="883" spans="1:20" x14ac:dyDescent="0.2">
      <c r="A883">
        <v>261</v>
      </c>
      <c r="B883" s="1">
        <v>46197</v>
      </c>
      <c r="C883" s="2">
        <v>0.60293981481481485</v>
      </c>
      <c r="D883" t="s">
        <v>25</v>
      </c>
      <c r="E883" s="10" t="s">
        <v>33</v>
      </c>
      <c r="F883" s="11">
        <v>84.926197080999998</v>
      </c>
      <c r="G883" s="4">
        <v>2189.9245599999999</v>
      </c>
      <c r="H883" s="20">
        <v>1</v>
      </c>
      <c r="I883" s="17" t="s">
        <v>40</v>
      </c>
      <c r="J883" t="s">
        <v>23</v>
      </c>
      <c r="N883" s="11">
        <v>63.947028828999997</v>
      </c>
    </row>
    <row r="884" spans="1:20" x14ac:dyDescent="0.2">
      <c r="A884">
        <v>339</v>
      </c>
      <c r="B884" s="8">
        <v>46200</v>
      </c>
      <c r="C884" s="9">
        <v>0.7474305555555556</v>
      </c>
      <c r="D884" s="7" t="s">
        <v>21</v>
      </c>
      <c r="E884" s="13" t="s">
        <v>33</v>
      </c>
      <c r="F884" s="16">
        <v>83.846350700000002</v>
      </c>
      <c r="G884" s="129">
        <v>2139.20435</v>
      </c>
      <c r="H884" s="22">
        <v>1</v>
      </c>
      <c r="I884" s="19" t="s">
        <v>38</v>
      </c>
      <c r="J884" s="7" t="s">
        <v>23</v>
      </c>
      <c r="K884" s="16"/>
      <c r="L884" s="16"/>
      <c r="M884" s="16"/>
      <c r="N884" s="16">
        <v>60.182132199999998</v>
      </c>
      <c r="O884" s="16"/>
      <c r="P884" s="16"/>
      <c r="Q884" s="16"/>
      <c r="R884" s="16"/>
      <c r="S884" s="16"/>
      <c r="T884" s="16"/>
    </row>
    <row r="885" spans="1:20" x14ac:dyDescent="0.2">
      <c r="A885">
        <v>340</v>
      </c>
      <c r="B885" s="8">
        <v>46200</v>
      </c>
      <c r="C885" s="9">
        <v>0.74768518518518523</v>
      </c>
      <c r="D885" s="7" t="s">
        <v>21</v>
      </c>
      <c r="E885" s="13" t="s">
        <v>37</v>
      </c>
      <c r="F885" s="16">
        <v>74.826517800000005</v>
      </c>
      <c r="G885" s="129">
        <v>425.22851600000001</v>
      </c>
      <c r="H885" s="22">
        <v>1</v>
      </c>
      <c r="I885" s="19" t="s">
        <v>39</v>
      </c>
      <c r="J885" s="7" t="s">
        <v>23</v>
      </c>
      <c r="K885" s="16"/>
      <c r="L885" s="16"/>
      <c r="M885" s="16"/>
      <c r="N885" s="16">
        <v>41.357656599999999</v>
      </c>
      <c r="O885" s="16"/>
      <c r="P885" s="16"/>
      <c r="Q885" s="16"/>
      <c r="R885" s="16"/>
      <c r="S885" s="16"/>
      <c r="T885" s="16"/>
    </row>
    <row r="886" spans="1:20" x14ac:dyDescent="0.2">
      <c r="A886">
        <v>341</v>
      </c>
      <c r="B886" s="8">
        <v>46200</v>
      </c>
      <c r="C886" s="9">
        <v>0.74789351851851849</v>
      </c>
      <c r="D886" s="7" t="s">
        <v>21</v>
      </c>
      <c r="E886" s="13" t="s">
        <v>37</v>
      </c>
      <c r="F886" s="16">
        <v>72.603320400000001</v>
      </c>
      <c r="G886" s="129">
        <v>2266.43091</v>
      </c>
      <c r="H886" s="22">
        <v>1</v>
      </c>
      <c r="I886" s="19" t="s">
        <v>45</v>
      </c>
      <c r="J886" s="7" t="s">
        <v>23</v>
      </c>
      <c r="K886" s="16"/>
      <c r="L886" s="16"/>
      <c r="M886" s="16"/>
      <c r="N886" s="16">
        <v>55.181004299999998</v>
      </c>
      <c r="O886" s="16"/>
      <c r="P886" s="16"/>
      <c r="Q886" s="16"/>
      <c r="R886" s="16"/>
      <c r="S886" s="16"/>
      <c r="T886" s="16"/>
    </row>
    <row r="887" spans="1:20" x14ac:dyDescent="0.2">
      <c r="A887">
        <v>375</v>
      </c>
      <c r="B887" s="8">
        <v>46200</v>
      </c>
      <c r="C887" s="9">
        <v>0.75962962962962965</v>
      </c>
      <c r="D887" s="7" t="s">
        <v>21</v>
      </c>
      <c r="E887" s="13" t="s">
        <v>46</v>
      </c>
      <c r="F887" s="16">
        <v>72.412756099999996</v>
      </c>
      <c r="G887" s="129">
        <v>476.379211</v>
      </c>
      <c r="H887" s="22">
        <v>1</v>
      </c>
      <c r="I887" s="19"/>
      <c r="J887" s="7" t="s">
        <v>23</v>
      </c>
      <c r="K887" s="16"/>
      <c r="L887" s="16"/>
      <c r="M887" s="16"/>
      <c r="N887" s="16"/>
      <c r="O887" s="16"/>
      <c r="P887" s="16"/>
      <c r="Q887" s="16"/>
      <c r="R887" s="16"/>
      <c r="S887" s="16"/>
      <c r="T887" s="16"/>
    </row>
    <row r="888" spans="1:20" x14ac:dyDescent="0.2">
      <c r="A888">
        <v>376</v>
      </c>
      <c r="B888" s="8">
        <v>46200</v>
      </c>
      <c r="C888" s="9">
        <v>0.75982638888888887</v>
      </c>
      <c r="D888" s="7" t="s">
        <v>21</v>
      </c>
      <c r="E888" s="13" t="s">
        <v>37</v>
      </c>
      <c r="F888" s="16">
        <v>74.874159000000006</v>
      </c>
      <c r="G888" s="129">
        <v>2258.3474099999999</v>
      </c>
      <c r="H888" s="22">
        <v>0</v>
      </c>
      <c r="I888" s="19"/>
      <c r="J888" s="7" t="s">
        <v>23</v>
      </c>
      <c r="K888" s="16"/>
      <c r="L888" s="16"/>
      <c r="M888" s="16"/>
      <c r="N888" s="16"/>
      <c r="O888" s="16"/>
      <c r="P888" s="16"/>
      <c r="Q888" s="16"/>
      <c r="R888" s="16"/>
      <c r="S888" s="16"/>
      <c r="T888" s="16"/>
    </row>
    <row r="889" spans="1:20" x14ac:dyDescent="0.2">
      <c r="A889">
        <v>377</v>
      </c>
      <c r="B889" s="8">
        <v>46200</v>
      </c>
      <c r="C889" s="9">
        <v>0.76003472222222224</v>
      </c>
      <c r="D889" s="7" t="s">
        <v>21</v>
      </c>
      <c r="E889" s="13" t="s">
        <v>33</v>
      </c>
      <c r="F889" s="16">
        <v>83.766957300000001</v>
      </c>
      <c r="G889" s="129">
        <v>2154.4187000000002</v>
      </c>
      <c r="H889" s="22">
        <v>1</v>
      </c>
      <c r="I889" s="19" t="s">
        <v>38</v>
      </c>
      <c r="J889" s="7" t="s">
        <v>23</v>
      </c>
      <c r="K889" s="16"/>
      <c r="L889" s="16"/>
      <c r="M889" s="16"/>
      <c r="N889" s="16">
        <v>63.694163600000003</v>
      </c>
      <c r="O889" s="16"/>
      <c r="P889" s="16"/>
      <c r="Q889" s="16"/>
      <c r="R889" s="16"/>
      <c r="S889" s="16"/>
      <c r="T889" s="16"/>
    </row>
    <row r="890" spans="1:20" x14ac:dyDescent="0.2">
      <c r="A890">
        <v>378</v>
      </c>
      <c r="B890" s="8">
        <v>46200</v>
      </c>
      <c r="C890" s="9">
        <v>0.76030092592592591</v>
      </c>
      <c r="D890" s="7" t="s">
        <v>21</v>
      </c>
      <c r="E890" s="13" t="s">
        <v>46</v>
      </c>
      <c r="F890" s="16">
        <v>72.476279000000005</v>
      </c>
      <c r="G890" s="129">
        <v>456.13092</v>
      </c>
      <c r="H890" s="22">
        <v>1</v>
      </c>
      <c r="I890" s="19" t="s">
        <v>40</v>
      </c>
      <c r="J890" s="7" t="s">
        <v>23</v>
      </c>
      <c r="K890" s="16">
        <v>86.379833500000004</v>
      </c>
      <c r="L890" s="16">
        <v>25.0311165</v>
      </c>
      <c r="M890" s="16">
        <v>6.7649469399999997</v>
      </c>
      <c r="N890" s="16">
        <v>60.519288799999998</v>
      </c>
      <c r="O890" s="16">
        <v>3149.53613</v>
      </c>
      <c r="P890" s="16">
        <v>273</v>
      </c>
      <c r="Q890" s="16">
        <v>1.42731082</v>
      </c>
      <c r="R890" s="16">
        <v>1.4797238100000001</v>
      </c>
      <c r="S890" s="16">
        <v>89.551832700000006</v>
      </c>
      <c r="T890" s="16">
        <v>0.96457923999999995</v>
      </c>
    </row>
    <row r="891" spans="1:20" x14ac:dyDescent="0.2">
      <c r="A891">
        <v>405</v>
      </c>
      <c r="B891" s="8">
        <v>46200</v>
      </c>
      <c r="C891" s="9">
        <v>0.76981481481481484</v>
      </c>
      <c r="D891" s="7" t="s">
        <v>24</v>
      </c>
      <c r="E891" s="13" t="s">
        <v>35</v>
      </c>
      <c r="F891" s="16">
        <v>77.811954999999998</v>
      </c>
      <c r="G891" s="129">
        <v>1469.5424800000001</v>
      </c>
      <c r="H891" s="22">
        <v>0</v>
      </c>
      <c r="I891" s="19"/>
      <c r="J891" s="7" t="s">
        <v>23</v>
      </c>
      <c r="K891" s="16"/>
      <c r="L891" s="16"/>
      <c r="M891" s="16"/>
      <c r="N891" s="16"/>
      <c r="O891" s="16"/>
      <c r="P891" s="16"/>
      <c r="Q891" s="16"/>
      <c r="R891" s="16"/>
      <c r="S891" s="16"/>
      <c r="T891" s="16"/>
    </row>
    <row r="892" spans="1:20" x14ac:dyDescent="0.2">
      <c r="A892">
        <v>406</v>
      </c>
      <c r="B892" s="8">
        <v>46200</v>
      </c>
      <c r="C892" s="9">
        <v>0.77001157407407406</v>
      </c>
      <c r="D892" s="7" t="s">
        <v>24</v>
      </c>
      <c r="E892" s="13" t="s">
        <v>33</v>
      </c>
      <c r="F892" s="16">
        <v>83.719316399999997</v>
      </c>
      <c r="G892" s="129">
        <v>2197.09058</v>
      </c>
      <c r="H892" s="22">
        <v>0</v>
      </c>
      <c r="I892" s="19"/>
      <c r="J892" s="7" t="s">
        <v>23</v>
      </c>
      <c r="K892" s="16"/>
      <c r="L892" s="16"/>
      <c r="M892" s="16"/>
      <c r="N892" s="16"/>
      <c r="O892" s="16"/>
      <c r="P892" s="16"/>
      <c r="Q892" s="16"/>
      <c r="R892" s="16"/>
      <c r="S892" s="16"/>
      <c r="T892" s="16"/>
    </row>
    <row r="893" spans="1:20" x14ac:dyDescent="0.2">
      <c r="A893">
        <v>407</v>
      </c>
      <c r="B893" s="8">
        <v>46200</v>
      </c>
      <c r="C893" s="9">
        <v>0.77019675925925923</v>
      </c>
      <c r="D893" s="7" t="s">
        <v>24</v>
      </c>
      <c r="E893" s="13" t="s">
        <v>33</v>
      </c>
      <c r="F893" s="16">
        <v>83.084110899999999</v>
      </c>
      <c r="G893" s="129">
        <v>2147.9558099999999</v>
      </c>
      <c r="H893" s="22">
        <v>1</v>
      </c>
      <c r="I893" s="19"/>
      <c r="J893" s="7" t="s">
        <v>23</v>
      </c>
      <c r="K893" s="16"/>
      <c r="L893" s="16"/>
      <c r="M893" s="16"/>
      <c r="N893" s="16"/>
      <c r="O893" s="16"/>
      <c r="P893" s="16"/>
      <c r="Q893" s="16"/>
      <c r="R893" s="16"/>
      <c r="S893" s="16"/>
      <c r="T893" s="16"/>
    </row>
    <row r="894" spans="1:20" x14ac:dyDescent="0.2">
      <c r="A894">
        <v>408</v>
      </c>
      <c r="B894" s="8">
        <v>46200</v>
      </c>
      <c r="C894" s="9">
        <v>0.77057870370370374</v>
      </c>
      <c r="D894" s="7" t="s">
        <v>24</v>
      </c>
      <c r="E894" s="13" t="s">
        <v>49</v>
      </c>
      <c r="F894" s="16">
        <v>67.5217241</v>
      </c>
      <c r="G894" s="129">
        <v>1867.54736</v>
      </c>
      <c r="H894" s="22">
        <v>0</v>
      </c>
      <c r="I894" s="19"/>
      <c r="J894" s="7" t="s">
        <v>23</v>
      </c>
      <c r="K894" s="16"/>
      <c r="L894" s="16"/>
      <c r="M894" s="16"/>
      <c r="N894" s="16"/>
      <c r="O894" s="16"/>
      <c r="P894" s="16"/>
      <c r="Q894" s="16"/>
      <c r="R894" s="16"/>
      <c r="S894" s="16"/>
      <c r="T894" s="16"/>
    </row>
    <row r="895" spans="1:20" x14ac:dyDescent="0.2">
      <c r="A895">
        <v>409</v>
      </c>
      <c r="B895" s="8">
        <v>46200</v>
      </c>
      <c r="C895" s="9">
        <v>0.77076388888888892</v>
      </c>
      <c r="D895" s="7" t="s">
        <v>24</v>
      </c>
      <c r="E895" s="13" t="s">
        <v>33</v>
      </c>
      <c r="F895" s="16">
        <v>82.639478299999993</v>
      </c>
      <c r="G895" s="129">
        <v>2192.5537100000001</v>
      </c>
      <c r="H895" s="22">
        <v>1</v>
      </c>
      <c r="I895" s="19" t="s">
        <v>39</v>
      </c>
      <c r="J895" s="7" t="s">
        <v>23</v>
      </c>
      <c r="K895" s="16"/>
      <c r="L895" s="16"/>
      <c r="M895" s="16"/>
      <c r="N895" s="16">
        <v>58.552548999999999</v>
      </c>
      <c r="O895" s="16"/>
      <c r="P895" s="16"/>
      <c r="Q895" s="16"/>
      <c r="R895" s="16"/>
      <c r="S895" s="16"/>
      <c r="T895" s="16"/>
    </row>
    <row r="896" spans="1:20" x14ac:dyDescent="0.2">
      <c r="A896">
        <v>410</v>
      </c>
      <c r="B896" s="8">
        <v>46200</v>
      </c>
      <c r="C896" s="9">
        <v>0.77098379629629632</v>
      </c>
      <c r="D896" s="7" t="s">
        <v>24</v>
      </c>
      <c r="E896" s="13" t="s">
        <v>33</v>
      </c>
      <c r="F896" s="16">
        <v>85.243795700000007</v>
      </c>
      <c r="G896" s="129">
        <v>2326.3789099999999</v>
      </c>
      <c r="H896" s="22">
        <v>1</v>
      </c>
      <c r="I896" s="19" t="s">
        <v>45</v>
      </c>
      <c r="J896" s="7" t="s">
        <v>23</v>
      </c>
      <c r="K896" s="16"/>
      <c r="L896" s="16"/>
      <c r="M896" s="16"/>
      <c r="N896" s="16">
        <v>60.238323399999999</v>
      </c>
      <c r="O896" s="16"/>
      <c r="P896" s="16"/>
      <c r="Q896" s="16"/>
      <c r="R896" s="16"/>
      <c r="S896" s="16"/>
      <c r="T896" s="16"/>
    </row>
    <row r="897" spans="1:20" x14ac:dyDescent="0.2">
      <c r="A897">
        <v>494</v>
      </c>
      <c r="B897" s="8">
        <v>46203</v>
      </c>
      <c r="C897" s="9">
        <v>0.78561342592592598</v>
      </c>
      <c r="D897" s="7" t="s">
        <v>28</v>
      </c>
      <c r="E897" s="13" t="s">
        <v>37</v>
      </c>
      <c r="F897" s="16">
        <v>72.158679100000001</v>
      </c>
      <c r="G897" s="129">
        <v>2346.3220200000001</v>
      </c>
      <c r="H897" s="22">
        <v>0</v>
      </c>
      <c r="I897" s="19"/>
      <c r="J897" s="7" t="s">
        <v>23</v>
      </c>
      <c r="K897" s="16"/>
      <c r="L897" s="16"/>
      <c r="M897" s="16"/>
      <c r="N897" s="16"/>
      <c r="O897" s="16"/>
      <c r="P897" s="16"/>
      <c r="Q897" s="16"/>
      <c r="R897" s="16"/>
      <c r="S897" s="16"/>
      <c r="T897" s="16"/>
    </row>
    <row r="898" spans="1:20" x14ac:dyDescent="0.2">
      <c r="A898">
        <v>495</v>
      </c>
      <c r="B898" s="8">
        <v>46203</v>
      </c>
      <c r="C898" s="9">
        <v>0.78598379629629633</v>
      </c>
      <c r="D898" s="7" t="s">
        <v>28</v>
      </c>
      <c r="E898" s="13" t="s">
        <v>33</v>
      </c>
      <c r="F898" s="16">
        <v>76.033398700000006</v>
      </c>
      <c r="G898" s="129">
        <v>2119.5007300000002</v>
      </c>
      <c r="H898" s="22">
        <v>0</v>
      </c>
      <c r="I898" s="19" t="s">
        <v>41</v>
      </c>
      <c r="J898" s="7" t="s">
        <v>23</v>
      </c>
      <c r="K898" s="16"/>
      <c r="L898" s="16"/>
      <c r="M898" s="16"/>
      <c r="N898" s="16"/>
      <c r="O898" s="16"/>
      <c r="P898" s="16"/>
      <c r="Q898" s="16"/>
      <c r="R898" s="16"/>
      <c r="S898" s="16"/>
      <c r="T898" s="16"/>
    </row>
    <row r="899" spans="1:20" x14ac:dyDescent="0.2">
      <c r="A899">
        <v>496</v>
      </c>
      <c r="B899" s="8">
        <v>46203</v>
      </c>
      <c r="C899" s="9">
        <v>0.78643518518518518</v>
      </c>
      <c r="D899" s="7" t="s">
        <v>28</v>
      </c>
      <c r="E899" s="13" t="s">
        <v>33</v>
      </c>
      <c r="F899" s="16">
        <v>76.033398700000006</v>
      </c>
      <c r="G899" s="129">
        <v>1962.1671100000001</v>
      </c>
      <c r="H899" s="22">
        <v>1</v>
      </c>
      <c r="I899" s="19" t="s">
        <v>39</v>
      </c>
      <c r="J899" s="7" t="s">
        <v>23</v>
      </c>
      <c r="K899" s="16"/>
      <c r="L899" s="16"/>
      <c r="M899" s="16"/>
      <c r="N899" s="16">
        <v>56.136274200000003</v>
      </c>
      <c r="O899" s="16"/>
      <c r="P899" s="16"/>
      <c r="Q899" s="16"/>
      <c r="R899" s="16"/>
      <c r="S899" s="16"/>
      <c r="T899" s="16"/>
    </row>
    <row r="900" spans="1:20" x14ac:dyDescent="0.2">
      <c r="A900">
        <v>497</v>
      </c>
      <c r="B900" s="8">
        <v>46203</v>
      </c>
      <c r="C900" s="9">
        <v>0.78668981481481481</v>
      </c>
      <c r="D900" s="7" t="s">
        <v>28</v>
      </c>
      <c r="E900" s="13" t="s">
        <v>37</v>
      </c>
      <c r="F900" s="16">
        <v>72.476279000000005</v>
      </c>
      <c r="G900" s="129">
        <v>808.32318099999998</v>
      </c>
      <c r="H900" s="22">
        <v>0</v>
      </c>
      <c r="I900" s="19"/>
      <c r="J900" s="7" t="s">
        <v>23</v>
      </c>
      <c r="K900" s="16"/>
      <c r="L900" s="16"/>
      <c r="M900" s="16"/>
      <c r="N900" s="16"/>
      <c r="O900" s="16"/>
      <c r="P900" s="16"/>
      <c r="Q900" s="16"/>
      <c r="R900" s="16"/>
      <c r="S900" s="16"/>
      <c r="T900" s="16"/>
    </row>
    <row r="901" spans="1:20" x14ac:dyDescent="0.2">
      <c r="A901">
        <v>498</v>
      </c>
      <c r="B901" s="8">
        <v>46203</v>
      </c>
      <c r="C901" s="9">
        <v>0.78689814814814818</v>
      </c>
      <c r="D901" s="7" t="s">
        <v>28</v>
      </c>
      <c r="E901" s="13" t="s">
        <v>33</v>
      </c>
      <c r="F901" s="16">
        <v>75.715800299999998</v>
      </c>
      <c r="G901" s="129">
        <v>2127.1755400000002</v>
      </c>
      <c r="H901" s="22">
        <v>1</v>
      </c>
      <c r="I901" s="19" t="s">
        <v>38</v>
      </c>
      <c r="J901" s="7" t="s">
        <v>23</v>
      </c>
      <c r="K901" s="16"/>
      <c r="L901" s="16"/>
      <c r="M901" s="16"/>
      <c r="N901" s="16">
        <v>59.788784200000002</v>
      </c>
      <c r="O901" s="16"/>
      <c r="P901" s="16"/>
      <c r="Q901" s="16"/>
      <c r="R901" s="16"/>
      <c r="S901" s="16"/>
      <c r="T901" s="16"/>
    </row>
    <row r="902" spans="1:20" x14ac:dyDescent="0.2">
      <c r="A902">
        <v>499</v>
      </c>
      <c r="B902" s="8">
        <v>46203</v>
      </c>
      <c r="C902" s="9">
        <v>0.78719907407407408</v>
      </c>
      <c r="D902" s="7" t="s">
        <v>28</v>
      </c>
      <c r="E902" s="13" t="s">
        <v>37</v>
      </c>
      <c r="F902" s="16">
        <v>72.857397399999996</v>
      </c>
      <c r="G902" s="129">
        <v>793.559753</v>
      </c>
      <c r="H902" s="22">
        <v>0</v>
      </c>
      <c r="I902" s="19"/>
      <c r="J902" s="7" t="s">
        <v>23</v>
      </c>
      <c r="K902" s="16"/>
      <c r="L902" s="16"/>
      <c r="M902" s="16"/>
      <c r="N902" s="16"/>
      <c r="O902" s="16"/>
      <c r="P902" s="16"/>
      <c r="Q902" s="16"/>
      <c r="R902" s="16"/>
      <c r="S902" s="16"/>
      <c r="T902" s="16"/>
    </row>
    <row r="903" spans="1:20" x14ac:dyDescent="0.2">
      <c r="A903">
        <v>500</v>
      </c>
      <c r="B903" s="8">
        <v>46203</v>
      </c>
      <c r="C903" s="9">
        <v>0.78741898148148148</v>
      </c>
      <c r="D903" s="7" t="s">
        <v>28</v>
      </c>
      <c r="E903" s="13" t="s">
        <v>37</v>
      </c>
      <c r="F903" s="16">
        <v>72.920918799999995</v>
      </c>
      <c r="G903" s="129">
        <v>2458.0207500000001</v>
      </c>
      <c r="H903" s="22">
        <v>1</v>
      </c>
      <c r="I903" s="19" t="s">
        <v>45</v>
      </c>
      <c r="J903" s="7" t="s">
        <v>23</v>
      </c>
      <c r="K903" s="16"/>
      <c r="L903" s="16"/>
      <c r="M903" s="16"/>
      <c r="N903" s="16">
        <v>54.843847799999999</v>
      </c>
      <c r="O903" s="16"/>
      <c r="P903" s="16"/>
      <c r="Q903" s="16"/>
      <c r="R903" s="16"/>
      <c r="S903" s="16"/>
      <c r="T903" s="16"/>
    </row>
    <row r="904" spans="1:20" x14ac:dyDescent="0.2">
      <c r="A904">
        <v>543</v>
      </c>
      <c r="B904" s="8">
        <v>46203</v>
      </c>
      <c r="C904" s="9">
        <v>0.80317129629629624</v>
      </c>
      <c r="D904" s="7" t="s">
        <v>28</v>
      </c>
      <c r="E904" s="13" t="s">
        <v>37</v>
      </c>
      <c r="F904" s="16">
        <v>72.603320400000001</v>
      </c>
      <c r="G904" s="129">
        <v>2490.0627399999998</v>
      </c>
      <c r="H904" s="22">
        <v>1</v>
      </c>
      <c r="I904" s="19" t="s">
        <v>38</v>
      </c>
      <c r="J904" s="7" t="s">
        <v>23</v>
      </c>
      <c r="K904" s="16">
        <v>66.236930799999996</v>
      </c>
      <c r="L904" s="16">
        <v>35.850311300000001</v>
      </c>
      <c r="M904" s="16"/>
      <c r="N904" s="16">
        <v>53.832382199999998</v>
      </c>
      <c r="O904" s="16">
        <v>4885.7080100000003</v>
      </c>
      <c r="P904" s="16">
        <v>222</v>
      </c>
      <c r="Q904" s="16">
        <v>1.2304291700000001</v>
      </c>
      <c r="R904" s="16">
        <v>1.52917707</v>
      </c>
      <c r="S904" s="16">
        <v>82.319244800000007</v>
      </c>
      <c r="T904" s="16">
        <v>0.80463477999999999</v>
      </c>
    </row>
    <row r="905" spans="1:20" x14ac:dyDescent="0.2">
      <c r="A905">
        <v>544</v>
      </c>
      <c r="B905" s="8">
        <v>46203</v>
      </c>
      <c r="C905" s="9">
        <v>0.80350694444444448</v>
      </c>
      <c r="D905" s="7" t="s">
        <v>28</v>
      </c>
      <c r="E905" s="13" t="s">
        <v>33</v>
      </c>
      <c r="F905" s="16">
        <v>76.287475700000002</v>
      </c>
      <c r="G905" s="129">
        <v>2037.1522199999999</v>
      </c>
      <c r="H905" s="22">
        <v>0</v>
      </c>
      <c r="I905" s="19"/>
      <c r="J905" s="7" t="s">
        <v>23</v>
      </c>
      <c r="K905" s="16"/>
      <c r="L905" s="16"/>
      <c r="M905" s="16"/>
      <c r="N905" s="16"/>
      <c r="O905" s="16"/>
      <c r="P905" s="16"/>
      <c r="Q905" s="16"/>
      <c r="R905" s="16"/>
      <c r="S905" s="16"/>
      <c r="T905" s="16"/>
    </row>
    <row r="906" spans="1:20" x14ac:dyDescent="0.2">
      <c r="A906">
        <v>545</v>
      </c>
      <c r="B906" s="8">
        <v>46203</v>
      </c>
      <c r="C906" s="9">
        <v>0.80396990740740737</v>
      </c>
      <c r="D906" s="7" t="s">
        <v>28</v>
      </c>
      <c r="E906" s="13" t="s">
        <v>37</v>
      </c>
      <c r="F906" s="16">
        <v>71.205879699999997</v>
      </c>
      <c r="G906" s="129">
        <v>349.92468300000002</v>
      </c>
      <c r="H906" s="22">
        <v>1</v>
      </c>
      <c r="I906" s="19" t="s">
        <v>38</v>
      </c>
      <c r="J906" s="7" t="s">
        <v>23</v>
      </c>
      <c r="K906" s="16"/>
      <c r="L906" s="16"/>
      <c r="M906" s="16"/>
      <c r="N906" s="16">
        <v>56.922970200000002</v>
      </c>
      <c r="O906" s="16"/>
      <c r="P906" s="16"/>
      <c r="Q906" s="16"/>
      <c r="R906" s="16"/>
      <c r="S906" s="16"/>
      <c r="T906" s="16"/>
    </row>
    <row r="907" spans="1:20" x14ac:dyDescent="0.2">
      <c r="A907">
        <v>546</v>
      </c>
      <c r="B907" s="8">
        <v>46203</v>
      </c>
      <c r="C907" s="9">
        <v>0.80427083333333338</v>
      </c>
      <c r="D907" s="7" t="s">
        <v>28</v>
      </c>
      <c r="E907" s="13" t="s">
        <v>37</v>
      </c>
      <c r="F907" s="16">
        <v>71.952243199999998</v>
      </c>
      <c r="G907" s="129">
        <v>2416.9155300000002</v>
      </c>
      <c r="H907" s="22">
        <v>0</v>
      </c>
      <c r="I907" s="19"/>
      <c r="J907" s="7" t="s">
        <v>23</v>
      </c>
      <c r="K907" s="16"/>
      <c r="L907" s="16"/>
      <c r="M907" s="16"/>
      <c r="N907" s="16"/>
      <c r="O907" s="16"/>
      <c r="P907" s="16"/>
      <c r="Q907" s="16"/>
      <c r="R907" s="16"/>
      <c r="S907" s="16"/>
      <c r="T907" s="16"/>
    </row>
    <row r="908" spans="1:20" x14ac:dyDescent="0.2">
      <c r="A908">
        <v>547</v>
      </c>
      <c r="B908" s="8">
        <v>46203</v>
      </c>
      <c r="C908" s="9">
        <v>0.80461805555555554</v>
      </c>
      <c r="D908" s="7" t="s">
        <v>28</v>
      </c>
      <c r="E908" s="13" t="s">
        <v>33</v>
      </c>
      <c r="F908" s="16">
        <v>75.334680300000002</v>
      </c>
      <c r="G908" s="129">
        <v>2134.97534</v>
      </c>
      <c r="H908" s="22">
        <v>0</v>
      </c>
      <c r="I908" s="19"/>
      <c r="J908" s="7" t="s">
        <v>23</v>
      </c>
      <c r="K908" s="16"/>
      <c r="L908" s="16"/>
      <c r="M908" s="16"/>
      <c r="N908" s="16"/>
      <c r="O908" s="16"/>
      <c r="P908" s="16"/>
      <c r="Q908" s="16"/>
      <c r="R908" s="16"/>
      <c r="S908" s="16"/>
      <c r="T908" s="16"/>
    </row>
    <row r="909" spans="1:20" x14ac:dyDescent="0.2">
      <c r="A909">
        <v>548</v>
      </c>
      <c r="B909" s="8">
        <v>46203</v>
      </c>
      <c r="C909" s="9">
        <v>0.80484953703703699</v>
      </c>
      <c r="D909" s="7" t="s">
        <v>28</v>
      </c>
      <c r="E909" s="13" t="s">
        <v>33</v>
      </c>
      <c r="F909" s="16">
        <v>76.970313599999997</v>
      </c>
      <c r="G909" s="129">
        <v>2123.8181199999999</v>
      </c>
      <c r="H909" s="22">
        <v>1</v>
      </c>
      <c r="I909" s="19" t="s">
        <v>45</v>
      </c>
      <c r="J909" s="7" t="s">
        <v>23</v>
      </c>
      <c r="K909" s="16"/>
      <c r="L909" s="16"/>
      <c r="M909" s="16"/>
      <c r="N909" s="16">
        <v>59.564013299999999</v>
      </c>
      <c r="O909" s="16"/>
      <c r="P909" s="16"/>
      <c r="Q909" s="16"/>
      <c r="R909" s="16"/>
      <c r="S909" s="16"/>
      <c r="T909" s="16"/>
    </row>
    <row r="910" spans="1:20" x14ac:dyDescent="0.2">
      <c r="A910">
        <v>589</v>
      </c>
      <c r="B910" s="8">
        <v>46203</v>
      </c>
      <c r="C910" s="9">
        <v>0.82505787037037037</v>
      </c>
      <c r="D910" s="7" t="s">
        <v>25</v>
      </c>
      <c r="E910" s="13" t="s">
        <v>37</v>
      </c>
      <c r="F910" s="16">
        <v>72.841516999999996</v>
      </c>
      <c r="G910" s="129">
        <v>2227.0239299999998</v>
      </c>
      <c r="H910" s="22">
        <v>1</v>
      </c>
      <c r="I910" s="19" t="s">
        <v>39</v>
      </c>
      <c r="J910" s="7" t="s">
        <v>23</v>
      </c>
      <c r="K910" s="16"/>
      <c r="L910" s="16"/>
      <c r="M910" s="16"/>
      <c r="N910" s="16">
        <v>55.405773000000003</v>
      </c>
      <c r="O910" s="16"/>
      <c r="P910" s="16"/>
      <c r="Q910" s="16"/>
      <c r="R910" s="16"/>
      <c r="S910" s="16"/>
      <c r="T910" s="16"/>
    </row>
    <row r="911" spans="1:20" x14ac:dyDescent="0.2">
      <c r="A911">
        <v>590</v>
      </c>
      <c r="B911" s="8">
        <v>46203</v>
      </c>
      <c r="C911" s="9">
        <v>0.82540509259259254</v>
      </c>
      <c r="D911" s="7" t="s">
        <v>25</v>
      </c>
      <c r="E911" s="13" t="s">
        <v>33</v>
      </c>
      <c r="F911" s="16">
        <v>87.085873300000003</v>
      </c>
      <c r="G911" s="129">
        <v>2107.5517599999998</v>
      </c>
      <c r="H911" s="22">
        <v>1</v>
      </c>
      <c r="I911" s="19" t="s">
        <v>39</v>
      </c>
      <c r="J911" s="7" t="s">
        <v>23</v>
      </c>
      <c r="K911" s="16"/>
      <c r="L911" s="16"/>
      <c r="M911" s="16"/>
      <c r="N911" s="16">
        <v>57.428700900000003</v>
      </c>
      <c r="O911" s="16"/>
      <c r="P911" s="16"/>
      <c r="Q911" s="16"/>
      <c r="R911" s="16"/>
      <c r="S911" s="16"/>
      <c r="T911" s="16"/>
    </row>
    <row r="912" spans="1:20" x14ac:dyDescent="0.2">
      <c r="A912">
        <v>591</v>
      </c>
      <c r="B912" s="8">
        <v>46203</v>
      </c>
      <c r="C912" s="9">
        <v>0.82567129629629632</v>
      </c>
      <c r="D912" s="7" t="s">
        <v>25</v>
      </c>
      <c r="E912" s="13" t="s">
        <v>37</v>
      </c>
      <c r="F912" s="16">
        <v>74.064279900000002</v>
      </c>
      <c r="G912" s="129">
        <v>2330.9746100000002</v>
      </c>
      <c r="H912" s="22">
        <v>1</v>
      </c>
      <c r="I912" s="19" t="s">
        <v>45</v>
      </c>
      <c r="J912" s="7" t="s">
        <v>23</v>
      </c>
      <c r="K912" s="16"/>
      <c r="L912" s="16"/>
      <c r="M912" s="16"/>
      <c r="N912" s="16">
        <v>56.473430800000003</v>
      </c>
      <c r="O912" s="16"/>
      <c r="P912" s="16"/>
      <c r="Q912" s="16"/>
      <c r="R912" s="16"/>
      <c r="S912" s="16"/>
      <c r="T912" s="16"/>
    </row>
    <row r="913" spans="1:20" x14ac:dyDescent="0.2">
      <c r="A913">
        <v>637</v>
      </c>
      <c r="B913" s="8">
        <v>46214</v>
      </c>
      <c r="C913" s="9">
        <v>0.47413194444444445</v>
      </c>
      <c r="D913" s="7" t="s">
        <v>21</v>
      </c>
      <c r="E913" s="13" t="s">
        <v>37</v>
      </c>
      <c r="F913" s="16">
        <v>73.651397599999996</v>
      </c>
      <c r="G913" s="129">
        <v>1166.92</v>
      </c>
      <c r="H913" s="22">
        <v>0</v>
      </c>
      <c r="I913" s="19"/>
      <c r="J913" s="7" t="s">
        <v>23</v>
      </c>
      <c r="K913" s="16"/>
      <c r="L913" s="16"/>
      <c r="M913" s="16"/>
      <c r="N913" s="16"/>
      <c r="O913" s="16"/>
      <c r="P913" s="16"/>
      <c r="Q913" s="16"/>
      <c r="R913" s="16"/>
      <c r="S913" s="16"/>
      <c r="T913" s="16"/>
    </row>
    <row r="914" spans="1:20" x14ac:dyDescent="0.2">
      <c r="A914">
        <v>638</v>
      </c>
      <c r="B914" s="8">
        <v>46214</v>
      </c>
      <c r="C914" s="9">
        <v>0.47431712962962963</v>
      </c>
      <c r="D914" s="7" t="s">
        <v>21</v>
      </c>
      <c r="E914" s="13" t="s">
        <v>33</v>
      </c>
      <c r="F914" s="16">
        <v>85.370829900000004</v>
      </c>
      <c r="G914" s="129">
        <v>2177.4252900000001</v>
      </c>
      <c r="H914" s="22">
        <v>1</v>
      </c>
      <c r="I914" s="19" t="s">
        <v>38</v>
      </c>
      <c r="J914" s="7" t="s">
        <v>23</v>
      </c>
      <c r="K914" s="16"/>
      <c r="L914" s="16">
        <v>-69.741089000000002</v>
      </c>
      <c r="M914" s="16">
        <v>-2.1407389999999999</v>
      </c>
      <c r="N914" s="16">
        <v>57.950085700000002</v>
      </c>
      <c r="O914" s="16">
        <v>902.83416699999998</v>
      </c>
      <c r="P914" s="16"/>
      <c r="Q914" s="16"/>
      <c r="R914" s="16"/>
      <c r="S914" s="16"/>
      <c r="T914" s="16"/>
    </row>
    <row r="915" spans="1:20" x14ac:dyDescent="0.2">
      <c r="A915">
        <v>639</v>
      </c>
      <c r="B915" s="8">
        <v>46214</v>
      </c>
      <c r="C915" s="9">
        <v>0.47479166666666667</v>
      </c>
      <c r="D915" s="7" t="s">
        <v>21</v>
      </c>
      <c r="E915" s="13" t="s">
        <v>37</v>
      </c>
      <c r="F915" s="16">
        <v>73.492602700000006</v>
      </c>
      <c r="G915" s="129">
        <v>2092.66284</v>
      </c>
      <c r="H915" s="22">
        <v>0</v>
      </c>
      <c r="I915" s="19"/>
      <c r="J915" s="7" t="s">
        <v>23</v>
      </c>
      <c r="K915" s="16"/>
      <c r="L915" s="16"/>
      <c r="M915" s="16"/>
      <c r="N915" s="16"/>
      <c r="O915" s="16"/>
      <c r="P915" s="16"/>
      <c r="Q915" s="16"/>
      <c r="R915" s="16"/>
      <c r="S915" s="16"/>
      <c r="T915" s="16"/>
    </row>
    <row r="916" spans="1:20" x14ac:dyDescent="0.2">
      <c r="A916">
        <v>640</v>
      </c>
      <c r="B916" s="8">
        <v>46214</v>
      </c>
      <c r="C916" s="9">
        <v>0.47497685185185184</v>
      </c>
      <c r="D916" s="7" t="s">
        <v>21</v>
      </c>
      <c r="E916" s="13" t="s">
        <v>33</v>
      </c>
      <c r="F916" s="16">
        <v>84.418034599999999</v>
      </c>
      <c r="G916" s="129">
        <v>2104.03442</v>
      </c>
      <c r="H916" s="22">
        <v>1</v>
      </c>
      <c r="I916" s="19" t="s">
        <v>39</v>
      </c>
      <c r="J916" s="7" t="s">
        <v>23</v>
      </c>
      <c r="K916" s="16"/>
      <c r="L916" s="16"/>
      <c r="M916" s="16"/>
      <c r="N916" s="16">
        <v>60.8728804</v>
      </c>
      <c r="O916" s="16"/>
      <c r="P916" s="16"/>
      <c r="Q916" s="16"/>
      <c r="R916" s="16"/>
      <c r="S916" s="16"/>
      <c r="T916" s="16"/>
    </row>
    <row r="917" spans="1:20" x14ac:dyDescent="0.2">
      <c r="A917">
        <v>641</v>
      </c>
      <c r="B917" s="8">
        <v>46214</v>
      </c>
      <c r="C917" s="9">
        <v>0.47520833333333334</v>
      </c>
      <c r="D917" s="7" t="s">
        <v>21</v>
      </c>
      <c r="E917" s="13" t="s">
        <v>37</v>
      </c>
      <c r="F917" s="16">
        <v>72.714482700000005</v>
      </c>
      <c r="G917" s="129">
        <v>2180.12183</v>
      </c>
      <c r="H917" s="22">
        <v>0</v>
      </c>
      <c r="I917" s="19"/>
      <c r="J917" s="7" t="s">
        <v>23</v>
      </c>
      <c r="K917" s="16"/>
      <c r="L917" s="16"/>
      <c r="M917" s="16"/>
      <c r="N917" s="16"/>
      <c r="O917" s="16"/>
      <c r="P917" s="16"/>
      <c r="Q917" s="16"/>
      <c r="R917" s="16"/>
      <c r="S917" s="16"/>
      <c r="T917" s="16"/>
    </row>
    <row r="918" spans="1:20" x14ac:dyDescent="0.2">
      <c r="A918">
        <v>642</v>
      </c>
      <c r="B918" s="8">
        <v>46214</v>
      </c>
      <c r="C918" s="9">
        <v>0.47541666666666665</v>
      </c>
      <c r="D918" s="7" t="s">
        <v>21</v>
      </c>
      <c r="E918" s="13" t="s">
        <v>33</v>
      </c>
      <c r="F918" s="16">
        <v>84.926197099999996</v>
      </c>
      <c r="G918" s="129">
        <v>2146.6655300000002</v>
      </c>
      <c r="H918" s="22">
        <v>1</v>
      </c>
      <c r="I918" s="19" t="s">
        <v>40</v>
      </c>
      <c r="J918" s="7" t="s">
        <v>23</v>
      </c>
      <c r="K918" s="16">
        <v>70.052911600000002</v>
      </c>
      <c r="L918" s="16">
        <v>43.5594368</v>
      </c>
      <c r="M918" s="16">
        <v>-27.454135999999998</v>
      </c>
      <c r="N918" s="16">
        <v>64.976038900000006</v>
      </c>
      <c r="O918" s="16">
        <v>3888.4243200000001</v>
      </c>
      <c r="P918" s="16">
        <v>239</v>
      </c>
      <c r="Q918" s="16">
        <v>1.07813454</v>
      </c>
      <c r="R918" s="16">
        <v>1.63219559</v>
      </c>
      <c r="S918" s="16">
        <v>106.053605</v>
      </c>
      <c r="T918" s="16">
        <v>0.66054245</v>
      </c>
    </row>
    <row r="919" spans="1:20" x14ac:dyDescent="0.2">
      <c r="A919">
        <v>673</v>
      </c>
      <c r="B919" s="8">
        <v>46214</v>
      </c>
      <c r="C919" s="9">
        <v>0.48857638888888888</v>
      </c>
      <c r="D919" s="7" t="s">
        <v>21</v>
      </c>
      <c r="E919" s="13" t="s">
        <v>37</v>
      </c>
      <c r="F919" s="16">
        <v>72.984440199999995</v>
      </c>
      <c r="G919" s="129">
        <v>2185.4108900000001</v>
      </c>
      <c r="H919" s="22">
        <v>1</v>
      </c>
      <c r="I919" s="19" t="s">
        <v>39</v>
      </c>
      <c r="J919" s="7" t="s">
        <v>23</v>
      </c>
      <c r="K919" s="16"/>
      <c r="L919" s="16"/>
      <c r="M919" s="16"/>
      <c r="N919" s="16">
        <v>54.746248899999998</v>
      </c>
      <c r="O919" s="16"/>
      <c r="P919" s="16"/>
      <c r="Q919" s="16"/>
      <c r="R919" s="16"/>
      <c r="S919" s="16"/>
      <c r="T919" s="16"/>
    </row>
    <row r="920" spans="1:20" x14ac:dyDescent="0.2">
      <c r="A920">
        <v>674</v>
      </c>
      <c r="B920" s="8">
        <v>46214</v>
      </c>
      <c r="C920" s="9">
        <v>0.48878472222222225</v>
      </c>
      <c r="D920" s="7" t="s">
        <v>21</v>
      </c>
      <c r="E920" s="13" t="s">
        <v>33</v>
      </c>
      <c r="F920" s="16">
        <v>83.338196400000001</v>
      </c>
      <c r="G920" s="129">
        <v>2181.7705099999998</v>
      </c>
      <c r="H920" s="22">
        <v>1</v>
      </c>
      <c r="I920" s="19"/>
      <c r="J920" s="7" t="s">
        <v>23</v>
      </c>
      <c r="K920" s="16"/>
      <c r="L920" s="16"/>
      <c r="M920" s="16"/>
      <c r="N920" s="16"/>
      <c r="O920" s="16"/>
      <c r="P920" s="16"/>
      <c r="Q920" s="16"/>
      <c r="R920" s="16"/>
      <c r="S920" s="16"/>
      <c r="T920" s="16"/>
    </row>
    <row r="921" spans="1:20" x14ac:dyDescent="0.2">
      <c r="A921">
        <v>675</v>
      </c>
      <c r="B921" s="8">
        <v>46214</v>
      </c>
      <c r="C921" s="9">
        <v>0.48905092592592592</v>
      </c>
      <c r="D921" s="7" t="s">
        <v>21</v>
      </c>
      <c r="E921" s="13" t="s">
        <v>37</v>
      </c>
      <c r="F921" s="16">
        <v>74.175440600000002</v>
      </c>
      <c r="G921" s="129">
        <v>772.71173099999999</v>
      </c>
      <c r="H921" s="22">
        <v>0</v>
      </c>
      <c r="I921" s="19"/>
      <c r="J921" s="7" t="s">
        <v>23</v>
      </c>
      <c r="K921" s="16"/>
      <c r="L921" s="16"/>
      <c r="M921" s="16"/>
      <c r="N921" s="16"/>
      <c r="O921" s="16"/>
      <c r="P921" s="16"/>
      <c r="Q921" s="16"/>
      <c r="R921" s="16"/>
      <c r="S921" s="16"/>
      <c r="T921" s="16"/>
    </row>
    <row r="922" spans="1:20" x14ac:dyDescent="0.2">
      <c r="A922">
        <v>676</v>
      </c>
      <c r="B922" s="8">
        <v>46214</v>
      </c>
      <c r="C922" s="9">
        <v>0.48934027777777778</v>
      </c>
      <c r="D922" s="7" t="s">
        <v>21</v>
      </c>
      <c r="E922" s="13" t="s">
        <v>46</v>
      </c>
      <c r="F922" s="16">
        <v>72.142798799999994</v>
      </c>
      <c r="G922" s="129">
        <v>832.97778300000004</v>
      </c>
      <c r="H922" s="22">
        <v>0</v>
      </c>
      <c r="I922" s="19"/>
      <c r="J922" s="7" t="s">
        <v>23</v>
      </c>
      <c r="K922" s="16"/>
      <c r="L922" s="16"/>
      <c r="M922" s="16"/>
      <c r="N922" s="16"/>
      <c r="O922" s="16"/>
      <c r="P922" s="16"/>
      <c r="Q922" s="16"/>
      <c r="R922" s="16"/>
      <c r="S922" s="16"/>
      <c r="T922" s="16"/>
    </row>
    <row r="923" spans="1:20" x14ac:dyDescent="0.2">
      <c r="A923">
        <v>677</v>
      </c>
      <c r="B923" s="8">
        <v>46214</v>
      </c>
      <c r="C923" s="9">
        <v>0.48953703703703705</v>
      </c>
      <c r="D923" s="7" t="s">
        <v>21</v>
      </c>
      <c r="E923" s="13" t="s">
        <v>33</v>
      </c>
      <c r="F923" s="16">
        <v>84.418034599999999</v>
      </c>
      <c r="G923" s="129">
        <v>2172.91113</v>
      </c>
      <c r="H923" s="22">
        <v>1</v>
      </c>
      <c r="I923" s="19" t="s">
        <v>40</v>
      </c>
      <c r="J923" s="7" t="s">
        <v>23</v>
      </c>
      <c r="K923" s="16">
        <v>46.679646699999999</v>
      </c>
      <c r="L923" s="16">
        <v>43.394596100000001</v>
      </c>
      <c r="M923" s="16">
        <v>9.0289516400000007</v>
      </c>
      <c r="N923" s="16">
        <v>65.5943228</v>
      </c>
      <c r="O923" s="16">
        <v>1397.96631</v>
      </c>
      <c r="P923" s="16"/>
      <c r="Q923" s="16">
        <v>0.71164154999999996</v>
      </c>
      <c r="R923" s="16">
        <v>1.6261981700000001</v>
      </c>
      <c r="S923" s="16">
        <v>106.669371</v>
      </c>
      <c r="T923" s="16">
        <v>0.43761059000000002</v>
      </c>
    </row>
    <row r="924" spans="1:20" x14ac:dyDescent="0.2">
      <c r="A924">
        <v>711</v>
      </c>
      <c r="B924" s="8">
        <v>46214</v>
      </c>
      <c r="C924" s="9">
        <v>0.50458333333333338</v>
      </c>
      <c r="D924" s="7" t="s">
        <v>21</v>
      </c>
      <c r="E924" s="13" t="s">
        <v>33</v>
      </c>
      <c r="F924" s="16">
        <v>83.195273499999999</v>
      </c>
      <c r="G924" s="129">
        <v>2067.2824700000001</v>
      </c>
      <c r="H924" s="22">
        <v>0</v>
      </c>
      <c r="I924" s="19"/>
      <c r="J924" s="7" t="s">
        <v>23</v>
      </c>
      <c r="K924" s="16"/>
      <c r="L924" s="16"/>
      <c r="M924" s="16"/>
      <c r="N924" s="16"/>
      <c r="O924" s="16"/>
      <c r="P924" s="16"/>
      <c r="Q924" s="16"/>
      <c r="R924" s="16"/>
      <c r="S924" s="16"/>
      <c r="T924" s="16"/>
    </row>
    <row r="925" spans="1:20" x14ac:dyDescent="0.2">
      <c r="A925">
        <v>712</v>
      </c>
      <c r="B925" s="8">
        <v>46214</v>
      </c>
      <c r="C925" s="9">
        <v>0.50475694444444441</v>
      </c>
      <c r="D925" s="7" t="s">
        <v>21</v>
      </c>
      <c r="E925" s="13" t="s">
        <v>33</v>
      </c>
      <c r="F925" s="16">
        <v>83.766957300000001</v>
      </c>
      <c r="G925" s="129">
        <v>1128.73254</v>
      </c>
      <c r="H925" s="22">
        <v>0</v>
      </c>
      <c r="I925" s="19"/>
      <c r="J925" s="7" t="s">
        <v>23</v>
      </c>
      <c r="K925" s="16"/>
      <c r="L925" s="16"/>
      <c r="M925" s="16"/>
      <c r="N925" s="16"/>
      <c r="O925" s="16"/>
      <c r="P925" s="16"/>
      <c r="Q925" s="16"/>
      <c r="R925" s="16"/>
      <c r="S925" s="16"/>
      <c r="T925" s="16"/>
    </row>
    <row r="926" spans="1:20" x14ac:dyDescent="0.2">
      <c r="A926">
        <v>713</v>
      </c>
      <c r="B926" s="8">
        <v>46214</v>
      </c>
      <c r="C926" s="9">
        <v>0.50494212962962959</v>
      </c>
      <c r="D926" s="7" t="s">
        <v>21</v>
      </c>
      <c r="E926" s="13" t="s">
        <v>33</v>
      </c>
      <c r="F926" s="16">
        <v>83.4017178</v>
      </c>
      <c r="G926" s="129">
        <v>2079.6845699999999</v>
      </c>
      <c r="H926" s="22">
        <v>1</v>
      </c>
      <c r="I926" s="19" t="s">
        <v>38</v>
      </c>
      <c r="J926" s="7" t="s">
        <v>23</v>
      </c>
      <c r="K926" s="16">
        <v>75.531486200000003</v>
      </c>
      <c r="L926" s="16">
        <v>43.7364502</v>
      </c>
      <c r="M926" s="16"/>
      <c r="N926" s="16">
        <v>61.0415055</v>
      </c>
      <c r="O926" s="16">
        <v>4773.8554700000004</v>
      </c>
      <c r="P926" s="16">
        <v>267</v>
      </c>
      <c r="Q926" s="16">
        <v>1.23737907</v>
      </c>
      <c r="R926" s="16">
        <v>1.6543724500000001</v>
      </c>
      <c r="S926" s="16">
        <v>100.98538499999999</v>
      </c>
      <c r="T926" s="16">
        <v>0.74794464000000005</v>
      </c>
    </row>
    <row r="927" spans="1:20" x14ac:dyDescent="0.2">
      <c r="A927">
        <v>714</v>
      </c>
      <c r="B927" s="8">
        <v>46214</v>
      </c>
      <c r="C927" s="9">
        <v>0.50519675925925922</v>
      </c>
      <c r="D927" s="7" t="s">
        <v>21</v>
      </c>
      <c r="E927" s="13" t="s">
        <v>37</v>
      </c>
      <c r="F927" s="16">
        <v>74.381876700000007</v>
      </c>
      <c r="G927" s="129">
        <v>2288.8691399999998</v>
      </c>
      <c r="H927" s="22">
        <v>1</v>
      </c>
      <c r="I927" s="19"/>
      <c r="J927" s="7" t="s">
        <v>23</v>
      </c>
      <c r="K927" s="16"/>
      <c r="L927" s="16"/>
      <c r="M927" s="16"/>
      <c r="N927" s="16"/>
      <c r="O927" s="16"/>
      <c r="P927" s="16"/>
      <c r="Q927" s="16"/>
      <c r="R927" s="16"/>
      <c r="S927" s="16"/>
      <c r="T927" s="16"/>
    </row>
    <row r="928" spans="1:20" x14ac:dyDescent="0.2">
      <c r="A928">
        <v>715</v>
      </c>
      <c r="B928" s="8">
        <v>46214</v>
      </c>
      <c r="C928" s="9">
        <v>0.50543981481481481</v>
      </c>
      <c r="D928" s="7" t="s">
        <v>21</v>
      </c>
      <c r="E928" s="13" t="s">
        <v>37</v>
      </c>
      <c r="F928" s="16">
        <v>74.937680400000005</v>
      </c>
      <c r="G928" s="129">
        <v>2322.0058600000002</v>
      </c>
      <c r="H928" s="22">
        <v>0</v>
      </c>
      <c r="I928" s="19"/>
      <c r="J928" s="7" t="s">
        <v>23</v>
      </c>
      <c r="K928" s="16"/>
      <c r="L928" s="16"/>
      <c r="M928" s="16"/>
      <c r="N928" s="16"/>
      <c r="O928" s="16"/>
      <c r="P928" s="16"/>
      <c r="Q928" s="16"/>
      <c r="R928" s="16"/>
      <c r="S928" s="16"/>
      <c r="T928" s="16"/>
    </row>
    <row r="929" spans="1:20" x14ac:dyDescent="0.2">
      <c r="A929">
        <v>716</v>
      </c>
      <c r="B929" s="8">
        <v>46214</v>
      </c>
      <c r="C929" s="9">
        <v>0.50572916666666667</v>
      </c>
      <c r="D929" s="7" t="s">
        <v>21</v>
      </c>
      <c r="E929" s="13" t="s">
        <v>33</v>
      </c>
      <c r="F929" s="16">
        <v>85.227915199999998</v>
      </c>
      <c r="G929" s="129">
        <v>2212.98315</v>
      </c>
      <c r="H929" s="22">
        <v>0</v>
      </c>
      <c r="I929" s="19" t="s">
        <v>48</v>
      </c>
      <c r="J929" s="7" t="s">
        <v>23</v>
      </c>
      <c r="K929" s="16"/>
      <c r="L929" s="16"/>
      <c r="M929" s="16"/>
      <c r="N929" s="16"/>
      <c r="O929" s="16"/>
      <c r="P929" s="16"/>
      <c r="Q929" s="16"/>
      <c r="R929" s="16"/>
      <c r="S929" s="16"/>
      <c r="T929" s="16"/>
    </row>
    <row r="930" spans="1:20" x14ac:dyDescent="0.2">
      <c r="A930">
        <v>717</v>
      </c>
      <c r="B930" s="8">
        <v>46214</v>
      </c>
      <c r="C930" s="9">
        <v>0.50591435185185185</v>
      </c>
      <c r="D930" s="7" t="s">
        <v>21</v>
      </c>
      <c r="E930" s="13" t="s">
        <v>33</v>
      </c>
      <c r="F930" s="16">
        <v>85.751949699999997</v>
      </c>
      <c r="G930" s="129">
        <v>2403.56421</v>
      </c>
      <c r="H930" s="22">
        <v>1</v>
      </c>
      <c r="I930" s="19" t="s">
        <v>40</v>
      </c>
      <c r="J930" s="7" t="s">
        <v>23</v>
      </c>
      <c r="K930" s="16">
        <v>89.843549899999999</v>
      </c>
      <c r="L930" s="16">
        <v>29.130651499999999</v>
      </c>
      <c r="M930" s="16">
        <v>-25.608812</v>
      </c>
      <c r="N930" s="16">
        <v>66.999515900000006</v>
      </c>
      <c r="O930" s="16">
        <v>2646.0351599999999</v>
      </c>
      <c r="P930" s="16">
        <v>312</v>
      </c>
      <c r="Q930" s="16">
        <v>1.34095824</v>
      </c>
      <c r="R930" s="16">
        <v>1.6242337200000001</v>
      </c>
      <c r="S930" s="16">
        <v>108.822878</v>
      </c>
      <c r="T930" s="16">
        <v>0.82559433000000004</v>
      </c>
    </row>
    <row r="931" spans="1:20" x14ac:dyDescent="0.2">
      <c r="A931">
        <v>819</v>
      </c>
      <c r="B931" s="8">
        <v>46218</v>
      </c>
      <c r="C931" s="9">
        <v>0.45623842592592595</v>
      </c>
      <c r="D931" s="7" t="s">
        <v>25</v>
      </c>
      <c r="E931" s="13" t="s">
        <v>37</v>
      </c>
      <c r="F931" s="16">
        <v>75.906356000000002</v>
      </c>
      <c r="G931" s="129">
        <v>1105.4531199999999</v>
      </c>
      <c r="H931" s="22">
        <v>0</v>
      </c>
      <c r="I931" s="19"/>
      <c r="J931" s="7" t="s">
        <v>23</v>
      </c>
      <c r="K931" s="16"/>
      <c r="L931" s="16"/>
      <c r="M931" s="16"/>
      <c r="N931" s="16"/>
      <c r="O931" s="16"/>
      <c r="P931" s="16"/>
      <c r="Q931" s="16"/>
      <c r="R931" s="16"/>
      <c r="S931" s="16"/>
      <c r="T931" s="16"/>
    </row>
    <row r="932" spans="1:20" x14ac:dyDescent="0.2">
      <c r="A932">
        <v>820</v>
      </c>
      <c r="B932" s="8">
        <v>46218</v>
      </c>
      <c r="C932" s="9">
        <v>0.45642361111111113</v>
      </c>
      <c r="D932" s="7" t="s">
        <v>25</v>
      </c>
      <c r="E932" s="13" t="s">
        <v>37</v>
      </c>
      <c r="F932" s="16">
        <v>72.365123699999998</v>
      </c>
      <c r="G932" s="129">
        <v>2053.9765600000001</v>
      </c>
      <c r="H932" s="22">
        <v>1</v>
      </c>
      <c r="I932" s="19"/>
      <c r="J932" s="7" t="s">
        <v>23</v>
      </c>
      <c r="K932" s="16"/>
      <c r="L932" s="16"/>
      <c r="M932" s="16"/>
      <c r="N932" s="16"/>
      <c r="O932" s="16"/>
      <c r="P932" s="16"/>
      <c r="Q932" s="16"/>
      <c r="R932" s="16"/>
      <c r="S932" s="16"/>
      <c r="T932" s="16"/>
    </row>
    <row r="933" spans="1:20" x14ac:dyDescent="0.2">
      <c r="A933">
        <v>821</v>
      </c>
      <c r="B933" s="8">
        <v>46218</v>
      </c>
      <c r="C933" s="9">
        <v>0.4566087962962963</v>
      </c>
      <c r="D933" s="7" t="s">
        <v>25</v>
      </c>
      <c r="E933" s="13" t="s">
        <v>37</v>
      </c>
      <c r="F933" s="16">
        <v>74.953560600000003</v>
      </c>
      <c r="G933" s="129">
        <v>2156.2460900000001</v>
      </c>
      <c r="H933" s="22">
        <v>1</v>
      </c>
      <c r="I933" s="19" t="s">
        <v>39</v>
      </c>
      <c r="J933" s="7" t="s">
        <v>23</v>
      </c>
      <c r="K933" s="16"/>
      <c r="L933" s="16"/>
      <c r="M933" s="16"/>
      <c r="N933" s="16">
        <v>59.922888100000002</v>
      </c>
      <c r="O933" s="16"/>
      <c r="P933" s="16"/>
      <c r="Q933" s="16"/>
      <c r="R933" s="16"/>
      <c r="S933" s="16"/>
      <c r="T933" s="16"/>
    </row>
    <row r="934" spans="1:20" x14ac:dyDescent="0.2">
      <c r="A934">
        <v>822</v>
      </c>
      <c r="B934" s="8">
        <v>46218</v>
      </c>
      <c r="C934" s="9">
        <v>0.45682870370370371</v>
      </c>
      <c r="D934" s="7" t="s">
        <v>25</v>
      </c>
      <c r="E934" s="13" t="s">
        <v>35</v>
      </c>
      <c r="F934" s="16">
        <v>76.017518300000006</v>
      </c>
      <c r="G934" s="129">
        <v>1059.4057600000001</v>
      </c>
      <c r="H934" s="22">
        <v>1</v>
      </c>
      <c r="I934" s="19" t="s">
        <v>38</v>
      </c>
      <c r="J934" s="7" t="s">
        <v>23</v>
      </c>
      <c r="K934" s="16"/>
      <c r="L934" s="16"/>
      <c r="M934" s="16"/>
      <c r="N934" s="16">
        <v>59.0757215</v>
      </c>
      <c r="O934" s="16"/>
      <c r="P934" s="16"/>
      <c r="Q934" s="16"/>
      <c r="R934" s="16"/>
      <c r="S934" s="16"/>
      <c r="T934" s="16"/>
    </row>
    <row r="935" spans="1:20" x14ac:dyDescent="0.2">
      <c r="A935">
        <v>823</v>
      </c>
      <c r="B935" s="8">
        <v>46218</v>
      </c>
      <c r="C935" s="9">
        <v>0.45707175925925925</v>
      </c>
      <c r="D935" s="7" t="s">
        <v>25</v>
      </c>
      <c r="E935" s="13" t="s">
        <v>33</v>
      </c>
      <c r="F935" s="16">
        <v>87.339950299999998</v>
      </c>
      <c r="G935" s="129">
        <v>1809.37012</v>
      </c>
      <c r="H935" s="22">
        <v>1</v>
      </c>
      <c r="I935" s="19" t="s">
        <v>42</v>
      </c>
      <c r="J935" s="7" t="s">
        <v>23</v>
      </c>
      <c r="K935" s="16"/>
      <c r="L935" s="16"/>
      <c r="M935" s="16"/>
      <c r="N935" s="16"/>
      <c r="O935" s="16"/>
      <c r="P935" s="16"/>
      <c r="Q935" s="16"/>
      <c r="R935" s="16"/>
      <c r="S935" s="16"/>
      <c r="T935" s="16"/>
    </row>
    <row r="936" spans="1:20" x14ac:dyDescent="0.2">
      <c r="A936">
        <v>845</v>
      </c>
      <c r="B936" s="8">
        <v>46218</v>
      </c>
      <c r="C936" s="9">
        <v>0.46718749999999998</v>
      </c>
      <c r="D936" s="7" t="s">
        <v>25</v>
      </c>
      <c r="E936" s="13" t="s">
        <v>37</v>
      </c>
      <c r="F936" s="16">
        <v>74.699475100000001</v>
      </c>
      <c r="G936" s="129">
        <v>2154.2546400000001</v>
      </c>
      <c r="H936" s="22">
        <v>0</v>
      </c>
      <c r="I936" s="19"/>
      <c r="J936" s="7" t="s">
        <v>23</v>
      </c>
      <c r="K936" s="16"/>
      <c r="L936" s="16"/>
      <c r="M936" s="16"/>
      <c r="N936" s="16"/>
      <c r="O936" s="16"/>
      <c r="P936" s="16"/>
      <c r="Q936" s="16"/>
      <c r="R936" s="16"/>
      <c r="S936" s="16"/>
      <c r="T936" s="16"/>
    </row>
    <row r="937" spans="1:20" x14ac:dyDescent="0.2">
      <c r="A937">
        <v>846</v>
      </c>
      <c r="B937" s="8">
        <v>46218</v>
      </c>
      <c r="C937" s="9">
        <v>0.46736111111111112</v>
      </c>
      <c r="D937" s="7" t="s">
        <v>25</v>
      </c>
      <c r="E937" s="13" t="s">
        <v>33</v>
      </c>
      <c r="F937" s="16">
        <v>85.561394100000001</v>
      </c>
      <c r="G937" s="129">
        <v>1920.9840099999999</v>
      </c>
      <c r="H937" s="22">
        <v>1</v>
      </c>
      <c r="I937" s="19" t="s">
        <v>38</v>
      </c>
      <c r="J937" s="7" t="s">
        <v>23</v>
      </c>
      <c r="K937" s="16"/>
      <c r="L937" s="16"/>
      <c r="M937" s="16"/>
      <c r="N937" s="16">
        <v>65.5141828</v>
      </c>
      <c r="O937" s="16"/>
      <c r="P937" s="16"/>
      <c r="Q937" s="16"/>
      <c r="R937" s="16"/>
      <c r="S937" s="16"/>
      <c r="T937" s="16"/>
    </row>
    <row r="938" spans="1:20" x14ac:dyDescent="0.2">
      <c r="A938">
        <v>847</v>
      </c>
      <c r="B938" s="8">
        <v>46218</v>
      </c>
      <c r="C938" s="9">
        <v>0.46766203703703701</v>
      </c>
      <c r="D938" s="7" t="s">
        <v>25</v>
      </c>
      <c r="E938" s="13" t="s">
        <v>37</v>
      </c>
      <c r="F938" s="16">
        <v>76.223954300000003</v>
      </c>
      <c r="G938" s="129">
        <v>2134.8146999999999</v>
      </c>
      <c r="H938" s="22">
        <v>1</v>
      </c>
      <c r="I938" s="19" t="s">
        <v>39</v>
      </c>
      <c r="J938" s="7" t="s">
        <v>23</v>
      </c>
      <c r="K938" s="16"/>
      <c r="L938" s="16"/>
      <c r="M938" s="16"/>
      <c r="N938" s="16">
        <v>43.883207900000002</v>
      </c>
      <c r="O938" s="16"/>
      <c r="P938" s="16"/>
      <c r="Q938" s="16"/>
      <c r="R938" s="16"/>
      <c r="S938" s="16"/>
      <c r="T938" s="16"/>
    </row>
    <row r="939" spans="1:20" x14ac:dyDescent="0.2">
      <c r="A939">
        <v>877</v>
      </c>
      <c r="B939" s="8">
        <v>46218</v>
      </c>
      <c r="C939" s="9">
        <v>0.48003472222222221</v>
      </c>
      <c r="D939" s="7" t="s">
        <v>25</v>
      </c>
      <c r="E939" s="13" t="s">
        <v>37</v>
      </c>
      <c r="F939" s="16">
        <v>75.382321500000003</v>
      </c>
      <c r="G939" s="129">
        <v>2222.6079100000002</v>
      </c>
      <c r="H939" s="22">
        <v>1</v>
      </c>
      <c r="I939" s="19"/>
      <c r="J939" s="7" t="s">
        <v>23</v>
      </c>
      <c r="K939" s="16"/>
      <c r="L939" s="16"/>
      <c r="M939" s="16"/>
      <c r="N939" s="16">
        <v>32.531180399999997</v>
      </c>
      <c r="O939" s="16"/>
      <c r="P939" s="16"/>
      <c r="Q939" s="16"/>
      <c r="R939" s="16"/>
      <c r="S939" s="16"/>
      <c r="T939" s="16"/>
    </row>
    <row r="940" spans="1:20" x14ac:dyDescent="0.2">
      <c r="A940">
        <v>878</v>
      </c>
      <c r="B940" s="8">
        <v>46218</v>
      </c>
      <c r="C940" s="9">
        <v>0.48023148148148148</v>
      </c>
      <c r="D940" s="7" t="s">
        <v>25</v>
      </c>
      <c r="E940" s="13" t="s">
        <v>37</v>
      </c>
      <c r="F940" s="16">
        <v>75.128236000000001</v>
      </c>
      <c r="G940" s="129">
        <v>2141.8557099999998</v>
      </c>
      <c r="H940" s="22">
        <v>1</v>
      </c>
      <c r="I940" s="19"/>
      <c r="J940" s="7" t="s">
        <v>23</v>
      </c>
      <c r="K940" s="16"/>
      <c r="L940" s="16"/>
      <c r="M940" s="16"/>
      <c r="N940" s="16"/>
      <c r="O940" s="16"/>
      <c r="P940" s="16"/>
      <c r="Q940" s="16"/>
      <c r="R940" s="16"/>
      <c r="S940" s="16"/>
      <c r="T940" s="16"/>
    </row>
    <row r="941" spans="1:20" x14ac:dyDescent="0.2">
      <c r="A941">
        <v>879</v>
      </c>
      <c r="B941" s="8">
        <v>46218</v>
      </c>
      <c r="C941" s="9">
        <v>0.48040509259259262</v>
      </c>
      <c r="D941" s="7" t="s">
        <v>25</v>
      </c>
      <c r="E941" s="13" t="s">
        <v>33</v>
      </c>
      <c r="F941" s="16">
        <v>87.339950299999998</v>
      </c>
      <c r="G941" s="129">
        <v>1935.8442399999999</v>
      </c>
      <c r="H941" s="22">
        <v>0</v>
      </c>
      <c r="I941" s="19"/>
      <c r="J941" s="7" t="s">
        <v>23</v>
      </c>
      <c r="K941" s="16"/>
      <c r="L941" s="16"/>
      <c r="M941" s="16"/>
      <c r="N941" s="16"/>
      <c r="O941" s="16"/>
      <c r="P941" s="16"/>
      <c r="Q941" s="16"/>
      <c r="R941" s="16"/>
      <c r="S941" s="16"/>
      <c r="T941" s="16"/>
    </row>
    <row r="942" spans="1:20" s="115" customFormat="1" ht="17" thickBot="1" x14ac:dyDescent="0.25">
      <c r="A942">
        <v>880</v>
      </c>
      <c r="B942" s="123">
        <v>46218</v>
      </c>
      <c r="C942" s="124">
        <v>0.48056712962962961</v>
      </c>
      <c r="D942" s="122" t="s">
        <v>25</v>
      </c>
      <c r="E942" s="125" t="s">
        <v>37</v>
      </c>
      <c r="F942" s="126">
        <v>78.193074800000005</v>
      </c>
      <c r="G942" s="132">
        <v>2238.7614699999999</v>
      </c>
      <c r="H942" s="128">
        <v>0</v>
      </c>
      <c r="I942" s="127"/>
      <c r="J942" s="122" t="s">
        <v>23</v>
      </c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</row>
    <row r="943" spans="1:20" x14ac:dyDescent="0.2">
      <c r="A943">
        <v>881</v>
      </c>
      <c r="B943" s="8">
        <v>46218</v>
      </c>
      <c r="C943" s="9">
        <v>0.4808912037037037</v>
      </c>
      <c r="D943" s="7" t="s">
        <v>25</v>
      </c>
      <c r="E943" s="13" t="s">
        <v>37</v>
      </c>
      <c r="F943" s="16">
        <v>77.907237100000003</v>
      </c>
      <c r="G943" s="129">
        <v>2224.2377900000001</v>
      </c>
      <c r="H943" s="22">
        <v>0</v>
      </c>
      <c r="I943" s="19"/>
      <c r="J943" s="7" t="s">
        <v>23</v>
      </c>
      <c r="K943" s="16"/>
      <c r="L943" s="16"/>
      <c r="M943" s="16"/>
      <c r="N943" s="16"/>
      <c r="O943" s="16"/>
      <c r="P943" s="16"/>
      <c r="Q943" s="16"/>
      <c r="R943" s="16"/>
      <c r="S943" s="16"/>
      <c r="T943" s="16"/>
    </row>
    <row r="944" spans="1:20" x14ac:dyDescent="0.2">
      <c r="A944">
        <v>882</v>
      </c>
      <c r="B944" s="8">
        <v>46218</v>
      </c>
      <c r="C944" s="9">
        <v>0.48115740740740742</v>
      </c>
      <c r="D944" s="7" t="s">
        <v>25</v>
      </c>
      <c r="E944" s="13" t="s">
        <v>33</v>
      </c>
      <c r="F944" s="16">
        <v>85.545513600000007</v>
      </c>
      <c r="G944" s="129">
        <v>2041.5237999999999</v>
      </c>
      <c r="H944" s="22">
        <v>0</v>
      </c>
      <c r="I944" s="19" t="s">
        <v>48</v>
      </c>
      <c r="J944" s="7" t="s">
        <v>23</v>
      </c>
      <c r="K944" s="16"/>
      <c r="L944" s="16"/>
      <c r="M944" s="16"/>
      <c r="N944" s="16"/>
      <c r="O944" s="16"/>
      <c r="P944" s="16"/>
      <c r="Q944" s="16"/>
      <c r="R944" s="16"/>
      <c r="S944" s="16"/>
      <c r="T944" s="16"/>
    </row>
    <row r="945" spans="1:20" x14ac:dyDescent="0.2">
      <c r="A945">
        <v>883</v>
      </c>
      <c r="B945" s="8">
        <v>46218</v>
      </c>
      <c r="C945" s="9">
        <v>0.48140046296296296</v>
      </c>
      <c r="D945" s="7" t="s">
        <v>25</v>
      </c>
      <c r="E945" s="13" t="s">
        <v>33</v>
      </c>
      <c r="F945" s="16">
        <v>89.833112799999995</v>
      </c>
      <c r="G945" s="129">
        <v>998.87042199999996</v>
      </c>
      <c r="H945" s="22">
        <v>0</v>
      </c>
      <c r="I945" s="19"/>
      <c r="J945" s="7" t="s">
        <v>23</v>
      </c>
      <c r="K945" s="16"/>
      <c r="L945" s="16"/>
      <c r="M945" s="16"/>
      <c r="N945" s="16"/>
      <c r="O945" s="16"/>
      <c r="P945" s="16"/>
      <c r="Q945" s="16"/>
      <c r="R945" s="16"/>
      <c r="S945" s="16"/>
      <c r="T945" s="16"/>
    </row>
    <row r="946" spans="1:20" x14ac:dyDescent="0.2">
      <c r="A946">
        <v>897</v>
      </c>
      <c r="B946" s="8">
        <v>46221</v>
      </c>
      <c r="C946" s="9">
        <v>0.42914351851851851</v>
      </c>
      <c r="D946" s="7" t="s">
        <v>18</v>
      </c>
      <c r="E946" s="13" t="s">
        <v>37</v>
      </c>
      <c r="F946" s="16">
        <v>72.396884299999996</v>
      </c>
      <c r="G946" s="129">
        <v>1083.7910199999999</v>
      </c>
      <c r="H946" s="22">
        <v>0</v>
      </c>
      <c r="I946" s="19"/>
      <c r="J946" s="7" t="s">
        <v>23</v>
      </c>
      <c r="K946" s="16"/>
      <c r="L946" s="16"/>
      <c r="M946" s="16"/>
      <c r="N946" s="16"/>
      <c r="O946" s="16"/>
      <c r="P946" s="16"/>
      <c r="Q946" s="16"/>
      <c r="R946" s="16"/>
      <c r="S946" s="16"/>
      <c r="T946" s="16"/>
    </row>
    <row r="947" spans="1:20" x14ac:dyDescent="0.2">
      <c r="A947">
        <v>898</v>
      </c>
      <c r="B947" s="8">
        <v>46221</v>
      </c>
      <c r="C947" s="9">
        <v>0.42932870370370368</v>
      </c>
      <c r="D947" s="7" t="s">
        <v>18</v>
      </c>
      <c r="E947" s="13" t="s">
        <v>36</v>
      </c>
      <c r="F947" s="16">
        <v>76.017518300000006</v>
      </c>
      <c r="G947" s="129">
        <v>765.92388900000003</v>
      </c>
      <c r="H947" s="22">
        <v>0</v>
      </c>
      <c r="I947" s="19"/>
      <c r="J947" s="7" t="s">
        <v>23</v>
      </c>
      <c r="K947" s="16"/>
      <c r="L947" s="16"/>
      <c r="M947" s="16"/>
      <c r="N947" s="16"/>
      <c r="O947" s="16"/>
      <c r="P947" s="16"/>
      <c r="Q947" s="16"/>
      <c r="R947" s="16"/>
      <c r="S947" s="16"/>
      <c r="T947" s="16"/>
    </row>
    <row r="948" spans="1:20" x14ac:dyDescent="0.2">
      <c r="A948">
        <v>899</v>
      </c>
      <c r="B948" s="8">
        <v>46221</v>
      </c>
      <c r="C948" s="9">
        <v>0.42953703703703705</v>
      </c>
      <c r="D948" s="7" t="s">
        <v>18</v>
      </c>
      <c r="E948" s="13" t="s">
        <v>33</v>
      </c>
      <c r="F948" s="16">
        <v>83.782837799999996</v>
      </c>
      <c r="G948" s="129">
        <v>2425.4851100000001</v>
      </c>
      <c r="H948" s="22">
        <v>0</v>
      </c>
      <c r="I948" s="19"/>
      <c r="J948" s="7" t="s">
        <v>23</v>
      </c>
      <c r="K948" s="16"/>
      <c r="L948" s="16"/>
      <c r="M948" s="16"/>
      <c r="N948" s="16"/>
      <c r="O948" s="16"/>
      <c r="P948" s="16"/>
      <c r="Q948" s="16"/>
      <c r="R948" s="16"/>
      <c r="S948" s="16"/>
      <c r="T948" s="16"/>
    </row>
    <row r="949" spans="1:20" x14ac:dyDescent="0.2">
      <c r="A949">
        <v>900</v>
      </c>
      <c r="B949" s="8">
        <v>46221</v>
      </c>
      <c r="C949" s="9">
        <v>0.42981481481481482</v>
      </c>
      <c r="D949" s="7" t="s">
        <v>18</v>
      </c>
      <c r="E949" s="13" t="s">
        <v>36</v>
      </c>
      <c r="F949" s="16">
        <v>77.033834999999996</v>
      </c>
      <c r="G949" s="129">
        <v>1153.7962600000001</v>
      </c>
      <c r="H949" s="22">
        <v>1</v>
      </c>
      <c r="I949" s="19" t="s">
        <v>40</v>
      </c>
      <c r="J949" s="7" t="s">
        <v>23</v>
      </c>
      <c r="K949" s="16">
        <v>63.877376499999997</v>
      </c>
      <c r="L949" s="16">
        <v>35.398773200000001</v>
      </c>
      <c r="M949" s="16">
        <v>6.8754453699999996</v>
      </c>
      <c r="N949" s="16">
        <v>62.819515799999998</v>
      </c>
      <c r="O949" s="16">
        <v>4368.9628899999998</v>
      </c>
      <c r="P949" s="16">
        <v>201</v>
      </c>
      <c r="Q949" s="16">
        <v>1.0168396200000001</v>
      </c>
      <c r="R949" s="16">
        <v>1.60534763</v>
      </c>
      <c r="S949" s="16">
        <v>100.84716299999999</v>
      </c>
      <c r="T949" s="16">
        <v>0.63340777999999998</v>
      </c>
    </row>
    <row r="950" spans="1:20" x14ac:dyDescent="0.2">
      <c r="A950">
        <v>935</v>
      </c>
      <c r="B950" s="8">
        <v>46221</v>
      </c>
      <c r="C950" s="9">
        <v>0.44321759259259258</v>
      </c>
      <c r="D950" s="7" t="s">
        <v>18</v>
      </c>
      <c r="E950" s="13" t="s">
        <v>37</v>
      </c>
      <c r="F950" s="16">
        <v>76.478039899999999</v>
      </c>
      <c r="G950" s="129">
        <v>2061.57251</v>
      </c>
      <c r="H950" s="22">
        <v>0</v>
      </c>
      <c r="I950" s="19"/>
      <c r="J950" s="7" t="s">
        <v>23</v>
      </c>
      <c r="K950" s="16"/>
      <c r="L950" s="16"/>
      <c r="M950" s="16"/>
      <c r="N950" s="16"/>
      <c r="O950" s="16"/>
      <c r="P950" s="16"/>
      <c r="Q950" s="16"/>
      <c r="R950" s="16"/>
      <c r="S950" s="16"/>
      <c r="T950" s="16"/>
    </row>
    <row r="951" spans="1:20" x14ac:dyDescent="0.2">
      <c r="A951">
        <v>936</v>
      </c>
      <c r="B951" s="8">
        <v>46221</v>
      </c>
      <c r="C951" s="9">
        <v>0.44337962962962962</v>
      </c>
      <c r="D951" s="7" t="s">
        <v>18</v>
      </c>
      <c r="E951" s="13" t="s">
        <v>33</v>
      </c>
      <c r="F951" s="16">
        <v>83.465227100000007</v>
      </c>
      <c r="G951" s="129">
        <v>1087.74182</v>
      </c>
      <c r="H951" s="22">
        <v>0</v>
      </c>
      <c r="I951" s="19"/>
      <c r="J951" s="7" t="s">
        <v>23</v>
      </c>
      <c r="K951" s="16"/>
      <c r="L951" s="16"/>
      <c r="M951" s="16"/>
      <c r="N951" s="16"/>
      <c r="O951" s="16"/>
      <c r="P951" s="16"/>
      <c r="Q951" s="16"/>
      <c r="R951" s="16"/>
      <c r="S951" s="16"/>
      <c r="T951" s="16"/>
    </row>
    <row r="952" spans="1:20" x14ac:dyDescent="0.2">
      <c r="A952">
        <v>937</v>
      </c>
      <c r="B952" s="8">
        <v>46221</v>
      </c>
      <c r="C952" s="9">
        <v>0.4435648148148148</v>
      </c>
      <c r="D952" s="7" t="s">
        <v>18</v>
      </c>
      <c r="E952" s="13" t="s">
        <v>36</v>
      </c>
      <c r="F952" s="16">
        <v>78.701237300000003</v>
      </c>
      <c r="G952" s="129">
        <v>2099.3620599999999</v>
      </c>
      <c r="H952" s="22">
        <v>0</v>
      </c>
      <c r="I952" s="19"/>
      <c r="J952" s="7" t="s">
        <v>23</v>
      </c>
      <c r="K952" s="16"/>
      <c r="L952" s="16"/>
      <c r="M952" s="16"/>
      <c r="N952" s="16"/>
      <c r="O952" s="16"/>
      <c r="P952" s="16"/>
      <c r="Q952" s="16"/>
      <c r="R952" s="16"/>
      <c r="S952" s="16"/>
      <c r="T952" s="16"/>
    </row>
    <row r="953" spans="1:20" x14ac:dyDescent="0.2">
      <c r="A953">
        <v>938</v>
      </c>
      <c r="B953" s="8">
        <v>46221</v>
      </c>
      <c r="C953" s="9">
        <v>0.44380787037037039</v>
      </c>
      <c r="D953" s="7" t="s">
        <v>18</v>
      </c>
      <c r="E953" s="13" t="s">
        <v>33</v>
      </c>
      <c r="F953" s="16">
        <v>83.211153699999997</v>
      </c>
      <c r="G953" s="129">
        <v>2117.4645999999998</v>
      </c>
      <c r="H953" s="22">
        <v>0</v>
      </c>
      <c r="I953" s="19" t="s">
        <v>48</v>
      </c>
      <c r="J953" s="7" t="s">
        <v>23</v>
      </c>
      <c r="K953" s="16"/>
      <c r="L953" s="16"/>
      <c r="M953" s="16"/>
      <c r="N953" s="16"/>
      <c r="O953" s="16"/>
      <c r="P953" s="16"/>
      <c r="Q953" s="16"/>
      <c r="R953" s="16"/>
      <c r="S953" s="16"/>
      <c r="T953" s="16"/>
    </row>
    <row r="954" spans="1:20" x14ac:dyDescent="0.2">
      <c r="A954">
        <v>939</v>
      </c>
      <c r="B954" s="8">
        <v>46221</v>
      </c>
      <c r="C954" s="9">
        <v>0.44400462962962961</v>
      </c>
      <c r="D954" s="7" t="s">
        <v>18</v>
      </c>
      <c r="E954" s="13" t="s">
        <v>33</v>
      </c>
      <c r="F954" s="16">
        <v>83.719316399999997</v>
      </c>
      <c r="G954" s="129">
        <v>2195.0918000000001</v>
      </c>
      <c r="H954" s="22">
        <v>1</v>
      </c>
      <c r="I954" s="19" t="s">
        <v>39</v>
      </c>
      <c r="J954" s="7" t="s">
        <v>23</v>
      </c>
      <c r="K954" s="16"/>
      <c r="L954" s="16"/>
      <c r="M954" s="16"/>
      <c r="N954" s="16">
        <v>65.005030399999995</v>
      </c>
      <c r="O954" s="16"/>
      <c r="P954" s="16"/>
      <c r="Q954" s="16"/>
      <c r="R954" s="16"/>
      <c r="S954" s="16"/>
      <c r="T954" s="16"/>
    </row>
    <row r="955" spans="1:20" x14ac:dyDescent="0.2">
      <c r="A955">
        <v>983</v>
      </c>
      <c r="B955" s="8">
        <v>46221</v>
      </c>
      <c r="C955" s="9">
        <v>0.46186342592592594</v>
      </c>
      <c r="D955" s="7" t="s">
        <v>18</v>
      </c>
      <c r="E955" s="13" t="s">
        <v>37</v>
      </c>
      <c r="F955" s="16">
        <v>73.556115599999998</v>
      </c>
      <c r="G955" s="129">
        <v>2277.6110800000001</v>
      </c>
      <c r="H955" s="22">
        <v>0</v>
      </c>
      <c r="I955" s="19"/>
      <c r="J955" s="7" t="s">
        <v>23</v>
      </c>
      <c r="K955" s="16"/>
      <c r="L955" s="16"/>
      <c r="M955" s="16"/>
      <c r="N955" s="16"/>
      <c r="O955" s="16"/>
      <c r="P955" s="16"/>
      <c r="Q955" s="16"/>
      <c r="R955" s="16"/>
      <c r="S955" s="16"/>
      <c r="T955" s="16"/>
    </row>
    <row r="956" spans="1:20" x14ac:dyDescent="0.2">
      <c r="A956">
        <v>984</v>
      </c>
      <c r="B956" s="8">
        <v>46221</v>
      </c>
      <c r="C956" s="9">
        <v>0.46206018518518521</v>
      </c>
      <c r="D956" s="7" t="s">
        <v>18</v>
      </c>
      <c r="E956" s="13" t="s">
        <v>33</v>
      </c>
      <c r="F956" s="16">
        <v>84.036914800000005</v>
      </c>
      <c r="G956" s="129">
        <v>1126.9387200000001</v>
      </c>
      <c r="H956" s="22">
        <v>1</v>
      </c>
      <c r="I956" s="19" t="s">
        <v>39</v>
      </c>
      <c r="J956" s="7" t="s">
        <v>23</v>
      </c>
      <c r="K956" s="16"/>
      <c r="L956" s="16"/>
      <c r="M956" s="16"/>
      <c r="N956" s="16">
        <v>67.190545099999994</v>
      </c>
      <c r="O956" s="16"/>
      <c r="P956" s="16"/>
      <c r="Q956" s="16"/>
      <c r="R956" s="16"/>
      <c r="S956" s="16"/>
      <c r="T956" s="16"/>
    </row>
    <row r="957" spans="1:20" x14ac:dyDescent="0.2">
      <c r="A957">
        <v>985</v>
      </c>
      <c r="B957" s="8">
        <v>46221</v>
      </c>
      <c r="C957" s="9">
        <v>0.46225694444444443</v>
      </c>
      <c r="D957" s="7" t="s">
        <v>18</v>
      </c>
      <c r="E957" s="13" t="s">
        <v>33</v>
      </c>
      <c r="F957" s="16">
        <v>85.497872700000002</v>
      </c>
      <c r="G957" s="129">
        <v>2188.1640600000001</v>
      </c>
      <c r="H957" s="22">
        <v>0</v>
      </c>
      <c r="I957" s="19"/>
      <c r="J957" s="7" t="s">
        <v>23</v>
      </c>
      <c r="K957" s="16"/>
      <c r="L957" s="16"/>
      <c r="M957" s="16"/>
      <c r="N957" s="16"/>
      <c r="O957" s="16"/>
      <c r="P957" s="16"/>
      <c r="Q957" s="16"/>
      <c r="R957" s="16"/>
      <c r="S957" s="16"/>
      <c r="T957" s="16"/>
    </row>
    <row r="958" spans="1:20" x14ac:dyDescent="0.2">
      <c r="A958">
        <v>986</v>
      </c>
      <c r="B958" s="8">
        <v>46221</v>
      </c>
      <c r="C958" s="9">
        <v>0.46251157407407406</v>
      </c>
      <c r="D958" s="7" t="s">
        <v>18</v>
      </c>
      <c r="E958" s="13" t="s">
        <v>36</v>
      </c>
      <c r="F958" s="16">
        <v>78.002519100000001</v>
      </c>
      <c r="G958" s="129">
        <v>2128.9231</v>
      </c>
      <c r="H958" s="22">
        <v>0</v>
      </c>
      <c r="I958" s="19"/>
      <c r="J958" s="7" t="s">
        <v>23</v>
      </c>
      <c r="K958" s="16"/>
      <c r="L958" s="16"/>
      <c r="M958" s="16"/>
      <c r="N958" s="16"/>
      <c r="O958" s="16"/>
      <c r="P958" s="16"/>
      <c r="Q958" s="16"/>
      <c r="R958" s="16"/>
      <c r="S958" s="16"/>
      <c r="T958" s="16"/>
    </row>
    <row r="959" spans="1:20" x14ac:dyDescent="0.2">
      <c r="A959">
        <v>987</v>
      </c>
      <c r="B959" s="8">
        <v>46221</v>
      </c>
      <c r="C959" s="9">
        <v>0.46273148148148147</v>
      </c>
      <c r="D959" s="7" t="s">
        <v>18</v>
      </c>
      <c r="E959" s="13" t="s">
        <v>33</v>
      </c>
      <c r="F959" s="16">
        <v>83.465227100000007</v>
      </c>
      <c r="G959" s="129">
        <v>2217.4401899999998</v>
      </c>
      <c r="H959" s="22">
        <v>1</v>
      </c>
      <c r="I959" s="19" t="s">
        <v>40</v>
      </c>
      <c r="J959" s="7" t="s">
        <v>23</v>
      </c>
      <c r="K959" s="16">
        <v>75.140489700000003</v>
      </c>
      <c r="L959" s="16">
        <v>49.926746399999999</v>
      </c>
      <c r="M959" s="16">
        <v>18.119648000000002</v>
      </c>
      <c r="N959" s="16">
        <v>66.125806699999998</v>
      </c>
      <c r="O959" s="16">
        <v>4141.9584999999997</v>
      </c>
      <c r="P959" s="16">
        <v>256</v>
      </c>
      <c r="Q959" s="16">
        <v>1.1363261899999999</v>
      </c>
      <c r="R959" s="16">
        <v>1.6193743899999999</v>
      </c>
      <c r="S959" s="16">
        <v>107.08244000000001</v>
      </c>
      <c r="T959" s="16">
        <v>0.70170692000000001</v>
      </c>
    </row>
    <row r="960" spans="1:20" x14ac:dyDescent="0.2">
      <c r="A960">
        <v>1034</v>
      </c>
      <c r="B960" s="8">
        <v>46221</v>
      </c>
      <c r="C960" s="9">
        <v>0.48128472222222224</v>
      </c>
      <c r="D960" s="7" t="s">
        <v>27</v>
      </c>
      <c r="E960" s="13" t="s">
        <v>33</v>
      </c>
      <c r="F960" s="16">
        <v>77.621399400000001</v>
      </c>
      <c r="G960" s="129">
        <v>2034.2775899999999</v>
      </c>
      <c r="H960" s="22"/>
      <c r="I960" s="19"/>
      <c r="J960" s="7" t="s">
        <v>23</v>
      </c>
      <c r="K960" s="16"/>
      <c r="L960" s="16"/>
      <c r="M960" s="16"/>
      <c r="N960" s="16"/>
      <c r="O960" s="16"/>
      <c r="P960" s="16"/>
      <c r="Q960" s="16"/>
      <c r="R960" s="16"/>
      <c r="S960" s="16"/>
      <c r="T960" s="16"/>
    </row>
    <row r="961" spans="1:20" x14ac:dyDescent="0.2">
      <c r="A961">
        <v>1035</v>
      </c>
      <c r="B961" s="8">
        <v>46221</v>
      </c>
      <c r="C961" s="9">
        <v>0.48152777777777778</v>
      </c>
      <c r="D961" s="7" t="s">
        <v>27</v>
      </c>
      <c r="E961" s="13" t="s">
        <v>33</v>
      </c>
      <c r="F961" s="16">
        <v>77.621399400000001</v>
      </c>
      <c r="G961" s="129">
        <v>1044.98047</v>
      </c>
      <c r="H961" s="22">
        <v>1</v>
      </c>
      <c r="I961" s="19" t="s">
        <v>39</v>
      </c>
      <c r="J961" s="7" t="s">
        <v>23</v>
      </c>
      <c r="K961" s="16"/>
      <c r="L961" s="16"/>
      <c r="M961" s="16"/>
      <c r="N961" s="16">
        <v>62.763477799999997</v>
      </c>
      <c r="O961" s="16"/>
      <c r="P961" s="16"/>
      <c r="Q961" s="16"/>
      <c r="R961" s="16"/>
      <c r="S961" s="16"/>
      <c r="T961" s="16"/>
    </row>
    <row r="962" spans="1:20" x14ac:dyDescent="0.2">
      <c r="A962">
        <v>1036</v>
      </c>
      <c r="B962" s="8">
        <v>46221</v>
      </c>
      <c r="C962" s="9">
        <v>0.48174768518518518</v>
      </c>
      <c r="D962" s="7" t="s">
        <v>27</v>
      </c>
      <c r="E962" s="13" t="s">
        <v>33</v>
      </c>
      <c r="F962" s="16">
        <v>75.128236000000001</v>
      </c>
      <c r="G962" s="129">
        <v>2061.4182099999998</v>
      </c>
      <c r="H962" s="22"/>
      <c r="I962" s="19"/>
      <c r="J962" s="7" t="s">
        <v>23</v>
      </c>
      <c r="K962" s="16"/>
      <c r="L962" s="16"/>
      <c r="M962" s="16"/>
      <c r="N962" s="16"/>
      <c r="O962" s="16"/>
      <c r="P962" s="16"/>
      <c r="Q962" s="16"/>
      <c r="R962" s="16"/>
      <c r="S962" s="16"/>
      <c r="T962" s="16"/>
    </row>
    <row r="963" spans="1:20" x14ac:dyDescent="0.2">
      <c r="A963">
        <v>1037</v>
      </c>
      <c r="B963" s="8">
        <v>46221</v>
      </c>
      <c r="C963" s="9">
        <v>0.48200231481481481</v>
      </c>
      <c r="D963" s="7" t="s">
        <v>27</v>
      </c>
      <c r="E963" s="13"/>
      <c r="F963" s="16">
        <v>70.173682700000001</v>
      </c>
      <c r="G963" s="129">
        <v>2057.8603499999999</v>
      </c>
      <c r="H963" s="22"/>
      <c r="I963" s="19"/>
      <c r="J963" s="7" t="s">
        <v>23</v>
      </c>
      <c r="K963" s="16"/>
      <c r="L963" s="16"/>
      <c r="M963" s="16"/>
      <c r="N963" s="16"/>
      <c r="O963" s="16"/>
      <c r="P963" s="16"/>
      <c r="Q963" s="16"/>
      <c r="R963" s="16"/>
      <c r="S963" s="16"/>
      <c r="T963" s="16"/>
    </row>
    <row r="964" spans="1:20" x14ac:dyDescent="0.2">
      <c r="A964">
        <v>1038</v>
      </c>
      <c r="B964" s="8">
        <v>46221</v>
      </c>
      <c r="C964" s="9">
        <v>0.48238425925925926</v>
      </c>
      <c r="D964" s="7" t="s">
        <v>27</v>
      </c>
      <c r="E964" s="13" t="s">
        <v>33</v>
      </c>
      <c r="F964" s="16">
        <v>75.461714599999993</v>
      </c>
      <c r="G964" s="129">
        <v>1999.83557</v>
      </c>
      <c r="H964" s="22"/>
      <c r="I964" s="19" t="s">
        <v>38</v>
      </c>
      <c r="J964" s="7" t="s">
        <v>23</v>
      </c>
      <c r="K964" s="16">
        <v>48.438585099999997</v>
      </c>
      <c r="L964" s="16">
        <v>40.524009700000001</v>
      </c>
      <c r="M964" s="16">
        <v>-23.413664000000001</v>
      </c>
      <c r="N964" s="16">
        <v>63.323868099999999</v>
      </c>
      <c r="O964" s="16"/>
      <c r="P964" s="16"/>
      <c r="Q964" s="16">
        <v>0.76493405999999997</v>
      </c>
      <c r="R964" s="16">
        <v>1.6045671699999999</v>
      </c>
      <c r="S964" s="16">
        <v>101.607406</v>
      </c>
      <c r="T964" s="16">
        <v>0.47672300000000001</v>
      </c>
    </row>
    <row r="965" spans="1:20" x14ac:dyDescent="0.2">
      <c r="A965">
        <v>1039</v>
      </c>
      <c r="B965" s="8">
        <v>46221</v>
      </c>
      <c r="C965" s="9">
        <v>0.48273148148148148</v>
      </c>
      <c r="D965" s="7" t="s">
        <v>27</v>
      </c>
      <c r="E965" s="13"/>
      <c r="F965" s="16">
        <v>70.316601399999996</v>
      </c>
      <c r="G965" s="129">
        <v>2063.6718799999999</v>
      </c>
      <c r="H965" s="22">
        <v>1</v>
      </c>
      <c r="I965" s="19" t="s">
        <v>39</v>
      </c>
      <c r="J965" s="7" t="s">
        <v>23</v>
      </c>
      <c r="K965" s="16"/>
      <c r="L965" s="16"/>
      <c r="M965" s="16"/>
      <c r="N965" s="16">
        <v>59.513224800000003</v>
      </c>
      <c r="O965" s="16"/>
      <c r="P965" s="16"/>
      <c r="Q965" s="16"/>
      <c r="R965" s="16"/>
      <c r="S965" s="16"/>
      <c r="T965" s="16"/>
    </row>
    <row r="966" spans="1:20" x14ac:dyDescent="0.2">
      <c r="A966">
        <v>1040</v>
      </c>
      <c r="B966" s="8">
        <v>46221</v>
      </c>
      <c r="C966" s="9">
        <v>0.48303240740740738</v>
      </c>
      <c r="D966" s="7" t="s">
        <v>27</v>
      </c>
      <c r="E966" s="13" t="s">
        <v>33</v>
      </c>
      <c r="F966" s="16">
        <v>76.668595499999995</v>
      </c>
      <c r="G966" s="129">
        <v>999.92156999999997</v>
      </c>
      <c r="H966" s="22"/>
      <c r="I966" s="19" t="s">
        <v>38</v>
      </c>
      <c r="J966" s="7" t="s">
        <v>23</v>
      </c>
      <c r="K966" s="16">
        <v>64.724466300000003</v>
      </c>
      <c r="L966" s="16">
        <v>-14.946776</v>
      </c>
      <c r="M966" s="16">
        <v>-22.082681999999998</v>
      </c>
      <c r="N966" s="16">
        <v>60.802118499999999</v>
      </c>
      <c r="O966" s="16">
        <v>2362.3095699999999</v>
      </c>
      <c r="P966" s="16"/>
      <c r="Q966" s="16">
        <v>1.0645101100000001</v>
      </c>
      <c r="R966" s="16">
        <v>1.6163716299999999</v>
      </c>
      <c r="S966" s="16">
        <v>98.278821899999997</v>
      </c>
      <c r="T966" s="16">
        <v>0.65858000000000005</v>
      </c>
    </row>
    <row r="967" spans="1:20" x14ac:dyDescent="0.2">
      <c r="A967">
        <v>1041</v>
      </c>
      <c r="B967" s="8">
        <v>46221</v>
      </c>
      <c r="C967" s="9">
        <v>0.48332175925925924</v>
      </c>
      <c r="D967" s="7" t="s">
        <v>27</v>
      </c>
      <c r="E967" s="13"/>
      <c r="F967" s="16">
        <v>69.808443199999999</v>
      </c>
      <c r="G967" s="129">
        <v>1003.7753300000001</v>
      </c>
      <c r="H967" s="22"/>
      <c r="I967" s="19" t="s">
        <v>40</v>
      </c>
      <c r="J967" s="7" t="s">
        <v>23</v>
      </c>
      <c r="K967" s="16">
        <v>66.925195700000003</v>
      </c>
      <c r="L967" s="16">
        <v>-17.527082</v>
      </c>
      <c r="M967" s="16">
        <v>-38.858134999999997</v>
      </c>
      <c r="N967" s="16">
        <v>60.802118499999999</v>
      </c>
      <c r="O967" s="16"/>
      <c r="P967" s="16">
        <v>8</v>
      </c>
      <c r="Q967" s="16">
        <v>1.1007050300000001</v>
      </c>
      <c r="R967" s="16">
        <v>1.58815777</v>
      </c>
      <c r="S967" s="16">
        <v>96.563351999999995</v>
      </c>
      <c r="T967" s="16">
        <v>0.69307030000000003</v>
      </c>
    </row>
    <row r="968" spans="1:20" x14ac:dyDescent="0.2">
      <c r="A968">
        <v>1117</v>
      </c>
      <c r="B968" s="1">
        <v>46224</v>
      </c>
      <c r="C968" s="2">
        <v>0.75569444444444445</v>
      </c>
      <c r="D968" t="s">
        <v>25</v>
      </c>
      <c r="E968" s="10" t="s">
        <v>37</v>
      </c>
      <c r="F968" s="11">
        <v>70.319805600999999</v>
      </c>
      <c r="G968" s="4">
        <v>2110.14282</v>
      </c>
      <c r="H968" s="20">
        <v>1</v>
      </c>
      <c r="J968" t="s">
        <v>23</v>
      </c>
    </row>
    <row r="969" spans="1:20" x14ac:dyDescent="0.2">
      <c r="A969">
        <v>1118</v>
      </c>
      <c r="B969" s="1">
        <v>46224</v>
      </c>
      <c r="C969" s="2">
        <v>0.75596064814814812</v>
      </c>
      <c r="D969" t="s">
        <v>25</v>
      </c>
      <c r="E969" s="10" t="s">
        <v>37</v>
      </c>
      <c r="F969" s="11">
        <v>73.719808736000005</v>
      </c>
      <c r="G969" s="4">
        <v>2210.1137699999999</v>
      </c>
      <c r="H969" s="20">
        <v>1</v>
      </c>
      <c r="I969" s="17" t="s">
        <v>40</v>
      </c>
      <c r="J969" t="s">
        <v>23</v>
      </c>
      <c r="K969" s="11">
        <v>67.028281558000003</v>
      </c>
      <c r="L969" s="11">
        <v>26.8131752</v>
      </c>
      <c r="M969" s="11">
        <v>14.201465600000001</v>
      </c>
      <c r="N969" s="11">
        <v>58.541148628999998</v>
      </c>
      <c r="O969" s="11">
        <v>3029.5087899999999</v>
      </c>
      <c r="P969" s="11">
        <v>194</v>
      </c>
      <c r="Q969" s="11">
        <v>1.14497721</v>
      </c>
      <c r="R969" s="11">
        <v>1.63441741</v>
      </c>
      <c r="S969" s="11">
        <v>95.680674246999999</v>
      </c>
      <c r="T969" s="11">
        <v>0.70054153399999997</v>
      </c>
    </row>
    <row r="970" spans="1:20" x14ac:dyDescent="0.2">
      <c r="A970">
        <v>1159</v>
      </c>
      <c r="B970" s="1">
        <v>46224</v>
      </c>
      <c r="C970" s="2">
        <v>0.77182870370370371</v>
      </c>
      <c r="D970" t="s">
        <v>25</v>
      </c>
      <c r="E970" s="10" t="s">
        <v>37</v>
      </c>
      <c r="F970" s="11">
        <v>72.575885970000002</v>
      </c>
      <c r="G970" s="4">
        <v>2148.6709000000001</v>
      </c>
      <c r="H970" s="20">
        <v>1</v>
      </c>
      <c r="I970" s="17" t="s">
        <v>39</v>
      </c>
      <c r="J970" t="s">
        <v>23</v>
      </c>
      <c r="N970" s="11">
        <v>61.818550223999999</v>
      </c>
    </row>
    <row r="971" spans="1:20" x14ac:dyDescent="0.2">
      <c r="A971">
        <v>1160</v>
      </c>
      <c r="B971" s="1">
        <v>46224</v>
      </c>
      <c r="C971" s="2">
        <v>0.77208333333333334</v>
      </c>
      <c r="D971" t="s">
        <v>25</v>
      </c>
      <c r="E971" s="10" t="s">
        <v>33</v>
      </c>
      <c r="F971" s="11">
        <v>85.921709880999998</v>
      </c>
      <c r="G971" s="4">
        <v>1943.8278800000001</v>
      </c>
      <c r="H971" s="20">
        <v>1</v>
      </c>
      <c r="I971" s="17" t="s">
        <v>39</v>
      </c>
      <c r="J971" t="s">
        <v>23</v>
      </c>
      <c r="N971" s="11">
        <v>62.214099787000002</v>
      </c>
    </row>
    <row r="972" spans="1:20" x14ac:dyDescent="0.2">
      <c r="A972">
        <v>1161</v>
      </c>
      <c r="B972" s="1">
        <v>46224</v>
      </c>
      <c r="C972" s="2">
        <v>0.77243055555555551</v>
      </c>
      <c r="D972" t="s">
        <v>25</v>
      </c>
      <c r="E972" s="10" t="s">
        <v>33</v>
      </c>
      <c r="F972" s="11">
        <v>85.985265259000002</v>
      </c>
      <c r="G972" s="4">
        <v>2015.5945999999999</v>
      </c>
      <c r="H972" s="20">
        <v>1</v>
      </c>
      <c r="I972" s="17" t="s">
        <v>42</v>
      </c>
      <c r="J972" t="s">
        <v>23</v>
      </c>
    </row>
    <row r="973" spans="1:20" x14ac:dyDescent="0.2">
      <c r="A973">
        <v>1249</v>
      </c>
      <c r="B973" s="1">
        <v>46228</v>
      </c>
      <c r="C973" s="2">
        <v>0.44797453703703705</v>
      </c>
      <c r="D973" t="s">
        <v>21</v>
      </c>
      <c r="E973" s="10" t="s">
        <v>33</v>
      </c>
      <c r="F973" s="11">
        <v>80.543315136999993</v>
      </c>
      <c r="G973" s="4">
        <v>2076.3205600000001</v>
      </c>
      <c r="H973" s="20">
        <v>1</v>
      </c>
      <c r="I973" s="17" t="s">
        <v>40</v>
      </c>
      <c r="J973" t="s">
        <v>23</v>
      </c>
      <c r="K973" s="11">
        <v>83.871080004000007</v>
      </c>
      <c r="L973" s="11">
        <v>17.176250499999998</v>
      </c>
      <c r="M973" s="11">
        <v>-27.128793699999999</v>
      </c>
      <c r="N973" s="11">
        <v>59.419606594000001</v>
      </c>
      <c r="O973" s="11">
        <v>1952.5056199999999</v>
      </c>
      <c r="P973" s="11">
        <v>210</v>
      </c>
      <c r="Q973" s="11">
        <v>1.4115051000000001</v>
      </c>
      <c r="R973" s="11">
        <v>1.65510869</v>
      </c>
      <c r="S973" s="11">
        <v>98.345901620000006</v>
      </c>
      <c r="T973" s="14">
        <v>0.85281722999999998</v>
      </c>
    </row>
    <row r="974" spans="1:20" x14ac:dyDescent="0.2">
      <c r="A974">
        <v>19</v>
      </c>
      <c r="B974" s="1">
        <v>46193</v>
      </c>
      <c r="C974" s="2">
        <v>0.80440972222222218</v>
      </c>
      <c r="D974" t="s">
        <v>18</v>
      </c>
      <c r="E974" s="10" t="s">
        <v>37</v>
      </c>
      <c r="F974" s="11">
        <v>73.984876479999997</v>
      </c>
      <c r="G974" s="4">
        <v>1076.02856</v>
      </c>
      <c r="H974" s="20">
        <v>1</v>
      </c>
      <c r="I974" s="17" t="s">
        <v>39</v>
      </c>
      <c r="J974" t="s">
        <v>19</v>
      </c>
      <c r="N974" s="11">
        <v>62.261254397999998</v>
      </c>
    </row>
    <row r="975" spans="1:20" x14ac:dyDescent="0.2">
      <c r="A975">
        <v>20</v>
      </c>
      <c r="B975" s="1">
        <v>46193</v>
      </c>
      <c r="C975" s="2">
        <v>0.80465277777777777</v>
      </c>
      <c r="D975" t="s">
        <v>18</v>
      </c>
      <c r="E975" s="10" t="s">
        <v>33</v>
      </c>
      <c r="F975" s="11">
        <v>84.799154328</v>
      </c>
      <c r="G975" s="4">
        <v>2245.5300000000002</v>
      </c>
      <c r="H975" s="20">
        <v>1</v>
      </c>
      <c r="J975" t="s">
        <v>19</v>
      </c>
    </row>
    <row r="976" spans="1:20" x14ac:dyDescent="0.2">
      <c r="A976">
        <v>21</v>
      </c>
      <c r="B976" s="1">
        <v>46193</v>
      </c>
      <c r="C976" s="2">
        <v>0.80484953703703699</v>
      </c>
      <c r="D976" t="s">
        <v>18</v>
      </c>
      <c r="E976" s="10" t="s">
        <v>37</v>
      </c>
      <c r="F976" s="11">
        <v>74.318355319999995</v>
      </c>
      <c r="G976" s="4">
        <v>1137.0358900000001</v>
      </c>
      <c r="H976" s="20">
        <v>1</v>
      </c>
      <c r="I976" s="17" t="s">
        <v>38</v>
      </c>
      <c r="J976" t="s">
        <v>19</v>
      </c>
      <c r="N976" s="11">
        <v>62.710793754000001</v>
      </c>
    </row>
    <row r="977" spans="1:20" x14ac:dyDescent="0.2">
      <c r="A977">
        <v>22</v>
      </c>
      <c r="B977" s="1">
        <v>46193</v>
      </c>
      <c r="C977" s="2">
        <v>0.80540509259259263</v>
      </c>
      <c r="D977" t="s">
        <v>18</v>
      </c>
      <c r="E977" s="10" t="s">
        <v>36</v>
      </c>
      <c r="F977" s="11">
        <v>79.574639529999999</v>
      </c>
      <c r="G977" s="4">
        <v>2189.39941</v>
      </c>
      <c r="H977" s="20">
        <v>0</v>
      </c>
      <c r="J977" t="s">
        <v>19</v>
      </c>
    </row>
    <row r="978" spans="1:20" x14ac:dyDescent="0.2">
      <c r="A978">
        <v>23</v>
      </c>
      <c r="B978" s="1">
        <v>46193</v>
      </c>
      <c r="C978" s="2">
        <v>0.80562500000000004</v>
      </c>
      <c r="D978" t="s">
        <v>18</v>
      </c>
      <c r="E978" s="10" t="s">
        <v>33</v>
      </c>
      <c r="F978" s="11">
        <v>84.973829725000002</v>
      </c>
      <c r="G978" s="4">
        <v>2465.60205</v>
      </c>
      <c r="H978" s="20">
        <v>1</v>
      </c>
      <c r="I978" s="17" t="s">
        <v>42</v>
      </c>
      <c r="J978" t="s">
        <v>19</v>
      </c>
    </row>
    <row r="979" spans="1:20" x14ac:dyDescent="0.2">
      <c r="A979">
        <v>73</v>
      </c>
      <c r="B979" s="1">
        <v>46193</v>
      </c>
      <c r="C979" s="2">
        <v>0.8344907407407407</v>
      </c>
      <c r="D979" t="s">
        <v>21</v>
      </c>
      <c r="E979" s="10" t="s">
        <v>33</v>
      </c>
      <c r="F979" s="11">
        <v>86.196590839999999</v>
      </c>
      <c r="G979" s="4">
        <v>1105.03979</v>
      </c>
      <c r="H979" s="20">
        <v>0</v>
      </c>
      <c r="J979" t="s">
        <v>19</v>
      </c>
    </row>
    <row r="980" spans="1:20" x14ac:dyDescent="0.2">
      <c r="A980">
        <v>74</v>
      </c>
      <c r="B980" s="1">
        <v>46193</v>
      </c>
      <c r="C980" s="2">
        <v>0.8347106481481481</v>
      </c>
      <c r="D980" t="s">
        <v>21</v>
      </c>
      <c r="E980" s="10" t="s">
        <v>33</v>
      </c>
      <c r="F980" s="11">
        <v>82.401273019000001</v>
      </c>
      <c r="G980" s="4">
        <v>1139.7742900000001</v>
      </c>
      <c r="H980" s="20">
        <v>0</v>
      </c>
      <c r="J980" t="s">
        <v>19</v>
      </c>
    </row>
    <row r="981" spans="1:20" x14ac:dyDescent="0.2">
      <c r="A981">
        <v>75</v>
      </c>
      <c r="B981" s="1">
        <v>46193</v>
      </c>
      <c r="C981" s="2">
        <v>0.83491898148148147</v>
      </c>
      <c r="D981" t="s">
        <v>21</v>
      </c>
      <c r="E981" s="10" t="s">
        <v>46</v>
      </c>
      <c r="F981" s="11">
        <v>71.587003672999998</v>
      </c>
      <c r="G981" s="4">
        <v>155.72331199999999</v>
      </c>
      <c r="H981" s="20">
        <v>0</v>
      </c>
      <c r="J981" t="s">
        <v>19</v>
      </c>
    </row>
    <row r="982" spans="1:20" x14ac:dyDescent="0.2">
      <c r="A982">
        <v>76</v>
      </c>
      <c r="B982" s="1">
        <v>46193</v>
      </c>
      <c r="C982" s="2">
        <v>0.83535879629629628</v>
      </c>
      <c r="D982" t="s">
        <v>21</v>
      </c>
      <c r="E982" s="10" t="s">
        <v>37</v>
      </c>
      <c r="F982" s="11">
        <v>73.556115575000007</v>
      </c>
      <c r="G982" s="4">
        <v>2158.9992699999998</v>
      </c>
      <c r="H982" s="20">
        <v>1</v>
      </c>
      <c r="J982" t="s">
        <v>19</v>
      </c>
    </row>
    <row r="983" spans="1:20" x14ac:dyDescent="0.2">
      <c r="A983">
        <v>77</v>
      </c>
      <c r="B983" s="1">
        <v>46193</v>
      </c>
      <c r="C983" s="2">
        <v>0.83554398148148146</v>
      </c>
      <c r="D983" t="s">
        <v>21</v>
      </c>
      <c r="E983" s="10" t="s">
        <v>37</v>
      </c>
      <c r="F983" s="11">
        <v>72.333362961000006</v>
      </c>
      <c r="G983" s="4">
        <v>2178.93604</v>
      </c>
      <c r="H983" s="20">
        <v>1</v>
      </c>
      <c r="J983" t="s">
        <v>19</v>
      </c>
    </row>
    <row r="984" spans="1:20" x14ac:dyDescent="0.2">
      <c r="A984">
        <v>78</v>
      </c>
      <c r="B984" s="1">
        <v>46193</v>
      </c>
      <c r="C984" s="2">
        <v>0.83572916666666663</v>
      </c>
      <c r="D984" t="s">
        <v>21</v>
      </c>
      <c r="E984" s="10" t="s">
        <v>37</v>
      </c>
      <c r="F984" s="11">
        <v>73.349679713</v>
      </c>
      <c r="G984" s="4">
        <v>1056.3493699999999</v>
      </c>
      <c r="H984" s="20">
        <v>1</v>
      </c>
      <c r="I984" s="17" t="s">
        <v>40</v>
      </c>
      <c r="J984" t="s">
        <v>19</v>
      </c>
      <c r="K984" s="11">
        <v>69.604063702000005</v>
      </c>
      <c r="L984" s="11">
        <v>-26.421028100000001</v>
      </c>
      <c r="M984" s="11">
        <v>-43.215694399999997</v>
      </c>
      <c r="N984" s="11">
        <v>63.328911292000001</v>
      </c>
      <c r="P984" s="11">
        <v>7</v>
      </c>
      <c r="Q984" s="11">
        <v>1.09908831</v>
      </c>
      <c r="R984" s="11">
        <v>1.46979916</v>
      </c>
      <c r="S984" s="11">
        <v>93.080785539000004</v>
      </c>
      <c r="T984" s="11">
        <v>0.74778121900000005</v>
      </c>
    </row>
    <row r="985" spans="1:20" x14ac:dyDescent="0.2">
      <c r="A985">
        <v>111</v>
      </c>
      <c r="B985" s="1">
        <v>46193</v>
      </c>
      <c r="C985" s="2">
        <v>0.85116898148148146</v>
      </c>
      <c r="D985" t="s">
        <v>34</v>
      </c>
      <c r="E985" s="10" t="s">
        <v>33</v>
      </c>
      <c r="F985" s="11">
        <v>83.719316422999995</v>
      </c>
      <c r="G985" s="4">
        <v>2392.0083</v>
      </c>
      <c r="J985" t="s">
        <v>19</v>
      </c>
    </row>
    <row r="986" spans="1:20" x14ac:dyDescent="0.2">
      <c r="A986">
        <v>112</v>
      </c>
      <c r="B986" s="1">
        <v>46193</v>
      </c>
      <c r="C986" s="2">
        <v>0.85141203703703705</v>
      </c>
      <c r="D986" t="s">
        <v>34</v>
      </c>
      <c r="F986" s="11">
        <v>67.632882409999993</v>
      </c>
      <c r="G986" s="4">
        <v>1985.7572</v>
      </c>
      <c r="J986" t="s">
        <v>19</v>
      </c>
    </row>
    <row r="987" spans="1:20" x14ac:dyDescent="0.2">
      <c r="A987">
        <v>113</v>
      </c>
      <c r="B987" s="1">
        <v>46193</v>
      </c>
      <c r="C987" s="2">
        <v>0.85160879629629627</v>
      </c>
      <c r="D987" t="s">
        <v>34</v>
      </c>
      <c r="E987" s="10" t="s">
        <v>33</v>
      </c>
      <c r="F987" s="11">
        <v>84.465675712000007</v>
      </c>
      <c r="G987" s="4">
        <v>1173.25793</v>
      </c>
      <c r="I987" s="17" t="s">
        <v>38</v>
      </c>
      <c r="J987" t="s">
        <v>19</v>
      </c>
      <c r="L987" s="11">
        <v>-59.299182899999998</v>
      </c>
      <c r="N987" s="11">
        <v>62.93556332</v>
      </c>
      <c r="O987" s="11">
        <v>1341.0124499999999</v>
      </c>
      <c r="P987" s="11">
        <v>6</v>
      </c>
    </row>
    <row r="988" spans="1:20" x14ac:dyDescent="0.2">
      <c r="A988">
        <v>114</v>
      </c>
      <c r="B988" s="1">
        <v>46193</v>
      </c>
      <c r="C988" s="2">
        <v>0.8521643518518518</v>
      </c>
      <c r="D988" t="s">
        <v>34</v>
      </c>
      <c r="E988" s="10" t="s">
        <v>33</v>
      </c>
      <c r="F988" s="11">
        <v>84.036914807000002</v>
      </c>
      <c r="G988" s="4">
        <v>2360.9677700000002</v>
      </c>
      <c r="I988" s="17" t="s">
        <v>38</v>
      </c>
      <c r="J988" t="s">
        <v>19</v>
      </c>
      <c r="L988" s="11">
        <v>-62.503902400000001</v>
      </c>
      <c r="M988" s="11">
        <v>-1.9281446900000001</v>
      </c>
      <c r="N988" s="11">
        <v>61.755519630000002</v>
      </c>
      <c r="O988" s="11">
        <v>1345.9019800000001</v>
      </c>
      <c r="P988" s="11">
        <v>10</v>
      </c>
    </row>
    <row r="989" spans="1:20" x14ac:dyDescent="0.2">
      <c r="A989">
        <v>115</v>
      </c>
      <c r="B989" s="1">
        <v>46193</v>
      </c>
      <c r="C989" s="2">
        <v>0.8523263888888889</v>
      </c>
      <c r="D989" t="s">
        <v>34</v>
      </c>
      <c r="F989" s="11">
        <v>69.538481435999998</v>
      </c>
      <c r="G989" s="4">
        <v>1757.00073</v>
      </c>
      <c r="J989" t="s">
        <v>19</v>
      </c>
    </row>
    <row r="990" spans="1:20" x14ac:dyDescent="0.2">
      <c r="A990">
        <v>116</v>
      </c>
      <c r="B990" s="1">
        <v>46193</v>
      </c>
      <c r="C990" s="2">
        <v>0.85248842592592589</v>
      </c>
      <c r="D990" t="s">
        <v>34</v>
      </c>
      <c r="E990" s="10" t="s">
        <v>33</v>
      </c>
      <c r="F990" s="11">
        <v>83.385837582999997</v>
      </c>
      <c r="G990" s="4">
        <v>1182.26965</v>
      </c>
      <c r="I990" s="17" t="s">
        <v>40</v>
      </c>
      <c r="J990" t="s">
        <v>19</v>
      </c>
      <c r="K990" s="11">
        <v>58.264253756999999</v>
      </c>
      <c r="L990" s="11">
        <v>-1.4406265</v>
      </c>
      <c r="M990" s="11">
        <v>18.6416702</v>
      </c>
      <c r="N990" s="11">
        <v>66.588073356999999</v>
      </c>
      <c r="O990" s="11">
        <v>2167.87183</v>
      </c>
      <c r="P990" s="11">
        <v>36</v>
      </c>
      <c r="Q990" s="11">
        <v>0.87499535100000003</v>
      </c>
      <c r="R990" s="11">
        <v>1.49352109</v>
      </c>
      <c r="S990" s="11">
        <v>99.450690980000005</v>
      </c>
      <c r="T990" s="11">
        <v>0.58586070999999995</v>
      </c>
    </row>
    <row r="991" spans="1:20" x14ac:dyDescent="0.2">
      <c r="A991">
        <v>144</v>
      </c>
      <c r="B991" s="1">
        <v>46193</v>
      </c>
      <c r="C991" s="2">
        <v>0.86131944444444442</v>
      </c>
      <c r="D991" t="s">
        <v>34</v>
      </c>
      <c r="E991" s="10" t="s">
        <v>37</v>
      </c>
      <c r="F991" s="11">
        <v>73.111482937999995</v>
      </c>
      <c r="G991" s="4">
        <v>1082.9180899999999</v>
      </c>
      <c r="H991" s="20">
        <v>1</v>
      </c>
      <c r="I991" s="17" t="s">
        <v>39</v>
      </c>
      <c r="J991" t="s">
        <v>19</v>
      </c>
      <c r="N991" s="11">
        <v>59.451631912000003</v>
      </c>
    </row>
    <row r="992" spans="1:20" x14ac:dyDescent="0.2">
      <c r="A992">
        <v>145</v>
      </c>
      <c r="B992" s="1">
        <v>46193</v>
      </c>
      <c r="C992" s="2">
        <v>0.86150462962962959</v>
      </c>
      <c r="D992" t="s">
        <v>34</v>
      </c>
      <c r="E992" s="10" t="s">
        <v>33</v>
      </c>
      <c r="F992" s="11">
        <v>84.926197080999998</v>
      </c>
      <c r="G992" s="4">
        <v>2272.8754899999999</v>
      </c>
      <c r="H992" s="20">
        <v>1</v>
      </c>
      <c r="J992" t="s">
        <v>19</v>
      </c>
    </row>
    <row r="993" spans="1:20" x14ac:dyDescent="0.2">
      <c r="A993">
        <v>146</v>
      </c>
      <c r="B993" s="1">
        <v>46193</v>
      </c>
      <c r="C993" s="2">
        <v>0.86168981481481477</v>
      </c>
      <c r="D993" t="s">
        <v>34</v>
      </c>
      <c r="E993" s="10" t="s">
        <v>37</v>
      </c>
      <c r="F993" s="11">
        <v>73.603756720000007</v>
      </c>
      <c r="G993" s="4">
        <v>2487.6069299999999</v>
      </c>
      <c r="H993" s="20">
        <v>1</v>
      </c>
      <c r="I993" s="17" t="s">
        <v>45</v>
      </c>
      <c r="J993" t="s">
        <v>19</v>
      </c>
      <c r="N993" s="11">
        <v>60.013553815000002</v>
      </c>
    </row>
    <row r="994" spans="1:20" x14ac:dyDescent="0.2">
      <c r="A994">
        <v>184</v>
      </c>
      <c r="B994" s="1">
        <v>46193</v>
      </c>
      <c r="C994" s="2">
        <v>0.88443287037037033</v>
      </c>
      <c r="D994" t="s">
        <v>28</v>
      </c>
      <c r="E994" s="10" t="s">
        <v>37</v>
      </c>
      <c r="F994" s="11">
        <v>72.714482722</v>
      </c>
      <c r="G994" s="4">
        <v>2443.71387</v>
      </c>
      <c r="H994" s="20">
        <v>0</v>
      </c>
      <c r="J994" t="s">
        <v>19</v>
      </c>
    </row>
    <row r="995" spans="1:20" x14ac:dyDescent="0.2">
      <c r="A995">
        <v>185</v>
      </c>
      <c r="B995" s="1">
        <v>46193</v>
      </c>
      <c r="C995" s="2">
        <v>0.88462962962962965</v>
      </c>
      <c r="D995" t="s">
        <v>28</v>
      </c>
      <c r="E995" s="10" t="s">
        <v>37</v>
      </c>
      <c r="F995" s="11">
        <v>71.317041958999994</v>
      </c>
      <c r="G995" s="4">
        <v>1254.8211699999999</v>
      </c>
      <c r="H995" s="20">
        <v>0</v>
      </c>
      <c r="J995" t="s">
        <v>19</v>
      </c>
    </row>
    <row r="996" spans="1:20" x14ac:dyDescent="0.2">
      <c r="A996">
        <v>186</v>
      </c>
      <c r="B996" s="1">
        <v>46193</v>
      </c>
      <c r="C996" s="2">
        <v>0.88482638888888887</v>
      </c>
      <c r="D996" t="s">
        <v>28</v>
      </c>
      <c r="E996" s="10" t="s">
        <v>33</v>
      </c>
      <c r="F996" s="11">
        <v>75.652280746000002</v>
      </c>
      <c r="G996" s="4">
        <v>2034.4204099999999</v>
      </c>
      <c r="H996" s="20">
        <v>0</v>
      </c>
      <c r="J996" t="s">
        <v>19</v>
      </c>
    </row>
    <row r="997" spans="1:20" x14ac:dyDescent="0.2">
      <c r="A997">
        <v>187</v>
      </c>
      <c r="B997" s="1">
        <v>46193</v>
      </c>
      <c r="C997" s="2">
        <v>0.88510416666666669</v>
      </c>
      <c r="D997" t="s">
        <v>28</v>
      </c>
      <c r="E997" s="10" t="s">
        <v>37</v>
      </c>
      <c r="F997" s="11">
        <v>71.968123433000002</v>
      </c>
      <c r="G997" s="4">
        <v>1250.33887</v>
      </c>
      <c r="H997" s="20">
        <v>0</v>
      </c>
      <c r="I997" s="17" t="s">
        <v>48</v>
      </c>
      <c r="J997" t="s">
        <v>19</v>
      </c>
    </row>
    <row r="998" spans="1:20" x14ac:dyDescent="0.2">
      <c r="A998">
        <v>188</v>
      </c>
      <c r="B998" s="1">
        <v>46193</v>
      </c>
      <c r="C998" s="2">
        <v>0.88553240740740746</v>
      </c>
      <c r="D998" t="s">
        <v>28</v>
      </c>
      <c r="E998" s="10" t="s">
        <v>33</v>
      </c>
      <c r="F998" s="11">
        <v>76.922680990999993</v>
      </c>
      <c r="G998" s="4">
        <v>1081.79333</v>
      </c>
      <c r="H998" s="20">
        <v>1</v>
      </c>
      <c r="I998" s="17" t="s">
        <v>38</v>
      </c>
      <c r="J998" t="s">
        <v>19</v>
      </c>
      <c r="K998" s="11">
        <v>76.215497834000004</v>
      </c>
      <c r="L998" s="11">
        <v>-13.547279400000001</v>
      </c>
      <c r="M998" s="11">
        <v>-32.391033200000003</v>
      </c>
      <c r="N998" s="11">
        <v>63.104141724999998</v>
      </c>
      <c r="P998" s="11">
        <v>7</v>
      </c>
      <c r="Q998" s="11">
        <v>1.20777333</v>
      </c>
      <c r="R998" s="11">
        <v>1.48512423</v>
      </c>
      <c r="S998" s="11">
        <v>93.717492909000001</v>
      </c>
      <c r="T998" s="11">
        <v>0.81324729899999904</v>
      </c>
    </row>
    <row r="999" spans="1:20" x14ac:dyDescent="0.2">
      <c r="A999">
        <v>222</v>
      </c>
      <c r="B999" s="1">
        <v>46197</v>
      </c>
      <c r="C999" s="2">
        <v>0.59020833333333333</v>
      </c>
      <c r="D999" t="s">
        <v>28</v>
      </c>
      <c r="E999" s="10" t="s">
        <v>37</v>
      </c>
      <c r="F999" s="11">
        <v>72.523918590999997</v>
      </c>
      <c r="G999" s="4">
        <v>2426.4875499999998</v>
      </c>
      <c r="H999" s="20">
        <v>0</v>
      </c>
      <c r="J999" t="s">
        <v>19</v>
      </c>
    </row>
    <row r="1000" spans="1:20" x14ac:dyDescent="0.2">
      <c r="A1000">
        <v>223</v>
      </c>
      <c r="B1000" s="1">
        <v>46197</v>
      </c>
      <c r="C1000" s="2">
        <v>0.59038194444444447</v>
      </c>
      <c r="D1000" t="s">
        <v>28</v>
      </c>
      <c r="E1000" s="10" t="s">
        <v>33</v>
      </c>
      <c r="F1000" s="11">
        <v>78.240715894000004</v>
      </c>
      <c r="G1000" s="4">
        <v>1052.63708</v>
      </c>
      <c r="H1000" s="20">
        <v>1</v>
      </c>
      <c r="J1000" t="s">
        <v>19</v>
      </c>
    </row>
    <row r="1001" spans="1:20" x14ac:dyDescent="0.2">
      <c r="A1001">
        <v>224</v>
      </c>
      <c r="B1001" s="1">
        <v>46197</v>
      </c>
      <c r="C1001" s="2">
        <v>0.59057870370370369</v>
      </c>
      <c r="D1001" t="s">
        <v>28</v>
      </c>
      <c r="E1001" s="10" t="s">
        <v>33</v>
      </c>
      <c r="F1001" s="11">
        <v>78.812400233000005</v>
      </c>
      <c r="G1001" s="4">
        <v>2072.8496100000002</v>
      </c>
      <c r="H1001" s="20">
        <v>0</v>
      </c>
      <c r="J1001" t="s">
        <v>19</v>
      </c>
    </row>
    <row r="1002" spans="1:20" x14ac:dyDescent="0.2">
      <c r="A1002">
        <v>225</v>
      </c>
      <c r="B1002" s="1">
        <v>46197</v>
      </c>
      <c r="C1002" s="2">
        <v>0.59076388888888887</v>
      </c>
      <c r="D1002" t="s">
        <v>28</v>
      </c>
      <c r="E1002" s="10" t="s">
        <v>33</v>
      </c>
      <c r="F1002" s="11">
        <v>76.462159622000001</v>
      </c>
      <c r="G1002" s="4">
        <v>1004.54779</v>
      </c>
      <c r="H1002" s="20">
        <v>0</v>
      </c>
      <c r="J1002" t="s">
        <v>19</v>
      </c>
    </row>
    <row r="1003" spans="1:20" x14ac:dyDescent="0.2">
      <c r="A1003">
        <v>226</v>
      </c>
      <c r="B1003" s="1">
        <v>46197</v>
      </c>
      <c r="C1003" s="2">
        <v>0.59094907407407404</v>
      </c>
      <c r="D1003" t="s">
        <v>28</v>
      </c>
      <c r="E1003" s="10" t="s">
        <v>33</v>
      </c>
      <c r="F1003" s="11">
        <v>76.732116860999994</v>
      </c>
      <c r="G1003" s="4">
        <v>996.65753199999995</v>
      </c>
      <c r="H1003" s="20">
        <v>1</v>
      </c>
      <c r="J1003" t="s">
        <v>19</v>
      </c>
    </row>
    <row r="1004" spans="1:20" x14ac:dyDescent="0.2">
      <c r="A1004">
        <v>227</v>
      </c>
      <c r="B1004" s="1">
        <v>46197</v>
      </c>
      <c r="C1004" s="2">
        <v>0.59116898148148145</v>
      </c>
      <c r="D1004" t="s">
        <v>28</v>
      </c>
      <c r="E1004" s="10" t="s">
        <v>37</v>
      </c>
      <c r="F1004" s="11">
        <v>71.777559303000004</v>
      </c>
      <c r="G1004" s="4">
        <v>2408.69263</v>
      </c>
      <c r="H1004" s="20">
        <v>0</v>
      </c>
      <c r="I1004" s="17" t="s">
        <v>48</v>
      </c>
      <c r="J1004" t="s">
        <v>19</v>
      </c>
    </row>
    <row r="1005" spans="1:20" x14ac:dyDescent="0.2">
      <c r="A1005">
        <v>228</v>
      </c>
      <c r="B1005" s="1">
        <v>46197</v>
      </c>
      <c r="C1005" s="2">
        <v>0.5914814814814815</v>
      </c>
      <c r="D1005" t="s">
        <v>28</v>
      </c>
      <c r="E1005" s="10" t="s">
        <v>33</v>
      </c>
      <c r="F1005" s="11">
        <v>78.955314494999996</v>
      </c>
      <c r="G1005" s="4">
        <v>2128.0383299999999</v>
      </c>
      <c r="H1005" s="20">
        <v>0</v>
      </c>
      <c r="J1005" t="s">
        <v>19</v>
      </c>
    </row>
    <row r="1006" spans="1:20" x14ac:dyDescent="0.2">
      <c r="A1006">
        <v>262</v>
      </c>
      <c r="B1006" s="1">
        <v>46197</v>
      </c>
      <c r="C1006" s="2">
        <v>0.60513888888888889</v>
      </c>
      <c r="D1006" t="s">
        <v>28</v>
      </c>
      <c r="E1006" s="10" t="s">
        <v>37</v>
      </c>
      <c r="F1006" s="11">
        <v>73.857842227000006</v>
      </c>
      <c r="G1006" s="4">
        <v>2434.3120100000001</v>
      </c>
      <c r="H1006" s="20">
        <v>0</v>
      </c>
      <c r="J1006" t="s">
        <v>19</v>
      </c>
    </row>
    <row r="1007" spans="1:20" x14ac:dyDescent="0.2">
      <c r="A1007">
        <v>263</v>
      </c>
      <c r="B1007" s="1">
        <v>46197</v>
      </c>
      <c r="C1007" s="2">
        <v>0.60528935185185184</v>
      </c>
      <c r="D1007" t="s">
        <v>28</v>
      </c>
      <c r="E1007" s="10" t="s">
        <v>33</v>
      </c>
      <c r="F1007" s="11">
        <v>78.193074749999994</v>
      </c>
      <c r="G1007" s="4">
        <v>1871.8538799999999</v>
      </c>
      <c r="H1007" s="20">
        <v>0</v>
      </c>
      <c r="J1007" t="s">
        <v>19</v>
      </c>
    </row>
    <row r="1008" spans="1:20" x14ac:dyDescent="0.2">
      <c r="A1008">
        <v>264</v>
      </c>
      <c r="B1008" s="1">
        <v>46197</v>
      </c>
      <c r="C1008" s="2">
        <v>0.60547453703703702</v>
      </c>
      <c r="D1008" t="s">
        <v>28</v>
      </c>
      <c r="E1008" s="10" t="s">
        <v>33</v>
      </c>
      <c r="F1008" s="11">
        <v>78.955314494999996</v>
      </c>
      <c r="G1008" s="4">
        <v>2119.9355500000001</v>
      </c>
      <c r="H1008" s="20">
        <v>0</v>
      </c>
      <c r="I1008" s="17" t="s">
        <v>48</v>
      </c>
      <c r="J1008" t="s">
        <v>19</v>
      </c>
    </row>
    <row r="1009" spans="1:20" x14ac:dyDescent="0.2">
      <c r="A1009">
        <v>265</v>
      </c>
      <c r="B1009" s="1">
        <v>46197</v>
      </c>
      <c r="C1009" s="2">
        <v>0.60570601851851846</v>
      </c>
      <c r="D1009" t="s">
        <v>28</v>
      </c>
      <c r="E1009" s="10" t="s">
        <v>33</v>
      </c>
      <c r="F1009" s="11">
        <v>76.605074106999993</v>
      </c>
      <c r="G1009" s="4">
        <v>1006.67017</v>
      </c>
      <c r="H1009" s="20">
        <v>1</v>
      </c>
      <c r="I1009" s="17" t="s">
        <v>40</v>
      </c>
      <c r="J1009" t="s">
        <v>19</v>
      </c>
      <c r="N1009" s="11">
        <v>61.867906650999998</v>
      </c>
    </row>
    <row r="1010" spans="1:20" x14ac:dyDescent="0.2">
      <c r="A1010">
        <v>303</v>
      </c>
      <c r="B1010" s="8">
        <v>46197</v>
      </c>
      <c r="C1010" s="9">
        <v>0.62318287037037035</v>
      </c>
      <c r="D1010" s="7" t="s">
        <v>24</v>
      </c>
      <c r="E1010" s="13" t="s">
        <v>33</v>
      </c>
      <c r="F1010" s="16">
        <v>82.321871400000006</v>
      </c>
      <c r="G1010" s="129">
        <v>2111.8710900000001</v>
      </c>
      <c r="H1010" s="22">
        <v>1</v>
      </c>
      <c r="I1010" s="19"/>
      <c r="J1010" s="7" t="s">
        <v>19</v>
      </c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</row>
    <row r="1011" spans="1:20" x14ac:dyDescent="0.2">
      <c r="A1011">
        <v>304</v>
      </c>
      <c r="B1011" s="8">
        <v>46197</v>
      </c>
      <c r="C1011" s="9">
        <v>0.62343749999999998</v>
      </c>
      <c r="D1011" s="7" t="s">
        <v>24</v>
      </c>
      <c r="E1011" s="13" t="s">
        <v>37</v>
      </c>
      <c r="F1011" s="16">
        <v>71.269401000000002</v>
      </c>
      <c r="G1011" s="129">
        <v>2420.5227100000002</v>
      </c>
      <c r="H1011" s="22">
        <v>0</v>
      </c>
      <c r="I1011" s="19"/>
      <c r="J1011" s="7" t="s">
        <v>19</v>
      </c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</row>
    <row r="1012" spans="1:20" x14ac:dyDescent="0.2">
      <c r="A1012">
        <v>305</v>
      </c>
      <c r="B1012" s="8">
        <v>46197</v>
      </c>
      <c r="C1012" s="9">
        <v>0.62362268518518515</v>
      </c>
      <c r="D1012" s="7" t="s">
        <v>24</v>
      </c>
      <c r="E1012" s="13" t="s">
        <v>49</v>
      </c>
      <c r="F1012" s="16">
        <v>68.919160700000006</v>
      </c>
      <c r="G1012" s="129">
        <v>2334.4511699999998</v>
      </c>
      <c r="H1012" s="22">
        <v>0</v>
      </c>
      <c r="I1012" s="19"/>
      <c r="J1012" s="7" t="s">
        <v>19</v>
      </c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</row>
    <row r="1013" spans="1:20" x14ac:dyDescent="0.2">
      <c r="A1013">
        <v>306</v>
      </c>
      <c r="B1013" s="8">
        <v>46197</v>
      </c>
      <c r="C1013" s="9">
        <v>0.62380787037037033</v>
      </c>
      <c r="D1013" s="7" t="s">
        <v>24</v>
      </c>
      <c r="E1013" s="13" t="s">
        <v>33</v>
      </c>
      <c r="F1013" s="16">
        <v>82.575956899999994</v>
      </c>
      <c r="G1013" s="129">
        <v>750.03729199999998</v>
      </c>
      <c r="H1013" s="22">
        <v>1</v>
      </c>
      <c r="I1013" s="19" t="s">
        <v>39</v>
      </c>
      <c r="J1013" s="7" t="s">
        <v>19</v>
      </c>
      <c r="K1013" s="16"/>
      <c r="L1013" s="16"/>
      <c r="M1013" s="16"/>
      <c r="N1013" s="16">
        <v>61.0812107</v>
      </c>
      <c r="O1013" s="16"/>
      <c r="P1013" s="16"/>
      <c r="Q1013" s="16"/>
      <c r="R1013" s="16"/>
      <c r="S1013" s="16"/>
      <c r="T1013" s="16"/>
    </row>
    <row r="1014" spans="1:20" x14ac:dyDescent="0.2">
      <c r="A1014">
        <v>307</v>
      </c>
      <c r="B1014" s="8">
        <v>46197</v>
      </c>
      <c r="C1014" s="9">
        <v>0.62413194444444442</v>
      </c>
      <c r="D1014" s="7" t="s">
        <v>24</v>
      </c>
      <c r="E1014" s="13" t="s">
        <v>33</v>
      </c>
      <c r="F1014" s="16">
        <v>83.211153699999997</v>
      </c>
      <c r="G1014" s="129">
        <v>2250.7722199999998</v>
      </c>
      <c r="H1014" s="22">
        <v>1</v>
      </c>
      <c r="I1014" s="19" t="s">
        <v>45</v>
      </c>
      <c r="J1014" s="7" t="s">
        <v>19</v>
      </c>
      <c r="K1014" s="16"/>
      <c r="L1014" s="16"/>
      <c r="M1014" s="16"/>
      <c r="N1014" s="16">
        <v>63.1041417</v>
      </c>
      <c r="O1014" s="16"/>
      <c r="P1014" s="16"/>
      <c r="Q1014" s="16"/>
      <c r="R1014" s="16"/>
      <c r="S1014" s="16"/>
      <c r="T1014" s="16"/>
    </row>
    <row r="1015" spans="1:20" x14ac:dyDescent="0.2">
      <c r="A1015">
        <v>333</v>
      </c>
      <c r="B1015" s="8">
        <v>46200</v>
      </c>
      <c r="C1015" s="9">
        <v>0.74565972222222221</v>
      </c>
      <c r="D1015" s="7" t="s">
        <v>21</v>
      </c>
      <c r="E1015" s="13" t="s">
        <v>33</v>
      </c>
      <c r="F1015" s="16">
        <v>82.067794399999997</v>
      </c>
      <c r="G1015" s="129">
        <v>2075.41284</v>
      </c>
      <c r="H1015" s="22">
        <v>1</v>
      </c>
      <c r="I1015" s="19" t="s">
        <v>40</v>
      </c>
      <c r="J1015" s="7" t="s">
        <v>19</v>
      </c>
      <c r="K1015" s="16">
        <v>92.905001100000007</v>
      </c>
      <c r="L1015" s="16">
        <v>32.331512500000002</v>
      </c>
      <c r="M1015" s="16">
        <v>19.357580200000001</v>
      </c>
      <c r="N1015" s="16">
        <v>62.205063199999998</v>
      </c>
      <c r="O1015" s="16"/>
      <c r="P1015" s="16">
        <v>353</v>
      </c>
      <c r="Q1015" s="16">
        <v>1.4935280099999999</v>
      </c>
      <c r="R1015" s="16">
        <v>1.51819324</v>
      </c>
      <c r="S1015" s="16">
        <v>94.439301999999998</v>
      </c>
      <c r="T1015" s="16">
        <v>0.98375358999999996</v>
      </c>
    </row>
    <row r="1016" spans="1:20" x14ac:dyDescent="0.2">
      <c r="A1016">
        <v>365</v>
      </c>
      <c r="B1016" s="8">
        <v>46200</v>
      </c>
      <c r="C1016" s="9">
        <v>0.75564814814814818</v>
      </c>
      <c r="D1016" s="7" t="s">
        <v>18</v>
      </c>
      <c r="E1016" s="13" t="s">
        <v>33</v>
      </c>
      <c r="F1016" s="16">
        <v>84.545077300000003</v>
      </c>
      <c r="G1016" s="129">
        <v>2342.77612</v>
      </c>
      <c r="H1016" s="22">
        <v>0</v>
      </c>
      <c r="I1016" s="19"/>
      <c r="J1016" s="7" t="s">
        <v>19</v>
      </c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</row>
    <row r="1017" spans="1:20" x14ac:dyDescent="0.2">
      <c r="A1017">
        <v>366</v>
      </c>
      <c r="B1017" s="8">
        <v>46200</v>
      </c>
      <c r="C1017" s="9">
        <v>0.7558449074074074</v>
      </c>
      <c r="D1017" s="7" t="s">
        <v>18</v>
      </c>
      <c r="E1017" s="13" t="s">
        <v>33</v>
      </c>
      <c r="F1017" s="16">
        <v>83.655794999999998</v>
      </c>
      <c r="G1017" s="129">
        <v>2347.88501</v>
      </c>
      <c r="H1017" s="22">
        <v>1</v>
      </c>
      <c r="I1017" s="19" t="s">
        <v>38</v>
      </c>
      <c r="J1017" s="7" t="s">
        <v>19</v>
      </c>
      <c r="K1017" s="16"/>
      <c r="L1017" s="16"/>
      <c r="M1017" s="16"/>
      <c r="N1017" s="16">
        <v>58.383975</v>
      </c>
      <c r="O1017" s="16"/>
      <c r="P1017" s="16"/>
      <c r="Q1017" s="16"/>
      <c r="R1017" s="16"/>
      <c r="S1017" s="16"/>
      <c r="T1017" s="16"/>
    </row>
    <row r="1018" spans="1:20" x14ac:dyDescent="0.2">
      <c r="A1018">
        <v>367</v>
      </c>
      <c r="B1018" s="8">
        <v>46200</v>
      </c>
      <c r="C1018" s="9">
        <v>0.7560648148148148</v>
      </c>
      <c r="D1018" s="7" t="s">
        <v>18</v>
      </c>
      <c r="E1018" s="13" t="s">
        <v>37</v>
      </c>
      <c r="F1018" s="16">
        <v>73.413201099999995</v>
      </c>
      <c r="G1018" s="129">
        <v>1175.8065200000001</v>
      </c>
      <c r="H1018" s="22">
        <v>0</v>
      </c>
      <c r="I1018" s="19"/>
      <c r="J1018" s="7" t="s">
        <v>19</v>
      </c>
      <c r="K1018" s="16"/>
      <c r="L1018" s="16"/>
      <c r="M1018" s="16"/>
      <c r="N1018" s="16">
        <v>58.046818399999999</v>
      </c>
      <c r="O1018" s="16"/>
      <c r="P1018" s="16"/>
      <c r="Q1018" s="16"/>
      <c r="R1018" s="16"/>
      <c r="S1018" s="16"/>
      <c r="T1018" s="16"/>
    </row>
    <row r="1019" spans="1:20" x14ac:dyDescent="0.2">
      <c r="A1019">
        <v>368</v>
      </c>
      <c r="B1019" s="8">
        <v>46200</v>
      </c>
      <c r="C1019" s="9">
        <v>0.75631944444444443</v>
      </c>
      <c r="D1019" s="7" t="s">
        <v>18</v>
      </c>
      <c r="E1019" s="13" t="s">
        <v>37</v>
      </c>
      <c r="F1019" s="16">
        <v>73.174995800000005</v>
      </c>
      <c r="G1019" s="129">
        <v>2282.9714399999998</v>
      </c>
      <c r="H1019" s="22">
        <v>0</v>
      </c>
      <c r="I1019" s="19"/>
      <c r="J1019" s="7" t="s">
        <v>19</v>
      </c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</row>
    <row r="1020" spans="1:20" x14ac:dyDescent="0.2">
      <c r="A1020">
        <v>369</v>
      </c>
      <c r="B1020" s="8">
        <v>46200</v>
      </c>
      <c r="C1020" s="9">
        <v>0.75662037037037033</v>
      </c>
      <c r="D1020" s="7" t="s">
        <v>18</v>
      </c>
      <c r="E1020" s="13" t="s">
        <v>37</v>
      </c>
      <c r="F1020" s="16">
        <v>75.572877099999999</v>
      </c>
      <c r="G1020" s="129">
        <v>774.93719499999997</v>
      </c>
      <c r="H1020" s="22">
        <v>0</v>
      </c>
      <c r="I1020" s="19" t="s">
        <v>48</v>
      </c>
      <c r="J1020" s="7" t="s">
        <v>19</v>
      </c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</row>
    <row r="1021" spans="1:20" x14ac:dyDescent="0.2">
      <c r="A1021">
        <v>370</v>
      </c>
      <c r="B1021" s="8">
        <v>46200</v>
      </c>
      <c r="C1021" s="9">
        <v>0.75679398148148147</v>
      </c>
      <c r="D1021" s="7" t="s">
        <v>18</v>
      </c>
      <c r="E1021" s="13" t="s">
        <v>33</v>
      </c>
      <c r="F1021" s="16">
        <v>84.719752700000001</v>
      </c>
      <c r="G1021" s="129">
        <v>1244.8878199999999</v>
      </c>
      <c r="H1021" s="22">
        <v>1</v>
      </c>
      <c r="I1021" s="19" t="s">
        <v>39</v>
      </c>
      <c r="J1021" s="7" t="s">
        <v>19</v>
      </c>
      <c r="K1021" s="16"/>
      <c r="L1021" s="16"/>
      <c r="M1021" s="16"/>
      <c r="N1021" s="16">
        <v>59.844975400000003</v>
      </c>
      <c r="O1021" s="16"/>
      <c r="P1021" s="16"/>
      <c r="Q1021" s="16"/>
      <c r="R1021" s="16"/>
      <c r="S1021" s="16"/>
      <c r="T1021" s="16"/>
    </row>
    <row r="1022" spans="1:20" x14ac:dyDescent="0.2">
      <c r="A1022">
        <v>400</v>
      </c>
      <c r="B1022" s="8">
        <v>46200</v>
      </c>
      <c r="C1022" s="9">
        <v>0.76849537037037041</v>
      </c>
      <c r="D1022" s="7" t="s">
        <v>24</v>
      </c>
      <c r="E1022" s="13" t="s">
        <v>33</v>
      </c>
      <c r="F1022" s="16">
        <v>83.385837600000002</v>
      </c>
      <c r="G1022" s="129">
        <v>2117.87842</v>
      </c>
      <c r="H1022" s="22">
        <v>0</v>
      </c>
      <c r="I1022" s="19"/>
      <c r="J1022" s="7" t="s">
        <v>19</v>
      </c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</row>
    <row r="1023" spans="1:20" x14ac:dyDescent="0.2">
      <c r="A1023">
        <v>401</v>
      </c>
      <c r="B1023" s="8">
        <v>46200</v>
      </c>
      <c r="C1023" s="9">
        <v>0.76864583333333336</v>
      </c>
      <c r="D1023" s="7" t="s">
        <v>24</v>
      </c>
      <c r="E1023" s="13" t="s">
        <v>37</v>
      </c>
      <c r="F1023" s="16">
        <v>70.951802700000002</v>
      </c>
      <c r="G1023" s="129">
        <v>1193.1593</v>
      </c>
      <c r="H1023" s="22">
        <v>1</v>
      </c>
      <c r="I1023" s="19"/>
      <c r="J1023" s="7" t="s">
        <v>19</v>
      </c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</row>
    <row r="1024" spans="1:20" x14ac:dyDescent="0.2">
      <c r="A1024">
        <v>402</v>
      </c>
      <c r="B1024" s="8">
        <v>46200</v>
      </c>
      <c r="C1024" s="9">
        <v>0.7688194444444445</v>
      </c>
      <c r="D1024" s="7" t="s">
        <v>24</v>
      </c>
      <c r="E1024" s="13" t="s">
        <v>33</v>
      </c>
      <c r="F1024" s="16">
        <v>83.004717799999995</v>
      </c>
      <c r="G1024" s="129">
        <v>2141.68262</v>
      </c>
      <c r="H1024" s="22">
        <v>1</v>
      </c>
      <c r="I1024" s="19" t="s">
        <v>38</v>
      </c>
      <c r="J1024" s="7" t="s">
        <v>19</v>
      </c>
      <c r="K1024" s="16"/>
      <c r="L1024" s="16"/>
      <c r="M1024" s="16"/>
      <c r="N1024" s="16">
        <v>63.666063600000001</v>
      </c>
      <c r="O1024" s="16"/>
      <c r="P1024" s="16"/>
      <c r="Q1024" s="16"/>
      <c r="R1024" s="16"/>
      <c r="S1024" s="16"/>
      <c r="T1024" s="16"/>
    </row>
    <row r="1025" spans="1:20" x14ac:dyDescent="0.2">
      <c r="A1025">
        <v>403</v>
      </c>
      <c r="B1025" s="8">
        <v>46200</v>
      </c>
      <c r="C1025" s="9">
        <v>0.76905092592592594</v>
      </c>
      <c r="D1025" s="7" t="s">
        <v>24</v>
      </c>
      <c r="E1025" s="13" t="s">
        <v>37</v>
      </c>
      <c r="F1025" s="16">
        <v>71.317042000000001</v>
      </c>
      <c r="G1025" s="129">
        <v>1163.1962900000001</v>
      </c>
      <c r="H1025" s="22">
        <v>1</v>
      </c>
      <c r="I1025" s="19" t="s">
        <v>39</v>
      </c>
      <c r="J1025" s="7" t="s">
        <v>19</v>
      </c>
      <c r="K1025" s="16"/>
      <c r="L1025" s="16"/>
      <c r="M1025" s="16"/>
      <c r="N1025" s="16">
        <v>56.810583100000002</v>
      </c>
      <c r="O1025" s="16"/>
      <c r="P1025" s="16"/>
      <c r="Q1025" s="16"/>
      <c r="R1025" s="16"/>
      <c r="S1025" s="16"/>
      <c r="T1025" s="16"/>
    </row>
    <row r="1026" spans="1:20" x14ac:dyDescent="0.2">
      <c r="A1026">
        <v>404</v>
      </c>
      <c r="B1026" s="8">
        <v>46200</v>
      </c>
      <c r="C1026" s="9">
        <v>0.76924768518518516</v>
      </c>
      <c r="D1026" s="7" t="s">
        <v>24</v>
      </c>
      <c r="E1026" s="13" t="s">
        <v>33</v>
      </c>
      <c r="F1026" s="16">
        <v>83.639914599999997</v>
      </c>
      <c r="G1026" s="129">
        <v>2207.7748999999999</v>
      </c>
      <c r="H1026" s="22">
        <v>1</v>
      </c>
      <c r="I1026" s="19" t="s">
        <v>42</v>
      </c>
      <c r="J1026" s="7" t="s">
        <v>19</v>
      </c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</row>
    <row r="1027" spans="1:20" x14ac:dyDescent="0.2">
      <c r="A1027">
        <v>426</v>
      </c>
      <c r="B1027" s="8">
        <v>46200</v>
      </c>
      <c r="C1027" s="9">
        <v>0.77651620370370367</v>
      </c>
      <c r="D1027" s="7" t="s">
        <v>21</v>
      </c>
      <c r="E1027" s="13" t="s">
        <v>37</v>
      </c>
      <c r="F1027" s="16">
        <v>75.144116199999999</v>
      </c>
      <c r="G1027" s="129">
        <v>1112.31763</v>
      </c>
      <c r="H1027" s="22">
        <v>1</v>
      </c>
      <c r="I1027" s="19" t="s">
        <v>40</v>
      </c>
      <c r="J1027" s="7" t="s">
        <v>19</v>
      </c>
      <c r="K1027" s="16">
        <v>64.671944199999999</v>
      </c>
      <c r="L1027" s="16">
        <v>-5.6335483000000002</v>
      </c>
      <c r="M1027" s="16">
        <v>-25.685604000000001</v>
      </c>
      <c r="N1027" s="16">
        <v>59.564013299999999</v>
      </c>
      <c r="O1027" s="16">
        <v>2438.3708499999998</v>
      </c>
      <c r="P1027" s="16">
        <v>21</v>
      </c>
      <c r="Q1027" s="16">
        <v>1.0857553499999999</v>
      </c>
      <c r="R1027" s="16">
        <v>1.4958686800000001</v>
      </c>
      <c r="S1027" s="16">
        <v>89.099938300000005</v>
      </c>
      <c r="T1027" s="16">
        <v>0.72583600000000004</v>
      </c>
    </row>
    <row r="1028" spans="1:20" x14ac:dyDescent="0.2">
      <c r="A1028">
        <v>458</v>
      </c>
      <c r="B1028" s="8">
        <v>46200</v>
      </c>
      <c r="C1028" s="9">
        <v>0.79041666666666666</v>
      </c>
      <c r="D1028" s="7" t="s">
        <v>21</v>
      </c>
      <c r="E1028" s="13" t="s">
        <v>37</v>
      </c>
      <c r="F1028" s="16">
        <v>74.953560600000003</v>
      </c>
      <c r="G1028" s="129">
        <v>2241.2343799999999</v>
      </c>
      <c r="H1028" s="22">
        <v>1</v>
      </c>
      <c r="I1028" s="19" t="s">
        <v>39</v>
      </c>
      <c r="J1028" s="7" t="s">
        <v>19</v>
      </c>
      <c r="K1028" s="16"/>
      <c r="L1028" s="16"/>
      <c r="M1028" s="16"/>
      <c r="N1028" s="16">
        <v>58.103009800000002</v>
      </c>
      <c r="O1028" s="16"/>
      <c r="P1028" s="16"/>
      <c r="Q1028" s="16"/>
      <c r="R1028" s="16"/>
      <c r="S1028" s="16"/>
      <c r="T1028" s="16"/>
    </row>
    <row r="1029" spans="1:20" x14ac:dyDescent="0.2">
      <c r="A1029">
        <v>459</v>
      </c>
      <c r="B1029" s="8">
        <v>46200</v>
      </c>
      <c r="C1029" s="9">
        <v>0.79063657407407406</v>
      </c>
      <c r="D1029" s="7" t="s">
        <v>21</v>
      </c>
      <c r="E1029" s="13" t="s">
        <v>33</v>
      </c>
      <c r="F1029" s="16">
        <v>83.576393199999998</v>
      </c>
      <c r="G1029" s="129">
        <v>1076.71191</v>
      </c>
      <c r="H1029" s="22">
        <v>1</v>
      </c>
      <c r="I1029" s="19" t="s">
        <v>38</v>
      </c>
      <c r="J1029" s="7" t="s">
        <v>19</v>
      </c>
      <c r="K1029" s="16">
        <v>51.356886899999999</v>
      </c>
      <c r="L1029" s="16">
        <v>37.985431699999999</v>
      </c>
      <c r="M1029" s="16">
        <v>7.98927546</v>
      </c>
      <c r="N1029" s="16">
        <v>64.452759599999993</v>
      </c>
      <c r="O1029" s="16"/>
      <c r="P1029" s="16"/>
      <c r="Q1029" s="16">
        <v>0.79681438000000004</v>
      </c>
      <c r="R1029" s="16">
        <v>1.5047334400000001</v>
      </c>
      <c r="S1029" s="16">
        <v>96.984219400000001</v>
      </c>
      <c r="T1029" s="16">
        <v>0.52953857000000004</v>
      </c>
    </row>
    <row r="1030" spans="1:20" x14ac:dyDescent="0.2">
      <c r="A1030">
        <v>460</v>
      </c>
      <c r="B1030" s="8">
        <v>46200</v>
      </c>
      <c r="C1030" s="9">
        <v>0.7908680555555555</v>
      </c>
      <c r="D1030" s="7" t="s">
        <v>21</v>
      </c>
      <c r="E1030" s="13" t="s">
        <v>33</v>
      </c>
      <c r="F1030" s="16">
        <v>83.703435999999996</v>
      </c>
      <c r="G1030" s="129">
        <v>2288.1254899999999</v>
      </c>
      <c r="H1030" s="22">
        <v>0</v>
      </c>
      <c r="I1030" s="19"/>
      <c r="J1030" s="7" t="s">
        <v>19</v>
      </c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</row>
    <row r="1031" spans="1:20" x14ac:dyDescent="0.2">
      <c r="A1031">
        <v>461</v>
      </c>
      <c r="B1031" s="8">
        <v>46200</v>
      </c>
      <c r="C1031" s="9">
        <v>0.79106481481481483</v>
      </c>
      <c r="D1031" s="7" t="s">
        <v>21</v>
      </c>
      <c r="E1031" s="13" t="s">
        <v>37</v>
      </c>
      <c r="F1031" s="16">
        <v>74.572440799999995</v>
      </c>
      <c r="G1031" s="129">
        <v>751.26293899999996</v>
      </c>
      <c r="H1031" s="22">
        <v>1</v>
      </c>
      <c r="I1031" s="19" t="s">
        <v>45</v>
      </c>
      <c r="J1031" s="7" t="s">
        <v>19</v>
      </c>
      <c r="K1031" s="16"/>
      <c r="L1031" s="16"/>
      <c r="M1031" s="16"/>
      <c r="N1031" s="16">
        <v>57.484892100000003</v>
      </c>
      <c r="O1031" s="16"/>
      <c r="P1031" s="16"/>
      <c r="Q1031" s="16"/>
      <c r="R1031" s="16"/>
      <c r="S1031" s="16"/>
      <c r="T1031" s="16"/>
    </row>
    <row r="1032" spans="1:20" x14ac:dyDescent="0.2">
      <c r="A1032">
        <v>487</v>
      </c>
      <c r="B1032" s="8">
        <v>46203</v>
      </c>
      <c r="C1032" s="9">
        <v>0.78108796296296301</v>
      </c>
      <c r="D1032" s="7" t="s">
        <v>24</v>
      </c>
      <c r="E1032" s="13" t="s">
        <v>37</v>
      </c>
      <c r="F1032" s="16">
        <v>68.728600799999995</v>
      </c>
      <c r="G1032" s="129">
        <v>2410.7888200000002</v>
      </c>
      <c r="H1032" s="22">
        <v>1</v>
      </c>
      <c r="I1032" s="19" t="s">
        <v>39</v>
      </c>
      <c r="J1032" s="7" t="s">
        <v>19</v>
      </c>
      <c r="K1032" s="16"/>
      <c r="L1032" s="16"/>
      <c r="M1032" s="16"/>
      <c r="N1032" s="16">
        <v>61.137406300000002</v>
      </c>
      <c r="O1032" s="16"/>
      <c r="P1032" s="16"/>
      <c r="Q1032" s="16"/>
      <c r="R1032" s="16"/>
      <c r="S1032" s="16"/>
      <c r="T1032" s="16"/>
    </row>
    <row r="1033" spans="1:20" x14ac:dyDescent="0.2">
      <c r="A1033">
        <v>488</v>
      </c>
      <c r="B1033" s="8">
        <v>46203</v>
      </c>
      <c r="C1033" s="9">
        <v>0.78127314814814819</v>
      </c>
      <c r="D1033" s="7" t="s">
        <v>24</v>
      </c>
      <c r="E1033" s="13" t="s">
        <v>33</v>
      </c>
      <c r="F1033" s="16">
        <v>84.036914800000005</v>
      </c>
      <c r="G1033" s="129">
        <v>1123.4853499999999</v>
      </c>
      <c r="H1033" s="22">
        <v>1</v>
      </c>
      <c r="I1033" s="19" t="s">
        <v>39</v>
      </c>
      <c r="J1033" s="7" t="s">
        <v>19</v>
      </c>
      <c r="K1033" s="16"/>
      <c r="L1033" s="16"/>
      <c r="M1033" s="16"/>
      <c r="N1033" s="16">
        <v>59.3954363</v>
      </c>
      <c r="O1033" s="16"/>
      <c r="P1033" s="16"/>
      <c r="Q1033" s="16"/>
      <c r="R1033" s="16"/>
      <c r="S1033" s="16"/>
      <c r="T1033" s="16"/>
    </row>
    <row r="1034" spans="1:20" x14ac:dyDescent="0.2">
      <c r="A1034">
        <v>489</v>
      </c>
      <c r="B1034" s="8">
        <v>46203</v>
      </c>
      <c r="C1034" s="9">
        <v>0.78151620370370367</v>
      </c>
      <c r="D1034" s="7" t="s">
        <v>24</v>
      </c>
      <c r="E1034" s="13" t="s">
        <v>37</v>
      </c>
      <c r="F1034" s="16">
        <v>68.411002400000001</v>
      </c>
      <c r="G1034" s="129">
        <v>1140.02332</v>
      </c>
      <c r="H1034" s="22">
        <v>1</v>
      </c>
      <c r="I1034" s="19" t="s">
        <v>45</v>
      </c>
      <c r="J1034" s="7" t="s">
        <v>19</v>
      </c>
      <c r="K1034" s="16"/>
      <c r="L1034" s="16"/>
      <c r="M1034" s="16"/>
      <c r="N1034" s="16">
        <v>60.350710399999997</v>
      </c>
      <c r="O1034" s="16"/>
      <c r="P1034" s="16"/>
      <c r="Q1034" s="16"/>
      <c r="R1034" s="16"/>
      <c r="S1034" s="16"/>
      <c r="T1034" s="16"/>
    </row>
    <row r="1035" spans="1:20" x14ac:dyDescent="0.2">
      <c r="A1035">
        <v>525</v>
      </c>
      <c r="B1035" s="8">
        <v>46203</v>
      </c>
      <c r="C1035" s="9">
        <v>0.79685185185185181</v>
      </c>
      <c r="D1035" s="7" t="s">
        <v>24</v>
      </c>
      <c r="E1035" s="13" t="s">
        <v>33</v>
      </c>
      <c r="F1035" s="16">
        <v>83.020598100000001</v>
      </c>
      <c r="G1035" s="129">
        <v>2125.42</v>
      </c>
      <c r="H1035" s="22">
        <v>0</v>
      </c>
      <c r="I1035" s="19"/>
      <c r="J1035" s="7" t="s">
        <v>19</v>
      </c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</row>
    <row r="1036" spans="1:20" x14ac:dyDescent="0.2">
      <c r="A1036">
        <v>526</v>
      </c>
      <c r="B1036" s="8">
        <v>46203</v>
      </c>
      <c r="C1036" s="9">
        <v>0.79704861111111114</v>
      </c>
      <c r="D1036" s="7" t="s">
        <v>24</v>
      </c>
      <c r="E1036" s="13" t="s">
        <v>37</v>
      </c>
      <c r="F1036" s="16">
        <v>68.712720500000003</v>
      </c>
      <c r="G1036" s="129">
        <v>2375.25171</v>
      </c>
      <c r="H1036" s="22">
        <v>1</v>
      </c>
      <c r="I1036" s="19"/>
      <c r="J1036" s="7" t="s">
        <v>19</v>
      </c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</row>
    <row r="1037" spans="1:20" x14ac:dyDescent="0.2">
      <c r="A1037">
        <v>527</v>
      </c>
      <c r="B1037" s="8">
        <v>46203</v>
      </c>
      <c r="C1037" s="9">
        <v>0.79736111111111108</v>
      </c>
      <c r="D1037" s="7" t="s">
        <v>24</v>
      </c>
      <c r="E1037" s="13" t="s">
        <v>49</v>
      </c>
      <c r="F1037" s="16">
        <v>64.790364199999999</v>
      </c>
      <c r="G1037" s="129">
        <v>1935.5845899999999</v>
      </c>
      <c r="H1037" s="22">
        <v>1</v>
      </c>
      <c r="I1037" s="19"/>
      <c r="J1037" s="7" t="s">
        <v>19</v>
      </c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</row>
    <row r="1038" spans="1:20" x14ac:dyDescent="0.2">
      <c r="A1038">
        <v>528</v>
      </c>
      <c r="B1038" s="8">
        <v>46203</v>
      </c>
      <c r="C1038" s="9">
        <v>0.79762731481481486</v>
      </c>
      <c r="D1038" s="7" t="s">
        <v>24</v>
      </c>
      <c r="E1038" s="13" t="s">
        <v>33</v>
      </c>
      <c r="F1038" s="16">
        <v>82.2424781</v>
      </c>
      <c r="G1038" s="129">
        <v>2197.5949700000001</v>
      </c>
      <c r="H1038" s="22">
        <v>0</v>
      </c>
      <c r="I1038" s="19"/>
      <c r="J1038" s="7" t="s">
        <v>19</v>
      </c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</row>
    <row r="1039" spans="1:20" x14ac:dyDescent="0.2">
      <c r="A1039">
        <v>529</v>
      </c>
      <c r="B1039" s="8">
        <v>46203</v>
      </c>
      <c r="C1039" s="9">
        <v>0.79792824074074076</v>
      </c>
      <c r="D1039" s="7" t="s">
        <v>24</v>
      </c>
      <c r="E1039" s="13" t="s">
        <v>33</v>
      </c>
      <c r="F1039" s="16">
        <v>81.940755199999998</v>
      </c>
      <c r="G1039" s="129">
        <v>2192.1518599999999</v>
      </c>
      <c r="H1039" s="22">
        <v>1</v>
      </c>
      <c r="I1039" s="19" t="s">
        <v>42</v>
      </c>
      <c r="J1039" s="7" t="s">
        <v>19</v>
      </c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</row>
    <row r="1040" spans="1:20" x14ac:dyDescent="0.2">
      <c r="A1040">
        <v>530</v>
      </c>
      <c r="B1040" s="8">
        <v>46203</v>
      </c>
      <c r="C1040" s="9">
        <v>0.79818287037037039</v>
      </c>
      <c r="D1040" s="7" t="s">
        <v>24</v>
      </c>
      <c r="E1040" s="13" t="s">
        <v>33</v>
      </c>
      <c r="F1040" s="16">
        <v>83.115871600000006</v>
      </c>
      <c r="G1040" s="129">
        <v>2028.91443</v>
      </c>
      <c r="H1040" s="22">
        <v>0</v>
      </c>
      <c r="I1040" s="19"/>
      <c r="J1040" s="7" t="s">
        <v>19</v>
      </c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</row>
    <row r="1041" spans="1:20" x14ac:dyDescent="0.2">
      <c r="A1041">
        <v>531</v>
      </c>
      <c r="B1041" s="8">
        <v>46203</v>
      </c>
      <c r="C1041" s="9">
        <v>0.79839120370370376</v>
      </c>
      <c r="D1041" s="7" t="s">
        <v>24</v>
      </c>
      <c r="E1041" s="13" t="s">
        <v>35</v>
      </c>
      <c r="F1041" s="16">
        <v>77.049715199999994</v>
      </c>
      <c r="G1041" s="129">
        <v>2014.2271699999999</v>
      </c>
      <c r="H1041" s="22">
        <v>0</v>
      </c>
      <c r="I1041" s="19"/>
      <c r="J1041" s="7" t="s">
        <v>19</v>
      </c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</row>
    <row r="1042" spans="1:20" x14ac:dyDescent="0.2">
      <c r="A1042">
        <v>581</v>
      </c>
      <c r="B1042" s="8">
        <v>46203</v>
      </c>
      <c r="C1042" s="9">
        <v>0.82247685185185182</v>
      </c>
      <c r="D1042" s="7" t="s">
        <v>25</v>
      </c>
      <c r="E1042" s="13" t="s">
        <v>33</v>
      </c>
      <c r="F1042" s="16">
        <v>84.989710000000002</v>
      </c>
      <c r="G1042" s="129">
        <v>2203.4814500000002</v>
      </c>
      <c r="H1042" s="22">
        <v>0</v>
      </c>
      <c r="I1042" s="19"/>
      <c r="J1042" s="7" t="s">
        <v>19</v>
      </c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</row>
    <row r="1043" spans="1:20" x14ac:dyDescent="0.2">
      <c r="A1043">
        <v>582</v>
      </c>
      <c r="B1043" s="8">
        <v>46203</v>
      </c>
      <c r="C1043" s="9">
        <v>0.822662037037037</v>
      </c>
      <c r="D1043" s="7" t="s">
        <v>25</v>
      </c>
      <c r="E1043" s="13" t="s">
        <v>33</v>
      </c>
      <c r="F1043" s="16">
        <v>83.766957300000001</v>
      </c>
      <c r="G1043" s="129">
        <v>2070.9247999999998</v>
      </c>
      <c r="H1043" s="22">
        <v>0</v>
      </c>
      <c r="I1043" s="19"/>
      <c r="J1043" s="7" t="s">
        <v>19</v>
      </c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</row>
    <row r="1044" spans="1:20" x14ac:dyDescent="0.2">
      <c r="A1044">
        <v>583</v>
      </c>
      <c r="B1044" s="8">
        <v>46203</v>
      </c>
      <c r="C1044" s="9">
        <v>0.82285879629629632</v>
      </c>
      <c r="D1044" s="7" t="s">
        <v>25</v>
      </c>
      <c r="E1044" s="13" t="s">
        <v>37</v>
      </c>
      <c r="F1044" s="16">
        <v>71.936362700000004</v>
      </c>
      <c r="G1044" s="129">
        <v>1098.65356</v>
      </c>
      <c r="H1044" s="22">
        <v>0</v>
      </c>
      <c r="I1044" s="19"/>
      <c r="J1044" s="7" t="s">
        <v>19</v>
      </c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</row>
    <row r="1045" spans="1:20" x14ac:dyDescent="0.2">
      <c r="A1045">
        <v>584</v>
      </c>
      <c r="B1045" s="8">
        <v>46203</v>
      </c>
      <c r="C1045" s="9">
        <v>0.82306712962962958</v>
      </c>
      <c r="D1045" s="7" t="s">
        <v>25</v>
      </c>
      <c r="E1045" s="13" t="s">
        <v>33</v>
      </c>
      <c r="F1045" s="16">
        <v>84.846795499999999</v>
      </c>
      <c r="G1045" s="129">
        <v>2106.3186000000001</v>
      </c>
      <c r="H1045" s="22">
        <v>1</v>
      </c>
      <c r="I1045" s="19" t="s">
        <v>38</v>
      </c>
      <c r="J1045" s="7" t="s">
        <v>19</v>
      </c>
      <c r="K1045" s="16"/>
      <c r="L1045" s="16"/>
      <c r="M1045" s="16"/>
      <c r="N1045" s="16">
        <v>65.183264100000002</v>
      </c>
      <c r="O1045" s="16"/>
      <c r="P1045" s="16"/>
      <c r="Q1045" s="16"/>
      <c r="R1045" s="16"/>
      <c r="S1045" s="16"/>
      <c r="T1045" s="16"/>
    </row>
    <row r="1046" spans="1:20" x14ac:dyDescent="0.2">
      <c r="A1046">
        <v>585</v>
      </c>
      <c r="B1046" s="8">
        <v>46203</v>
      </c>
      <c r="C1046" s="9">
        <v>0.82343750000000004</v>
      </c>
      <c r="D1046" s="7" t="s">
        <v>25</v>
      </c>
      <c r="E1046" s="13" t="s">
        <v>35</v>
      </c>
      <c r="F1046" s="16">
        <v>74.556560399999995</v>
      </c>
      <c r="G1046" s="129">
        <v>2130.9709499999999</v>
      </c>
      <c r="H1046" s="22">
        <v>1</v>
      </c>
      <c r="I1046" s="19" t="s">
        <v>40</v>
      </c>
      <c r="J1046" s="7" t="s">
        <v>19</v>
      </c>
      <c r="K1046" s="16">
        <v>68.990152899999998</v>
      </c>
      <c r="L1046" s="16">
        <v>2.9773340199999998</v>
      </c>
      <c r="M1046" s="16">
        <v>-34.243118000000003</v>
      </c>
      <c r="N1046" s="16">
        <v>60.294519000000001</v>
      </c>
      <c r="O1046" s="16">
        <v>2337.0041500000002</v>
      </c>
      <c r="P1046" s="16">
        <v>62</v>
      </c>
      <c r="Q1046" s="16">
        <v>1.1442192799999999</v>
      </c>
      <c r="R1046" s="16">
        <v>1.4968250999999999</v>
      </c>
      <c r="S1046" s="16">
        <v>90.250346100000002</v>
      </c>
      <c r="T1046" s="16">
        <v>0.76443092000000001</v>
      </c>
    </row>
    <row r="1047" spans="1:20" x14ac:dyDescent="0.2">
      <c r="A1047">
        <v>630</v>
      </c>
      <c r="B1047" s="8">
        <v>46214</v>
      </c>
      <c r="C1047" s="9">
        <v>0.47249999999999998</v>
      </c>
      <c r="D1047" s="7" t="s">
        <v>21</v>
      </c>
      <c r="E1047" s="13" t="s">
        <v>46</v>
      </c>
      <c r="F1047" s="16">
        <v>68.855643499999999</v>
      </c>
      <c r="G1047" s="129">
        <v>375.217285</v>
      </c>
      <c r="H1047" s="22">
        <v>0</v>
      </c>
      <c r="I1047" s="19"/>
      <c r="J1047" s="7" t="s">
        <v>19</v>
      </c>
      <c r="K1047" s="16">
        <v>74.117133100000004</v>
      </c>
      <c r="L1047" s="16">
        <v>19.069187199999998</v>
      </c>
      <c r="M1047" s="16"/>
      <c r="N1047" s="16">
        <v>49.575143400000002</v>
      </c>
      <c r="O1047" s="16"/>
      <c r="P1047" s="16">
        <v>195</v>
      </c>
      <c r="Q1047" s="16">
        <v>1.4950462600000001</v>
      </c>
      <c r="R1047" s="16">
        <v>1.66822588</v>
      </c>
      <c r="S1047" s="16">
        <v>82.702538899999993</v>
      </c>
      <c r="T1047" s="16">
        <v>0.89618935</v>
      </c>
    </row>
    <row r="1048" spans="1:20" x14ac:dyDescent="0.2">
      <c r="A1048">
        <v>631</v>
      </c>
      <c r="B1048" s="8">
        <v>46214</v>
      </c>
      <c r="C1048" s="9">
        <v>0.47270833333333334</v>
      </c>
      <c r="D1048" s="7" t="s">
        <v>21</v>
      </c>
      <c r="E1048" s="13" t="s">
        <v>33</v>
      </c>
      <c r="F1048" s="16">
        <v>81.877238599999998</v>
      </c>
      <c r="G1048" s="129">
        <v>2015.1733400000001</v>
      </c>
      <c r="H1048" s="22">
        <v>1</v>
      </c>
      <c r="I1048" s="19"/>
      <c r="J1048" s="7" t="s">
        <v>19</v>
      </c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</row>
    <row r="1049" spans="1:20" x14ac:dyDescent="0.2">
      <c r="A1049">
        <v>632</v>
      </c>
      <c r="B1049" s="8">
        <v>46214</v>
      </c>
      <c r="C1049" s="9">
        <v>0.47288194444444442</v>
      </c>
      <c r="D1049" s="7" t="s">
        <v>21</v>
      </c>
      <c r="E1049" s="13" t="s">
        <v>37</v>
      </c>
      <c r="F1049" s="16">
        <v>70.507161300000007</v>
      </c>
      <c r="G1049" s="129">
        <v>2143.9685100000002</v>
      </c>
      <c r="H1049" s="22">
        <v>1</v>
      </c>
      <c r="I1049" s="19"/>
      <c r="J1049" s="7" t="s">
        <v>19</v>
      </c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</row>
    <row r="1050" spans="1:20" x14ac:dyDescent="0.2">
      <c r="A1050">
        <v>633</v>
      </c>
      <c r="B1050" s="8">
        <v>46214</v>
      </c>
      <c r="C1050" s="9">
        <v>0.47309027777777779</v>
      </c>
      <c r="D1050" s="7" t="s">
        <v>21</v>
      </c>
      <c r="E1050" s="13" t="s">
        <v>46</v>
      </c>
      <c r="F1050" s="16">
        <v>74.318355299999993</v>
      </c>
      <c r="G1050" s="129">
        <v>1623.8112799999999</v>
      </c>
      <c r="H1050" s="22">
        <v>0</v>
      </c>
      <c r="I1050" s="19"/>
      <c r="J1050" s="7" t="s">
        <v>19</v>
      </c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</row>
    <row r="1051" spans="1:20" x14ac:dyDescent="0.2">
      <c r="A1051">
        <v>634</v>
      </c>
      <c r="B1051" s="8">
        <v>46214</v>
      </c>
      <c r="C1051" s="9">
        <v>0.47327546296296297</v>
      </c>
      <c r="D1051" s="7" t="s">
        <v>21</v>
      </c>
      <c r="E1051" s="13" t="s">
        <v>37</v>
      </c>
      <c r="F1051" s="16">
        <v>71.904602100000005</v>
      </c>
      <c r="G1051" s="129">
        <v>2165.8967299999999</v>
      </c>
      <c r="H1051" s="22">
        <v>1</v>
      </c>
      <c r="I1051" s="19" t="s">
        <v>38</v>
      </c>
      <c r="J1051" s="7" t="s">
        <v>19</v>
      </c>
      <c r="K1051" s="16"/>
      <c r="L1051" s="16"/>
      <c r="M1051" s="16"/>
      <c r="N1051" s="16">
        <v>58.680782200000003</v>
      </c>
      <c r="O1051" s="16"/>
      <c r="P1051" s="16"/>
      <c r="Q1051" s="16"/>
      <c r="R1051" s="16"/>
      <c r="S1051" s="16"/>
      <c r="T1051" s="16"/>
    </row>
    <row r="1052" spans="1:20" x14ac:dyDescent="0.2">
      <c r="A1052">
        <v>635</v>
      </c>
      <c r="B1052" s="8">
        <v>46214</v>
      </c>
      <c r="C1052" s="9">
        <v>0.47361111111111109</v>
      </c>
      <c r="D1052" s="7" t="s">
        <v>21</v>
      </c>
      <c r="E1052" s="13" t="s">
        <v>33</v>
      </c>
      <c r="F1052" s="16">
        <v>82.131315799999996</v>
      </c>
      <c r="G1052" s="129">
        <v>2240.5561499999999</v>
      </c>
      <c r="H1052" s="22">
        <v>0</v>
      </c>
      <c r="I1052" s="19"/>
      <c r="J1052" s="7" t="s">
        <v>19</v>
      </c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</row>
    <row r="1053" spans="1:20" x14ac:dyDescent="0.2">
      <c r="A1053">
        <v>636</v>
      </c>
      <c r="B1053" s="8">
        <v>46214</v>
      </c>
      <c r="C1053" s="9">
        <v>0.47381944444444446</v>
      </c>
      <c r="D1053" s="7" t="s">
        <v>21</v>
      </c>
      <c r="E1053" s="13" t="s">
        <v>33</v>
      </c>
      <c r="F1053" s="16">
        <v>84.545077300000003</v>
      </c>
      <c r="G1053" s="129">
        <v>1078.7329099999999</v>
      </c>
      <c r="H1053" s="22">
        <v>1</v>
      </c>
      <c r="I1053" s="19" t="s">
        <v>45</v>
      </c>
      <c r="J1053" s="7" t="s">
        <v>19</v>
      </c>
      <c r="K1053" s="16"/>
      <c r="L1053" s="16">
        <v>-64.116280000000003</v>
      </c>
      <c r="M1053" s="16">
        <v>-8.6411209000000007</v>
      </c>
      <c r="N1053" s="16">
        <v>63.121189000000001</v>
      </c>
      <c r="O1053" s="16"/>
      <c r="P1053" s="16">
        <v>4</v>
      </c>
      <c r="Q1053" s="16"/>
      <c r="R1053" s="16"/>
      <c r="S1053" s="16"/>
      <c r="T1053" s="16"/>
    </row>
    <row r="1054" spans="1:20" x14ac:dyDescent="0.2">
      <c r="A1054">
        <v>668</v>
      </c>
      <c r="B1054" s="8">
        <v>46214</v>
      </c>
      <c r="C1054" s="9">
        <v>0.48715277777777777</v>
      </c>
      <c r="D1054" s="7" t="s">
        <v>21</v>
      </c>
      <c r="E1054" s="13" t="s">
        <v>37</v>
      </c>
      <c r="F1054" s="16">
        <v>72.412756099999996</v>
      </c>
      <c r="G1054" s="129">
        <v>1047.12671</v>
      </c>
      <c r="H1054" s="22">
        <v>0</v>
      </c>
      <c r="I1054" s="19"/>
      <c r="J1054" s="7" t="s">
        <v>19</v>
      </c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</row>
    <row r="1055" spans="1:20" x14ac:dyDescent="0.2">
      <c r="A1055">
        <v>669</v>
      </c>
      <c r="B1055" s="8">
        <v>46214</v>
      </c>
      <c r="C1055" s="9">
        <v>0.48737268518518517</v>
      </c>
      <c r="D1055" s="7" t="s">
        <v>21</v>
      </c>
      <c r="E1055" s="13" t="s">
        <v>33</v>
      </c>
      <c r="F1055" s="16">
        <v>82.893555300000003</v>
      </c>
      <c r="G1055" s="129">
        <v>2199.0520000000001</v>
      </c>
      <c r="H1055" s="22">
        <v>1</v>
      </c>
      <c r="I1055" s="19" t="s">
        <v>38</v>
      </c>
      <c r="J1055" s="7" t="s">
        <v>19</v>
      </c>
      <c r="K1055" s="16"/>
      <c r="L1055" s="16"/>
      <c r="M1055" s="16"/>
      <c r="N1055" s="16">
        <v>61.997035799999999</v>
      </c>
      <c r="O1055" s="16"/>
      <c r="P1055" s="16"/>
      <c r="Q1055" s="16"/>
      <c r="R1055" s="16"/>
      <c r="S1055" s="16"/>
      <c r="T1055" s="16"/>
    </row>
    <row r="1056" spans="1:20" x14ac:dyDescent="0.2">
      <c r="A1056">
        <v>670</v>
      </c>
      <c r="B1056" s="8">
        <v>46214</v>
      </c>
      <c r="C1056" s="9">
        <v>0.48760416666666667</v>
      </c>
      <c r="D1056" s="7" t="s">
        <v>21</v>
      </c>
      <c r="E1056" s="13" t="s">
        <v>37</v>
      </c>
      <c r="F1056" s="16">
        <v>73.603756700000005</v>
      </c>
      <c r="G1056" s="129">
        <v>722.96673599999997</v>
      </c>
      <c r="H1056" s="22">
        <v>1</v>
      </c>
      <c r="I1056" s="19" t="s">
        <v>39</v>
      </c>
      <c r="J1056" s="7" t="s">
        <v>19</v>
      </c>
      <c r="K1056" s="16"/>
      <c r="L1056" s="16"/>
      <c r="M1056" s="16"/>
      <c r="N1056" s="16">
        <v>60.142183699999997</v>
      </c>
      <c r="O1056" s="16"/>
      <c r="P1056" s="16"/>
      <c r="Q1056" s="16"/>
      <c r="R1056" s="16"/>
      <c r="S1056" s="16"/>
      <c r="T1056" s="16"/>
    </row>
    <row r="1057" spans="1:20" x14ac:dyDescent="0.2">
      <c r="A1057">
        <v>671</v>
      </c>
      <c r="B1057" s="8">
        <v>46214</v>
      </c>
      <c r="C1057" s="9">
        <v>0.48784722222222221</v>
      </c>
      <c r="D1057" s="7" t="s">
        <v>21</v>
      </c>
      <c r="E1057" s="13" t="s">
        <v>37</v>
      </c>
      <c r="F1057" s="16">
        <v>71.269401000000002</v>
      </c>
      <c r="G1057" s="129">
        <v>1049.50269</v>
      </c>
      <c r="H1057" s="22">
        <v>1</v>
      </c>
      <c r="I1057" s="19" t="s">
        <v>38</v>
      </c>
      <c r="J1057" s="7" t="s">
        <v>19</v>
      </c>
      <c r="K1057" s="16"/>
      <c r="L1057" s="16"/>
      <c r="M1057" s="16"/>
      <c r="N1057" s="16">
        <v>61.6035811</v>
      </c>
      <c r="O1057" s="16"/>
      <c r="P1057" s="16"/>
      <c r="Q1057" s="16"/>
      <c r="R1057" s="16"/>
      <c r="S1057" s="16"/>
      <c r="T1057" s="16"/>
    </row>
    <row r="1058" spans="1:20" x14ac:dyDescent="0.2">
      <c r="A1058">
        <v>672</v>
      </c>
      <c r="B1058" s="8">
        <v>46214</v>
      </c>
      <c r="C1058" s="9">
        <v>0.4880902777777778</v>
      </c>
      <c r="D1058" s="7" t="s">
        <v>21</v>
      </c>
      <c r="E1058" s="13" t="s">
        <v>37</v>
      </c>
      <c r="F1058" s="16">
        <v>72.714482700000005</v>
      </c>
      <c r="G1058" s="129">
        <v>1083.7010499999999</v>
      </c>
      <c r="H1058" s="22">
        <v>1</v>
      </c>
      <c r="I1058" s="19" t="s">
        <v>40</v>
      </c>
      <c r="J1058" s="7" t="s">
        <v>19</v>
      </c>
      <c r="K1058" s="16">
        <v>81.142638199999993</v>
      </c>
      <c r="L1058" s="16">
        <v>-87.584891999999996</v>
      </c>
      <c r="M1058" s="16">
        <v>15.3212194</v>
      </c>
      <c r="N1058" s="16">
        <v>61.715997899999998</v>
      </c>
      <c r="O1058" s="16">
        <v>4157.0932599999996</v>
      </c>
      <c r="P1058" s="16"/>
      <c r="Q1058" s="16">
        <v>1.31477475</v>
      </c>
      <c r="R1058" s="16">
        <v>1.5946742300000001</v>
      </c>
      <c r="S1058" s="16">
        <v>98.416907300000005</v>
      </c>
      <c r="T1058" s="16">
        <v>0.82447861</v>
      </c>
    </row>
    <row r="1059" spans="1:20" x14ac:dyDescent="0.2">
      <c r="A1059">
        <v>709</v>
      </c>
      <c r="B1059" s="8">
        <v>46214</v>
      </c>
      <c r="C1059" s="9">
        <v>0.50403935185185189</v>
      </c>
      <c r="D1059" s="7" t="s">
        <v>21</v>
      </c>
      <c r="E1059" s="13" t="s">
        <v>37</v>
      </c>
      <c r="F1059" s="16">
        <v>68.919160700000006</v>
      </c>
      <c r="G1059" s="129">
        <v>2005.8824500000001</v>
      </c>
      <c r="H1059" s="22">
        <v>0</v>
      </c>
      <c r="I1059" s="19"/>
      <c r="J1059" s="7" t="s">
        <v>19</v>
      </c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</row>
    <row r="1060" spans="1:20" x14ac:dyDescent="0.2">
      <c r="A1060">
        <v>710</v>
      </c>
      <c r="B1060" s="8">
        <v>46214</v>
      </c>
      <c r="C1060" s="9">
        <v>0.50420138888888888</v>
      </c>
      <c r="D1060" s="7" t="s">
        <v>21</v>
      </c>
      <c r="E1060" s="13" t="s">
        <v>33</v>
      </c>
      <c r="F1060" s="16">
        <v>80.781511699999996</v>
      </c>
      <c r="G1060" s="129">
        <v>1053.41785</v>
      </c>
      <c r="H1060" s="22">
        <v>1</v>
      </c>
      <c r="I1060" s="19" t="s">
        <v>40</v>
      </c>
      <c r="J1060" s="7" t="s">
        <v>19</v>
      </c>
      <c r="K1060" s="16">
        <v>84.886483400000003</v>
      </c>
      <c r="L1060" s="16">
        <v>31.402010000000001</v>
      </c>
      <c r="M1060" s="16">
        <v>14.918272</v>
      </c>
      <c r="N1060" s="16">
        <v>62.446694399999998</v>
      </c>
      <c r="O1060" s="16">
        <v>3956.30249</v>
      </c>
      <c r="P1060" s="16">
        <v>296</v>
      </c>
      <c r="Q1060" s="16">
        <v>1.3593430500000001</v>
      </c>
      <c r="R1060" s="16">
        <v>1.6220357400000001</v>
      </c>
      <c r="S1060" s="16">
        <v>101.290772</v>
      </c>
      <c r="T1060" s="16">
        <v>0.83804756000000002</v>
      </c>
    </row>
    <row r="1061" spans="1:20" x14ac:dyDescent="0.2">
      <c r="A1061">
        <v>745</v>
      </c>
      <c r="B1061" s="8">
        <v>46214</v>
      </c>
      <c r="C1061" s="9">
        <v>0.51682870370370371</v>
      </c>
      <c r="D1061" s="7" t="s">
        <v>22</v>
      </c>
      <c r="E1061" s="13" t="s">
        <v>57</v>
      </c>
      <c r="F1061" s="16">
        <v>71.269401000000002</v>
      </c>
      <c r="G1061" s="129">
        <v>2058.6286599999999</v>
      </c>
      <c r="H1061" s="22">
        <v>1</v>
      </c>
      <c r="I1061" s="19" t="s">
        <v>39</v>
      </c>
      <c r="J1061" s="7" t="s">
        <v>19</v>
      </c>
      <c r="K1061" s="16"/>
      <c r="L1061" s="16"/>
      <c r="M1061" s="16"/>
      <c r="N1061" s="16">
        <v>59.0180285</v>
      </c>
      <c r="O1061" s="16"/>
      <c r="P1061" s="16"/>
      <c r="Q1061" s="16"/>
      <c r="R1061" s="16"/>
      <c r="S1061" s="16"/>
      <c r="T1061" s="16"/>
    </row>
    <row r="1062" spans="1:20" x14ac:dyDescent="0.2">
      <c r="A1062">
        <v>746</v>
      </c>
      <c r="B1062" s="8">
        <v>46214</v>
      </c>
      <c r="C1062" s="9">
        <v>0.51712962962962961</v>
      </c>
      <c r="D1062" s="7" t="s">
        <v>22</v>
      </c>
      <c r="E1062" s="13" t="s">
        <v>56</v>
      </c>
      <c r="F1062" s="16">
        <v>69.935481699999997</v>
      </c>
      <c r="G1062" s="129">
        <v>2053.5859399999999</v>
      </c>
      <c r="H1062" s="22">
        <v>1</v>
      </c>
      <c r="I1062" s="19"/>
      <c r="J1062" s="7" t="s">
        <v>19</v>
      </c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</row>
    <row r="1063" spans="1:20" x14ac:dyDescent="0.2">
      <c r="A1063">
        <v>747</v>
      </c>
      <c r="B1063" s="8">
        <v>46214</v>
      </c>
      <c r="C1063" s="9">
        <v>0.51775462962962959</v>
      </c>
      <c r="D1063" s="7" t="s">
        <v>22</v>
      </c>
      <c r="E1063" s="13" t="s">
        <v>58</v>
      </c>
      <c r="F1063" s="16">
        <v>84.799154299999998</v>
      </c>
      <c r="G1063" s="129">
        <v>1994.0684799999999</v>
      </c>
      <c r="H1063" s="22">
        <v>0</v>
      </c>
      <c r="I1063" s="19"/>
      <c r="J1063" s="7" t="s">
        <v>19</v>
      </c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</row>
    <row r="1064" spans="1:20" x14ac:dyDescent="0.2">
      <c r="A1064">
        <v>748</v>
      </c>
      <c r="B1064" s="8">
        <v>46214</v>
      </c>
      <c r="C1064" s="9">
        <v>0.51811342592592591</v>
      </c>
      <c r="D1064" s="7" t="s">
        <v>22</v>
      </c>
      <c r="E1064" s="13" t="s">
        <v>56</v>
      </c>
      <c r="F1064" s="16">
        <v>69.935481699999997</v>
      </c>
      <c r="G1064" s="129">
        <v>1967.3013900000001</v>
      </c>
      <c r="H1064" s="22">
        <v>1</v>
      </c>
      <c r="I1064" s="19" t="s">
        <v>42</v>
      </c>
      <c r="J1064" s="7" t="s">
        <v>19</v>
      </c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</row>
    <row r="1065" spans="1:20" x14ac:dyDescent="0.2">
      <c r="A1065">
        <v>766</v>
      </c>
      <c r="B1065" s="8">
        <v>46214</v>
      </c>
      <c r="C1065" s="9">
        <v>0.52888888888888885</v>
      </c>
      <c r="D1065" s="7" t="s">
        <v>25</v>
      </c>
      <c r="E1065" s="13" t="s">
        <v>33</v>
      </c>
      <c r="F1065" s="16">
        <v>83.703435999999996</v>
      </c>
      <c r="G1065" s="129">
        <v>1874.86572</v>
      </c>
      <c r="H1065" s="22">
        <v>1</v>
      </c>
      <c r="I1065" s="19"/>
      <c r="J1065" s="7" t="s">
        <v>19</v>
      </c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</row>
    <row r="1066" spans="1:20" x14ac:dyDescent="0.2">
      <c r="A1066">
        <v>767</v>
      </c>
      <c r="B1066" s="8">
        <v>46214</v>
      </c>
      <c r="C1066" s="9">
        <v>0.52918981481481486</v>
      </c>
      <c r="D1066" s="7" t="s">
        <v>25</v>
      </c>
      <c r="E1066" s="13" t="s">
        <v>33</v>
      </c>
      <c r="F1066" s="16">
        <v>84.799154299999998</v>
      </c>
      <c r="G1066" s="129">
        <v>1856.7346199999999</v>
      </c>
      <c r="H1066" s="22">
        <v>0</v>
      </c>
      <c r="I1066" s="19"/>
      <c r="J1066" s="7" t="s">
        <v>19</v>
      </c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</row>
    <row r="1067" spans="1:20" x14ac:dyDescent="0.2">
      <c r="A1067">
        <v>768</v>
      </c>
      <c r="B1067" s="8">
        <v>46214</v>
      </c>
      <c r="C1067" s="9">
        <v>0.52949074074074076</v>
      </c>
      <c r="D1067" s="7" t="s">
        <v>25</v>
      </c>
      <c r="E1067" s="13" t="s">
        <v>37</v>
      </c>
      <c r="F1067" s="16">
        <v>73.746679700000001</v>
      </c>
      <c r="G1067" s="129">
        <v>2240.2294900000002</v>
      </c>
      <c r="H1067" s="22">
        <v>1</v>
      </c>
      <c r="I1067" s="19" t="s">
        <v>39</v>
      </c>
      <c r="J1067" s="7" t="s">
        <v>19</v>
      </c>
      <c r="K1067" s="16"/>
      <c r="L1067" s="16"/>
      <c r="M1067" s="16"/>
      <c r="N1067" s="16">
        <v>57.669043600000002</v>
      </c>
      <c r="O1067" s="16"/>
      <c r="P1067" s="16"/>
      <c r="Q1067" s="16"/>
      <c r="R1067" s="16"/>
      <c r="S1067" s="16"/>
      <c r="T1067" s="16"/>
    </row>
    <row r="1068" spans="1:20" x14ac:dyDescent="0.2">
      <c r="A1068">
        <v>769</v>
      </c>
      <c r="B1068" s="8">
        <v>46214</v>
      </c>
      <c r="C1068" s="9">
        <v>0.52995370370370365</v>
      </c>
      <c r="D1068" s="7" t="s">
        <v>25</v>
      </c>
      <c r="E1068" s="13" t="s">
        <v>37</v>
      </c>
      <c r="F1068" s="16">
        <v>75.128236000000001</v>
      </c>
      <c r="G1068" s="129">
        <v>2210.5061000000001</v>
      </c>
      <c r="H1068" s="22">
        <v>0</v>
      </c>
      <c r="I1068" s="19"/>
      <c r="J1068" s="7" t="s">
        <v>19</v>
      </c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</row>
    <row r="1069" spans="1:20" x14ac:dyDescent="0.2">
      <c r="A1069">
        <v>770</v>
      </c>
      <c r="B1069" s="8">
        <v>46214</v>
      </c>
      <c r="C1069" s="9">
        <v>0.53043981481481484</v>
      </c>
      <c r="D1069" s="7" t="s">
        <v>25</v>
      </c>
      <c r="E1069" s="13" t="s">
        <v>33</v>
      </c>
      <c r="F1069" s="16">
        <v>84.608590199999995</v>
      </c>
      <c r="G1069" s="129">
        <v>1924.0063500000001</v>
      </c>
      <c r="H1069" s="22">
        <v>1</v>
      </c>
      <c r="I1069" s="19" t="s">
        <v>45</v>
      </c>
      <c r="J1069" s="7" t="s">
        <v>19</v>
      </c>
      <c r="K1069" s="16"/>
      <c r="L1069" s="16"/>
      <c r="M1069" s="16"/>
      <c r="N1069" s="16">
        <v>65.5943228</v>
      </c>
      <c r="O1069" s="16"/>
      <c r="P1069" s="16"/>
      <c r="Q1069" s="16"/>
      <c r="R1069" s="16"/>
      <c r="S1069" s="16"/>
      <c r="T1069" s="16"/>
    </row>
    <row r="1070" spans="1:20" x14ac:dyDescent="0.2">
      <c r="A1070">
        <v>787</v>
      </c>
      <c r="B1070" s="8">
        <v>46218</v>
      </c>
      <c r="C1070" s="9">
        <v>0.44512731481481482</v>
      </c>
      <c r="D1070" s="7" t="s">
        <v>28</v>
      </c>
      <c r="E1070" s="13" t="s">
        <v>33</v>
      </c>
      <c r="F1070" s="16">
        <v>76.859159599999998</v>
      </c>
      <c r="G1070" s="129">
        <v>1842.09961</v>
      </c>
      <c r="H1070" s="22">
        <v>0</v>
      </c>
      <c r="I1070" s="19"/>
      <c r="J1070" s="7" t="s">
        <v>19</v>
      </c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</row>
    <row r="1071" spans="1:20" x14ac:dyDescent="0.2">
      <c r="A1071">
        <v>788</v>
      </c>
      <c r="B1071" s="8">
        <v>46218</v>
      </c>
      <c r="C1071" s="9">
        <v>0.44533564814814813</v>
      </c>
      <c r="D1071" s="7" t="s">
        <v>28</v>
      </c>
      <c r="E1071" s="13" t="s">
        <v>37</v>
      </c>
      <c r="F1071" s="16">
        <v>70.872400799999994</v>
      </c>
      <c r="G1071" s="129">
        <v>2255.2888200000002</v>
      </c>
      <c r="H1071" s="22">
        <v>0</v>
      </c>
      <c r="I1071" s="19"/>
      <c r="J1071" s="7" t="s">
        <v>19</v>
      </c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</row>
    <row r="1072" spans="1:20" x14ac:dyDescent="0.2">
      <c r="A1072">
        <v>789</v>
      </c>
      <c r="B1072" s="8">
        <v>46218</v>
      </c>
      <c r="C1072" s="9">
        <v>0.4455324074074074</v>
      </c>
      <c r="D1072" s="7" t="s">
        <v>28</v>
      </c>
      <c r="E1072" s="13" t="s">
        <v>37</v>
      </c>
      <c r="F1072" s="16">
        <v>71.253520600000002</v>
      </c>
      <c r="G1072" s="129">
        <v>2276.2399999999998</v>
      </c>
      <c r="H1072" s="22">
        <v>0</v>
      </c>
      <c r="I1072" s="19"/>
      <c r="J1072" s="7" t="s">
        <v>19</v>
      </c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</row>
    <row r="1073" spans="1:20" x14ac:dyDescent="0.2">
      <c r="A1073">
        <v>790</v>
      </c>
      <c r="B1073" s="8">
        <v>46218</v>
      </c>
      <c r="C1073" s="9">
        <v>0.44574074074074072</v>
      </c>
      <c r="D1073" s="7" t="s">
        <v>28</v>
      </c>
      <c r="E1073" s="13" t="s">
        <v>33</v>
      </c>
      <c r="F1073" s="16">
        <v>77.303801000000007</v>
      </c>
      <c r="G1073" s="129">
        <v>1916.5095200000001</v>
      </c>
      <c r="H1073" s="22">
        <v>1</v>
      </c>
      <c r="I1073" s="19" t="s">
        <v>38</v>
      </c>
      <c r="J1073" s="7" t="s">
        <v>19</v>
      </c>
      <c r="K1073" s="16"/>
      <c r="L1073" s="16"/>
      <c r="M1073" s="16"/>
      <c r="N1073" s="16">
        <v>61.899607600000003</v>
      </c>
      <c r="O1073" s="16"/>
      <c r="P1073" s="16"/>
      <c r="Q1073" s="16"/>
      <c r="R1073" s="16"/>
      <c r="S1073" s="16"/>
      <c r="T1073" s="16"/>
    </row>
    <row r="1074" spans="1:20" x14ac:dyDescent="0.2">
      <c r="A1074">
        <v>791</v>
      </c>
      <c r="B1074" s="8">
        <v>46218</v>
      </c>
      <c r="C1074" s="9">
        <v>0.44633101851851853</v>
      </c>
      <c r="D1074" s="7" t="s">
        <v>28</v>
      </c>
      <c r="E1074" s="13" t="s">
        <v>37</v>
      </c>
      <c r="F1074" s="16">
        <v>71.571118999999996</v>
      </c>
      <c r="G1074" s="129">
        <v>2280.2277800000002</v>
      </c>
      <c r="H1074" s="22">
        <v>1</v>
      </c>
      <c r="I1074" s="19"/>
      <c r="J1074" s="7" t="s">
        <v>19</v>
      </c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</row>
    <row r="1075" spans="1:20" x14ac:dyDescent="0.2">
      <c r="A1075">
        <v>792</v>
      </c>
      <c r="B1075" s="8">
        <v>46218</v>
      </c>
      <c r="C1075" s="9">
        <v>0.44651620370370371</v>
      </c>
      <c r="D1075" s="7" t="s">
        <v>28</v>
      </c>
      <c r="E1075" s="13" t="s">
        <v>37</v>
      </c>
      <c r="F1075" s="16">
        <v>71.062960700000005</v>
      </c>
      <c r="G1075" s="129">
        <v>2258.6372099999999</v>
      </c>
      <c r="H1075" s="22">
        <v>1</v>
      </c>
      <c r="I1075" s="19" t="s">
        <v>45</v>
      </c>
      <c r="J1075" s="7" t="s">
        <v>19</v>
      </c>
      <c r="K1075" s="16"/>
      <c r="L1075" s="16"/>
      <c r="M1075" s="16"/>
      <c r="N1075" s="16">
        <v>58.172077700000003</v>
      </c>
      <c r="O1075" s="16"/>
      <c r="P1075" s="16"/>
      <c r="Q1075" s="16"/>
      <c r="R1075" s="16"/>
      <c r="S1075" s="16"/>
      <c r="T1075" s="16"/>
    </row>
    <row r="1076" spans="1:20" x14ac:dyDescent="0.2">
      <c r="A1076">
        <v>829</v>
      </c>
      <c r="B1076" s="8">
        <v>46218</v>
      </c>
      <c r="C1076" s="9">
        <v>0.46025462962962965</v>
      </c>
      <c r="D1076" s="7" t="s">
        <v>28</v>
      </c>
      <c r="E1076" s="13" t="s">
        <v>37</v>
      </c>
      <c r="F1076" s="16">
        <v>71.507601800000003</v>
      </c>
      <c r="G1076" s="129">
        <v>1138.11707</v>
      </c>
      <c r="H1076" s="22">
        <v>1</v>
      </c>
      <c r="I1076" s="19" t="s">
        <v>40</v>
      </c>
      <c r="J1076" s="7" t="s">
        <v>19</v>
      </c>
      <c r="K1076" s="16">
        <v>76.068367800000004</v>
      </c>
      <c r="L1076" s="16">
        <v>53.915248900000002</v>
      </c>
      <c r="M1076" s="16">
        <v>-11.161350000000001</v>
      </c>
      <c r="N1076" s="16">
        <v>61.504262699999998</v>
      </c>
      <c r="O1076" s="16">
        <v>4360.5063499999997</v>
      </c>
      <c r="P1076" s="16">
        <v>252</v>
      </c>
      <c r="Q1076" s="16">
        <v>1.2367982900000001</v>
      </c>
      <c r="R1076" s="16">
        <v>1.59178877</v>
      </c>
      <c r="S1076" s="16">
        <v>97.901797999999999</v>
      </c>
      <c r="T1076" s="16">
        <v>0.77698646000000005</v>
      </c>
    </row>
    <row r="1077" spans="1:20" x14ac:dyDescent="0.2">
      <c r="A1077">
        <v>853</v>
      </c>
      <c r="B1077" s="8">
        <v>46218</v>
      </c>
      <c r="C1077" s="9">
        <v>0.47141203703703705</v>
      </c>
      <c r="D1077" s="7" t="s">
        <v>28</v>
      </c>
      <c r="E1077" s="13" t="s">
        <v>37</v>
      </c>
      <c r="F1077" s="16">
        <v>70.570682700000006</v>
      </c>
      <c r="G1077" s="129">
        <v>2243.8098100000002</v>
      </c>
      <c r="H1077" s="22">
        <v>0</v>
      </c>
      <c r="I1077" s="19"/>
      <c r="J1077" s="7" t="s">
        <v>19</v>
      </c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</row>
    <row r="1078" spans="1:20" x14ac:dyDescent="0.2">
      <c r="A1078">
        <v>854</v>
      </c>
      <c r="B1078" s="8">
        <v>46218</v>
      </c>
      <c r="C1078" s="9">
        <v>0.47170138888888891</v>
      </c>
      <c r="D1078" s="7" t="s">
        <v>28</v>
      </c>
      <c r="E1078" s="13" t="s">
        <v>37</v>
      </c>
      <c r="F1078" s="16">
        <v>69.236763499999995</v>
      </c>
      <c r="G1078" s="129">
        <v>2325.5864299999998</v>
      </c>
      <c r="H1078" s="22">
        <v>1</v>
      </c>
      <c r="I1078" s="19"/>
      <c r="J1078" s="7" t="s">
        <v>19</v>
      </c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</row>
    <row r="1079" spans="1:20" x14ac:dyDescent="0.2">
      <c r="A1079">
        <v>855</v>
      </c>
      <c r="B1079" s="8">
        <v>46218</v>
      </c>
      <c r="C1079" s="9">
        <v>0.47190972222222222</v>
      </c>
      <c r="D1079" s="7" t="s">
        <v>28</v>
      </c>
      <c r="E1079" s="13" t="s">
        <v>33</v>
      </c>
      <c r="F1079" s="16">
        <v>75.779321699999997</v>
      </c>
      <c r="G1079" s="129">
        <v>1933.80493</v>
      </c>
      <c r="H1079" s="22">
        <v>0</v>
      </c>
      <c r="I1079" s="19"/>
      <c r="J1079" s="7" t="s">
        <v>19</v>
      </c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</row>
    <row r="1080" spans="1:20" x14ac:dyDescent="0.2">
      <c r="A1080">
        <v>856</v>
      </c>
      <c r="B1080" s="8">
        <v>46218</v>
      </c>
      <c r="C1080" s="9">
        <v>0.47210648148148149</v>
      </c>
      <c r="D1080" s="7" t="s">
        <v>28</v>
      </c>
      <c r="E1080" s="13" t="s">
        <v>37</v>
      </c>
      <c r="F1080" s="16">
        <v>70.888281300000003</v>
      </c>
      <c r="G1080" s="129">
        <v>2279.72876</v>
      </c>
      <c r="H1080" s="22">
        <v>1</v>
      </c>
      <c r="I1080" s="19" t="s">
        <v>40</v>
      </c>
      <c r="J1080" s="7" t="s">
        <v>19</v>
      </c>
      <c r="K1080" s="16">
        <v>89.759250100000003</v>
      </c>
      <c r="L1080" s="16">
        <v>13.185585</v>
      </c>
      <c r="M1080" s="16">
        <v>-24.661836999999998</v>
      </c>
      <c r="N1080" s="16">
        <v>58.341509199999997</v>
      </c>
      <c r="O1080" s="16">
        <v>1233.0012200000001</v>
      </c>
      <c r="P1080" s="16">
        <v>210</v>
      </c>
      <c r="Q1080" s="16">
        <v>1.5385143800000001</v>
      </c>
      <c r="R1080" s="16">
        <v>1.6246483300000001</v>
      </c>
      <c r="S1080" s="16">
        <v>94.784437100000005</v>
      </c>
      <c r="T1080" s="16">
        <v>0.94698300000000002</v>
      </c>
    </row>
    <row r="1081" spans="1:20" x14ac:dyDescent="0.2">
      <c r="A1081">
        <v>1073</v>
      </c>
      <c r="B1081" s="1">
        <v>46224</v>
      </c>
      <c r="C1081" s="2">
        <v>0.73773148148148149</v>
      </c>
      <c r="D1081" t="s">
        <v>25</v>
      </c>
      <c r="E1081" s="10" t="s">
        <v>33</v>
      </c>
      <c r="F1081" s="11">
        <v>83.125445929999998</v>
      </c>
      <c r="G1081" s="4">
        <v>1851.1707799999999</v>
      </c>
      <c r="H1081" s="20">
        <v>1</v>
      </c>
      <c r="I1081" s="17" t="s">
        <v>39</v>
      </c>
      <c r="J1081" t="s">
        <v>19</v>
      </c>
      <c r="N1081" s="11">
        <v>59.614778813000001</v>
      </c>
    </row>
    <row r="1082" spans="1:20" x14ac:dyDescent="0.2">
      <c r="A1082">
        <v>1074</v>
      </c>
      <c r="B1082" s="1">
        <v>46224</v>
      </c>
      <c r="C1082" s="2">
        <v>0.73805555555555558</v>
      </c>
      <c r="D1082" t="s">
        <v>25</v>
      </c>
      <c r="E1082" s="10" t="s">
        <v>33</v>
      </c>
      <c r="F1082" s="11">
        <v>85.985265259000002</v>
      </c>
      <c r="G1082" s="4">
        <v>2002.24829</v>
      </c>
      <c r="H1082" s="20">
        <v>1</v>
      </c>
      <c r="J1082" t="s">
        <v>19</v>
      </c>
    </row>
    <row r="1083" spans="1:20" x14ac:dyDescent="0.2">
      <c r="A1083">
        <v>1075</v>
      </c>
      <c r="B1083" s="1">
        <v>46224</v>
      </c>
      <c r="C1083" s="2">
        <v>0.73831018518518521</v>
      </c>
      <c r="D1083" t="s">
        <v>25</v>
      </c>
      <c r="E1083" s="10" t="s">
        <v>35</v>
      </c>
      <c r="F1083" s="11">
        <v>73.958133239999995</v>
      </c>
      <c r="G1083" s="4">
        <v>1586.73633</v>
      </c>
      <c r="H1083" s="20">
        <v>1</v>
      </c>
      <c r="I1083" s="17" t="s">
        <v>38</v>
      </c>
      <c r="J1083" t="s">
        <v>19</v>
      </c>
      <c r="N1083" s="11">
        <v>60.744920262999997</v>
      </c>
    </row>
    <row r="1084" spans="1:20" x14ac:dyDescent="0.2">
      <c r="A1084">
        <v>1076</v>
      </c>
      <c r="B1084" s="1">
        <v>46224</v>
      </c>
      <c r="C1084" s="2">
        <v>0.73871527777777779</v>
      </c>
      <c r="D1084" t="s">
        <v>25</v>
      </c>
      <c r="E1084" s="10" t="s">
        <v>37</v>
      </c>
      <c r="F1084" s="11">
        <v>77.024491107000003</v>
      </c>
      <c r="G1084" s="4">
        <v>2031.9703400000001</v>
      </c>
      <c r="H1084" s="20">
        <v>1</v>
      </c>
      <c r="I1084" s="17" t="s">
        <v>45</v>
      </c>
      <c r="J1084" t="s">
        <v>19</v>
      </c>
      <c r="N1084" s="11">
        <v>61.875057464000001</v>
      </c>
    </row>
    <row r="1085" spans="1:20" x14ac:dyDescent="0.2">
      <c r="A1085">
        <v>1105</v>
      </c>
      <c r="B1085" s="1">
        <v>46224</v>
      </c>
      <c r="C1085" s="2">
        <v>0.75070601851851848</v>
      </c>
      <c r="D1085" t="s">
        <v>28</v>
      </c>
      <c r="E1085" s="10" t="s">
        <v>33</v>
      </c>
      <c r="F1085" s="11">
        <v>75.753465860999995</v>
      </c>
      <c r="G1085" s="4">
        <v>1992.19336</v>
      </c>
      <c r="H1085" s="20">
        <v>0</v>
      </c>
      <c r="J1085" t="s">
        <v>19</v>
      </c>
    </row>
    <row r="1086" spans="1:20" x14ac:dyDescent="0.2">
      <c r="A1086">
        <v>1106</v>
      </c>
      <c r="B1086" s="1">
        <v>46224</v>
      </c>
      <c r="C1086" s="2">
        <v>0.75103009259259257</v>
      </c>
      <c r="D1086" t="s">
        <v>28</v>
      </c>
      <c r="E1086" s="10" t="s">
        <v>37</v>
      </c>
      <c r="F1086" s="11">
        <v>68.508584245999998</v>
      </c>
      <c r="G1086" s="4">
        <v>2286.1362300000001</v>
      </c>
      <c r="H1086" s="20">
        <v>0</v>
      </c>
      <c r="J1086" t="s">
        <v>19</v>
      </c>
    </row>
    <row r="1087" spans="1:20" x14ac:dyDescent="0.2">
      <c r="A1087">
        <v>1107</v>
      </c>
      <c r="B1087" s="1">
        <v>46224</v>
      </c>
      <c r="C1087" s="2">
        <v>0.75121527777777775</v>
      </c>
      <c r="D1087" t="s">
        <v>28</v>
      </c>
      <c r="E1087" s="10" t="s">
        <v>37</v>
      </c>
      <c r="F1087" s="11">
        <v>70.478681742999996</v>
      </c>
      <c r="G1087" s="4">
        <v>2453.6118200000001</v>
      </c>
      <c r="H1087" s="20">
        <v>0</v>
      </c>
      <c r="J1087" t="s">
        <v>19</v>
      </c>
    </row>
    <row r="1088" spans="1:20" x14ac:dyDescent="0.2">
      <c r="A1088">
        <v>1108</v>
      </c>
      <c r="B1088" s="1">
        <v>46224</v>
      </c>
      <c r="C1088" s="2">
        <v>0.75140046296296292</v>
      </c>
      <c r="D1088" t="s">
        <v>28</v>
      </c>
      <c r="E1088" s="10" t="s">
        <v>33</v>
      </c>
      <c r="F1088" s="11">
        <v>76.325422881999998</v>
      </c>
      <c r="G1088" s="4">
        <v>1950.5977800000001</v>
      </c>
      <c r="H1088" s="20">
        <v>1</v>
      </c>
      <c r="J1088" t="s">
        <v>19</v>
      </c>
    </row>
    <row r="1089" spans="1:20" x14ac:dyDescent="0.2">
      <c r="A1089">
        <v>1109</v>
      </c>
      <c r="B1089" s="1">
        <v>46224</v>
      </c>
      <c r="C1089" s="2">
        <v>0.75162037037037033</v>
      </c>
      <c r="D1089" t="s">
        <v>28</v>
      </c>
      <c r="E1089" s="10" t="s">
        <v>33</v>
      </c>
      <c r="F1089" s="11">
        <v>75.546921060000003</v>
      </c>
      <c r="G1089" s="4">
        <v>1892.97217</v>
      </c>
      <c r="H1089" s="20">
        <v>1</v>
      </c>
      <c r="I1089" s="17" t="s">
        <v>38</v>
      </c>
      <c r="J1089" t="s">
        <v>19</v>
      </c>
      <c r="K1089" s="11">
        <v>71.267271922999996</v>
      </c>
      <c r="L1089" s="11">
        <v>51.029600000000002</v>
      </c>
      <c r="M1089" s="11">
        <v>16.0138493</v>
      </c>
      <c r="N1089" s="11">
        <v>57.750053751999999</v>
      </c>
      <c r="O1089" s="11">
        <v>4183.0039100000004</v>
      </c>
      <c r="P1089" s="11">
        <v>234</v>
      </c>
      <c r="Q1089" s="11">
        <v>1.23406422</v>
      </c>
      <c r="R1089" s="11">
        <v>1.6449001999999999</v>
      </c>
      <c r="S1089" s="11">
        <v>94.993074793000005</v>
      </c>
      <c r="T1089" s="11">
        <v>0.75023651099999999</v>
      </c>
    </row>
    <row r="1090" spans="1:20" x14ac:dyDescent="0.2">
      <c r="A1090">
        <v>1110</v>
      </c>
      <c r="B1090" s="1">
        <v>46224</v>
      </c>
      <c r="C1090" s="2">
        <v>0.75199074074074079</v>
      </c>
      <c r="D1090" t="s">
        <v>28</v>
      </c>
      <c r="E1090" s="10" t="s">
        <v>37</v>
      </c>
      <c r="F1090" s="11">
        <v>70.335690306999993</v>
      </c>
      <c r="G1090" s="4">
        <v>750.78008999999997</v>
      </c>
      <c r="H1090" s="20">
        <v>0</v>
      </c>
      <c r="I1090" s="17" t="s">
        <v>48</v>
      </c>
      <c r="J1090" t="s">
        <v>19</v>
      </c>
    </row>
    <row r="1091" spans="1:20" x14ac:dyDescent="0.2">
      <c r="A1091">
        <v>1111</v>
      </c>
      <c r="B1091" s="1">
        <v>46224</v>
      </c>
      <c r="C1091" s="2">
        <v>0.75218750000000001</v>
      </c>
      <c r="D1091" t="s">
        <v>28</v>
      </c>
      <c r="E1091" s="10" t="s">
        <v>33</v>
      </c>
      <c r="F1091" s="11">
        <v>74.085235718999996</v>
      </c>
      <c r="G1091" s="4">
        <v>1904.0983900000001</v>
      </c>
      <c r="H1091" s="20">
        <v>0</v>
      </c>
      <c r="J1091" t="s">
        <v>19</v>
      </c>
    </row>
    <row r="1092" spans="1:20" x14ac:dyDescent="0.2">
      <c r="A1092">
        <v>1143</v>
      </c>
      <c r="B1092" s="1">
        <v>46224</v>
      </c>
      <c r="C1092" s="2">
        <v>0.76556712962962958</v>
      </c>
      <c r="D1092" t="s">
        <v>28</v>
      </c>
      <c r="E1092" s="10" t="s">
        <v>37</v>
      </c>
      <c r="F1092" s="11">
        <v>68.572135373999998</v>
      </c>
      <c r="G1092" s="4">
        <v>2318.11</v>
      </c>
      <c r="H1092" s="20">
        <v>1</v>
      </c>
      <c r="I1092" s="17" t="s">
        <v>39</v>
      </c>
      <c r="J1092" t="s">
        <v>19</v>
      </c>
      <c r="N1092" s="11">
        <v>50.912719283000001</v>
      </c>
    </row>
    <row r="1093" spans="1:20" x14ac:dyDescent="0.2">
      <c r="A1093">
        <v>1144</v>
      </c>
      <c r="B1093" s="1">
        <v>46224</v>
      </c>
      <c r="C1093" s="2">
        <v>0.76576388888888891</v>
      </c>
      <c r="D1093" t="s">
        <v>28</v>
      </c>
      <c r="E1093" s="10" t="s">
        <v>33</v>
      </c>
      <c r="F1093" s="11">
        <v>73.656262752999993</v>
      </c>
      <c r="G1093" s="4">
        <v>1782.8481400000001</v>
      </c>
      <c r="H1093" s="20">
        <v>1</v>
      </c>
      <c r="I1093" s="17" t="s">
        <v>39</v>
      </c>
      <c r="J1093" t="s">
        <v>19</v>
      </c>
      <c r="N1093" s="11">
        <v>60.349370700000001</v>
      </c>
    </row>
    <row r="1094" spans="1:20" x14ac:dyDescent="0.2">
      <c r="A1094">
        <v>1145</v>
      </c>
      <c r="B1094" s="1">
        <v>46224</v>
      </c>
      <c r="C1094" s="2">
        <v>0.76606481481481481</v>
      </c>
      <c r="D1094" t="s">
        <v>28</v>
      </c>
      <c r="E1094" s="10" t="s">
        <v>37</v>
      </c>
      <c r="F1094" s="11">
        <v>71.940364846999998</v>
      </c>
      <c r="G1094" s="4">
        <v>328.71658300000001</v>
      </c>
      <c r="H1094" s="20">
        <v>1</v>
      </c>
      <c r="I1094" s="17" t="s">
        <v>40</v>
      </c>
      <c r="J1094" t="s">
        <v>19</v>
      </c>
      <c r="K1094" s="11">
        <v>91.269572685</v>
      </c>
      <c r="L1094" s="11">
        <v>2.95110202</v>
      </c>
      <c r="M1094" s="11">
        <v>-11.0302486</v>
      </c>
      <c r="N1094" s="11">
        <v>63.118208697</v>
      </c>
      <c r="O1094" s="11">
        <v>665.67620799999997</v>
      </c>
      <c r="P1094" s="11">
        <v>96</v>
      </c>
      <c r="Q1094" s="11">
        <v>1.44601023</v>
      </c>
      <c r="R1094" s="11">
        <v>1.57464933</v>
      </c>
      <c r="S1094" s="11">
        <v>99.389046839000002</v>
      </c>
      <c r="T1094" s="11">
        <v>0.91830612199999995</v>
      </c>
    </row>
    <row r="1095" spans="1:20" x14ac:dyDescent="0.2">
      <c r="A1095">
        <v>1182</v>
      </c>
      <c r="B1095" s="1">
        <v>46224</v>
      </c>
      <c r="C1095" s="2">
        <v>0.78100694444444441</v>
      </c>
      <c r="D1095" t="s">
        <v>28</v>
      </c>
      <c r="E1095" s="10" t="s">
        <v>35</v>
      </c>
      <c r="F1095" s="11">
        <v>70.160925431999999</v>
      </c>
      <c r="G1095" s="4">
        <v>1696.7343800000001</v>
      </c>
      <c r="H1095" s="20">
        <v>1</v>
      </c>
      <c r="I1095" s="17" t="s">
        <v>40</v>
      </c>
      <c r="J1095" t="s">
        <v>19</v>
      </c>
      <c r="K1095" s="11">
        <v>85.317454412000004</v>
      </c>
      <c r="L1095" s="11">
        <v>39.851932499999997</v>
      </c>
      <c r="M1095" s="11">
        <v>-14.050360700000001</v>
      </c>
      <c r="N1095" s="11">
        <v>64.982937785000004</v>
      </c>
      <c r="O1095" s="11">
        <v>4182.6669899999997</v>
      </c>
      <c r="Q1095" s="11">
        <v>1.31292081</v>
      </c>
      <c r="R1095" s="11">
        <v>1.57011616</v>
      </c>
      <c r="S1095" s="11">
        <v>102.030765356</v>
      </c>
      <c r="T1095" s="11">
        <v>0.836193466</v>
      </c>
    </row>
    <row r="1096" spans="1:20" x14ac:dyDescent="0.2">
      <c r="A1096">
        <v>1232</v>
      </c>
      <c r="B1096" s="1">
        <v>46228</v>
      </c>
      <c r="C1096" s="2">
        <v>0.44135416666666666</v>
      </c>
      <c r="D1096" t="s">
        <v>18</v>
      </c>
      <c r="E1096" s="10" t="s">
        <v>36</v>
      </c>
      <c r="F1096" s="11">
        <v>76.414518477000001</v>
      </c>
      <c r="G1096" s="4">
        <v>2087.0414999999998</v>
      </c>
      <c r="H1096" s="20">
        <v>0</v>
      </c>
      <c r="J1096" t="s">
        <v>19</v>
      </c>
      <c r="T1096" s="14"/>
    </row>
    <row r="1097" spans="1:20" x14ac:dyDescent="0.2">
      <c r="A1097">
        <v>1233</v>
      </c>
      <c r="B1097" s="1">
        <v>46228</v>
      </c>
      <c r="C1097" s="2">
        <v>0.44153935185185184</v>
      </c>
      <c r="D1097" t="s">
        <v>18</v>
      </c>
      <c r="E1097" s="10" t="s">
        <v>37</v>
      </c>
      <c r="F1097" s="11">
        <v>71.650516549000002</v>
      </c>
      <c r="G1097" s="4">
        <v>2064.3835399999998</v>
      </c>
      <c r="H1097" s="20">
        <v>0</v>
      </c>
      <c r="J1097" t="s">
        <v>19</v>
      </c>
      <c r="T1097" s="14"/>
    </row>
    <row r="1098" spans="1:20" x14ac:dyDescent="0.2">
      <c r="A1098">
        <v>1234</v>
      </c>
      <c r="B1098" s="1">
        <v>46228</v>
      </c>
      <c r="C1098" s="2">
        <v>0.4418287037037037</v>
      </c>
      <c r="D1098" t="s">
        <v>18</v>
      </c>
      <c r="E1098" s="10" t="s">
        <v>33</v>
      </c>
      <c r="F1098" s="11">
        <v>83.338196439000001</v>
      </c>
      <c r="G1098" s="4">
        <v>1074.7832000000001</v>
      </c>
      <c r="H1098" s="20">
        <v>0</v>
      </c>
      <c r="J1098" t="s">
        <v>19</v>
      </c>
      <c r="T1098" s="14"/>
    </row>
    <row r="1099" spans="1:20" x14ac:dyDescent="0.2">
      <c r="A1099">
        <v>1235</v>
      </c>
      <c r="B1099" s="1">
        <v>46228</v>
      </c>
      <c r="C1099" s="2">
        <v>0.44206018518518519</v>
      </c>
      <c r="D1099" t="s">
        <v>18</v>
      </c>
      <c r="E1099" s="10" t="s">
        <v>36</v>
      </c>
      <c r="F1099" s="11">
        <v>76.795638237999995</v>
      </c>
      <c r="G1099" s="4">
        <v>703.89575200000002</v>
      </c>
      <c r="H1099" s="20">
        <v>1</v>
      </c>
      <c r="I1099" s="17" t="s">
        <v>40</v>
      </c>
      <c r="J1099" t="s">
        <v>19</v>
      </c>
      <c r="K1099" s="11">
        <v>68.149130329000002</v>
      </c>
      <c r="L1099" s="11">
        <v>-15.889655100000001</v>
      </c>
      <c r="M1099" s="11">
        <v>-10.454004299999999</v>
      </c>
      <c r="N1099" s="11">
        <v>60.505157634</v>
      </c>
      <c r="O1099" s="11">
        <v>2807.4628899999998</v>
      </c>
      <c r="P1099" s="11">
        <v>9</v>
      </c>
      <c r="Q1099" s="11">
        <v>1.12633586</v>
      </c>
      <c r="R1099" s="11">
        <v>1.6158837100000001</v>
      </c>
      <c r="S1099" s="11">
        <v>97.769294009000006</v>
      </c>
      <c r="T1099" s="14">
        <v>0.69704017600000001</v>
      </c>
    </row>
    <row r="1100" spans="1:20" x14ac:dyDescent="0.2">
      <c r="A1100">
        <v>1258</v>
      </c>
      <c r="B1100" s="1">
        <v>46228</v>
      </c>
      <c r="C1100" s="2">
        <v>0.45057870370370373</v>
      </c>
      <c r="D1100" t="s">
        <v>21</v>
      </c>
      <c r="E1100" s="10" t="s">
        <v>53</v>
      </c>
      <c r="F1100" s="11">
        <v>68.855643525000005</v>
      </c>
      <c r="G1100" s="4">
        <v>1825.41785</v>
      </c>
      <c r="H1100" s="20">
        <v>1</v>
      </c>
      <c r="I1100" s="17" t="s">
        <v>39</v>
      </c>
      <c r="J1100" t="s">
        <v>19</v>
      </c>
      <c r="N1100" s="11">
        <v>60.276620620000003</v>
      </c>
      <c r="T1100" s="14"/>
    </row>
    <row r="1101" spans="1:20" x14ac:dyDescent="0.2">
      <c r="A1101">
        <v>1259</v>
      </c>
      <c r="B1101" s="1">
        <v>46228</v>
      </c>
      <c r="C1101" s="2">
        <v>0.45075231481481481</v>
      </c>
      <c r="D1101" t="s">
        <v>21</v>
      </c>
      <c r="E1101" s="10" t="s">
        <v>33</v>
      </c>
      <c r="F1101" s="11">
        <v>81.289674426000005</v>
      </c>
      <c r="G1101" s="4">
        <v>2058.3642599999998</v>
      </c>
      <c r="H1101" s="20">
        <v>0</v>
      </c>
      <c r="J1101" t="s">
        <v>19</v>
      </c>
      <c r="T1101" s="14"/>
    </row>
    <row r="1102" spans="1:20" x14ac:dyDescent="0.2">
      <c r="A1102">
        <v>1260</v>
      </c>
      <c r="B1102" s="1">
        <v>46228</v>
      </c>
      <c r="C1102" s="2">
        <v>0.45094907407407409</v>
      </c>
      <c r="D1102" t="s">
        <v>21</v>
      </c>
      <c r="E1102" s="10" t="s">
        <v>54</v>
      </c>
      <c r="F1102" s="11">
        <v>74.365996241000005</v>
      </c>
      <c r="G1102" s="4">
        <v>1814.7843</v>
      </c>
      <c r="H1102" s="20">
        <v>0</v>
      </c>
      <c r="J1102" t="s">
        <v>19</v>
      </c>
      <c r="T1102" s="14"/>
    </row>
    <row r="1103" spans="1:20" x14ac:dyDescent="0.2">
      <c r="A1103">
        <v>1261</v>
      </c>
      <c r="B1103" s="1">
        <v>46228</v>
      </c>
      <c r="C1103" s="2">
        <v>0.45114583333333336</v>
      </c>
      <c r="D1103" t="s">
        <v>21</v>
      </c>
      <c r="E1103" s="10" t="s">
        <v>37</v>
      </c>
      <c r="F1103" s="11">
        <v>70.999439326000001</v>
      </c>
      <c r="G1103" s="4">
        <v>2032.4747299999999</v>
      </c>
      <c r="H1103" s="20">
        <v>0</v>
      </c>
      <c r="J1103" t="s">
        <v>19</v>
      </c>
      <c r="T1103" s="14"/>
    </row>
    <row r="1104" spans="1:20" s="115" customFormat="1" ht="17" thickBot="1" x14ac:dyDescent="0.25">
      <c r="A1104">
        <v>1262</v>
      </c>
      <c r="B1104" s="116">
        <v>46228</v>
      </c>
      <c r="C1104" s="117">
        <v>0.45136574074074076</v>
      </c>
      <c r="D1104" s="115" t="s">
        <v>21</v>
      </c>
      <c r="E1104" s="118" t="s">
        <v>33</v>
      </c>
      <c r="F1104" s="119">
        <v>81.813717173000001</v>
      </c>
      <c r="G1104" s="130">
        <v>2140.9531200000001</v>
      </c>
      <c r="H1104" s="121">
        <v>0</v>
      </c>
      <c r="I1104" s="120" t="s">
        <v>48</v>
      </c>
      <c r="J1104" s="115" t="s">
        <v>19</v>
      </c>
      <c r="K1104" s="119"/>
      <c r="L1104" s="119"/>
      <c r="M1104" s="119"/>
      <c r="N1104" s="119"/>
      <c r="O1104" s="119"/>
      <c r="P1104" s="119"/>
      <c r="Q1104" s="119"/>
      <c r="R1104" s="119"/>
      <c r="S1104" s="119"/>
      <c r="T1104" s="131"/>
    </row>
    <row r="1105" spans="1:20" x14ac:dyDescent="0.2">
      <c r="A1105">
        <v>1263</v>
      </c>
      <c r="B1105" s="1">
        <v>46228</v>
      </c>
      <c r="C1105" s="2">
        <v>0.45155092592592594</v>
      </c>
      <c r="D1105" t="s">
        <v>21</v>
      </c>
      <c r="E1105" s="10" t="s">
        <v>33</v>
      </c>
      <c r="F1105" s="11">
        <v>77.049715245000002</v>
      </c>
      <c r="G1105" s="4">
        <v>1971.84509</v>
      </c>
      <c r="H1105" s="20">
        <v>1</v>
      </c>
      <c r="I1105" s="17" t="s">
        <v>40</v>
      </c>
      <c r="J1105" t="s">
        <v>19</v>
      </c>
      <c r="K1105" s="11">
        <v>74.642780161999994</v>
      </c>
      <c r="L1105" s="11">
        <v>21.728677699999999</v>
      </c>
      <c r="M1105" s="11">
        <v>-0.95485246199999996</v>
      </c>
      <c r="N1105" s="11">
        <v>58.505462565999999</v>
      </c>
      <c r="O1105" s="11">
        <v>1641.80762</v>
      </c>
      <c r="P1105" s="11">
        <v>209</v>
      </c>
      <c r="Q1105" s="11">
        <v>1.2758258600000001</v>
      </c>
      <c r="R1105" s="11">
        <v>1.6462464299999999</v>
      </c>
      <c r="S1105" s="11">
        <v>96.314403361000004</v>
      </c>
      <c r="T1105" s="14">
        <v>0.774990768</v>
      </c>
    </row>
    <row r="1106" spans="1:20" x14ac:dyDescent="0.2">
      <c r="A1106">
        <v>1282</v>
      </c>
      <c r="B1106" s="1">
        <v>46228</v>
      </c>
      <c r="C1106" s="2">
        <v>0.45928240740740739</v>
      </c>
      <c r="D1106" t="s">
        <v>18</v>
      </c>
      <c r="E1106" s="10" t="s">
        <v>37</v>
      </c>
      <c r="F1106" s="11">
        <v>72.095157685999993</v>
      </c>
      <c r="G1106" s="4">
        <v>2144.5085399999998</v>
      </c>
      <c r="H1106" s="20">
        <v>1</v>
      </c>
      <c r="I1106" s="17" t="s">
        <v>38</v>
      </c>
      <c r="J1106" t="s">
        <v>19</v>
      </c>
      <c r="N1106" s="11">
        <v>61.419305913000002</v>
      </c>
      <c r="T1106" s="133"/>
    </row>
    <row r="1107" spans="1:20" x14ac:dyDescent="0.2">
      <c r="A1107">
        <v>1283</v>
      </c>
      <c r="B1107" s="1">
        <v>46228</v>
      </c>
      <c r="C1107" s="2">
        <v>0.45952546296296298</v>
      </c>
      <c r="D1107" t="s">
        <v>18</v>
      </c>
      <c r="E1107" s="10" t="s">
        <v>33</v>
      </c>
      <c r="F1107" s="11">
        <v>85.370829942</v>
      </c>
      <c r="G1107" s="4">
        <v>2370.6455099999998</v>
      </c>
      <c r="H1107" s="20">
        <v>0</v>
      </c>
      <c r="J1107" t="s">
        <v>19</v>
      </c>
      <c r="T1107" s="14"/>
    </row>
    <row r="1108" spans="1:20" x14ac:dyDescent="0.2">
      <c r="A1108">
        <v>1284</v>
      </c>
      <c r="B1108" s="1">
        <v>46228</v>
      </c>
      <c r="C1108" s="2">
        <v>0.45982638888888888</v>
      </c>
      <c r="D1108" t="s">
        <v>18</v>
      </c>
      <c r="E1108" s="10" t="s">
        <v>37</v>
      </c>
      <c r="F1108" s="11">
        <v>74.953560588000002</v>
      </c>
      <c r="G1108" s="4">
        <v>2215.95435</v>
      </c>
      <c r="H1108" s="20">
        <v>1</v>
      </c>
      <c r="I1108" s="17" t="s">
        <v>39</v>
      </c>
      <c r="J1108" t="s">
        <v>19</v>
      </c>
      <c r="N1108" s="11">
        <v>58.791129806000001</v>
      </c>
      <c r="T1108" s="14"/>
    </row>
    <row r="1109" spans="1:20" x14ac:dyDescent="0.2">
      <c r="A1109">
        <v>1285</v>
      </c>
      <c r="B1109" s="1">
        <v>46228</v>
      </c>
      <c r="C1109" s="2">
        <v>0.46006944444444442</v>
      </c>
      <c r="D1109" t="s">
        <v>18</v>
      </c>
      <c r="E1109" s="10" t="s">
        <v>33</v>
      </c>
      <c r="F1109" s="11">
        <v>85.450231551000002</v>
      </c>
      <c r="G1109" s="4">
        <v>2325.52466</v>
      </c>
      <c r="H1109" s="20">
        <v>0</v>
      </c>
      <c r="J1109" t="s">
        <v>19</v>
      </c>
      <c r="T1109" s="14"/>
    </row>
    <row r="1110" spans="1:20" x14ac:dyDescent="0.2">
      <c r="A1110">
        <v>1286</v>
      </c>
      <c r="B1110" s="1">
        <v>46228</v>
      </c>
      <c r="C1110" s="2">
        <v>0.46035879629629628</v>
      </c>
      <c r="D1110" t="s">
        <v>18</v>
      </c>
      <c r="E1110" s="10" t="s">
        <v>36</v>
      </c>
      <c r="F1110" s="11">
        <v>77.160877765999999</v>
      </c>
      <c r="G1110" s="4">
        <v>762.66058299999997</v>
      </c>
      <c r="H1110" s="20">
        <v>0</v>
      </c>
      <c r="J1110" t="s">
        <v>19</v>
      </c>
      <c r="T1110" s="14"/>
    </row>
    <row r="1111" spans="1:20" x14ac:dyDescent="0.2">
      <c r="A1111">
        <v>1287</v>
      </c>
      <c r="B1111" s="1">
        <v>46228</v>
      </c>
      <c r="C1111" s="2">
        <v>0.46054398148148146</v>
      </c>
      <c r="D1111" t="s">
        <v>18</v>
      </c>
      <c r="E1111" s="10" t="s">
        <v>33</v>
      </c>
      <c r="F1111" s="11">
        <v>84.100436182999999</v>
      </c>
      <c r="G1111" s="4">
        <v>2295.0961900000002</v>
      </c>
      <c r="H1111" s="20">
        <v>1</v>
      </c>
      <c r="I1111" s="17" t="s">
        <v>38</v>
      </c>
      <c r="J1111" t="s">
        <v>19</v>
      </c>
      <c r="N1111" s="11">
        <v>60.162352112999997</v>
      </c>
      <c r="T1111" s="14"/>
    </row>
    <row r="1112" spans="1:20" x14ac:dyDescent="0.2">
      <c r="A1112">
        <v>1288</v>
      </c>
      <c r="B1112" s="1">
        <v>46228</v>
      </c>
      <c r="C1112" s="2">
        <v>0.46234953703703702</v>
      </c>
      <c r="D1112" t="s">
        <v>18</v>
      </c>
      <c r="E1112" s="10" t="s">
        <v>36</v>
      </c>
      <c r="F1112" s="11">
        <v>76.922680990999993</v>
      </c>
      <c r="G1112" s="4">
        <v>2186.15942</v>
      </c>
      <c r="H1112" s="20">
        <v>0</v>
      </c>
      <c r="I1112" s="17" t="s">
        <v>48</v>
      </c>
      <c r="J1112" t="s">
        <v>19</v>
      </c>
      <c r="T1112" s="14"/>
    </row>
    <row r="1113" spans="1:20" x14ac:dyDescent="0.2">
      <c r="A1113">
        <v>1289</v>
      </c>
      <c r="B1113" s="1">
        <v>46228</v>
      </c>
      <c r="C1113" s="2">
        <v>0.46252314814814816</v>
      </c>
      <c r="D1113" t="s">
        <v>18</v>
      </c>
      <c r="E1113" s="10" t="s">
        <v>33</v>
      </c>
      <c r="F1113" s="11">
        <v>84.16395756</v>
      </c>
      <c r="G1113" s="4">
        <v>1134.9305400000001</v>
      </c>
      <c r="H1113" s="20">
        <v>1</v>
      </c>
      <c r="I1113" s="17" t="s">
        <v>40</v>
      </c>
      <c r="J1113" t="s">
        <v>19</v>
      </c>
      <c r="K1113" s="11">
        <v>66.703928970000007</v>
      </c>
      <c r="L1113" s="11">
        <v>-1.64640415</v>
      </c>
      <c r="M1113" s="11">
        <v>-42.791789999999999</v>
      </c>
      <c r="N1113" s="11">
        <v>62.733393966000001</v>
      </c>
      <c r="O1113" s="11">
        <v>2398.5102499999998</v>
      </c>
      <c r="P1113" s="11">
        <v>61</v>
      </c>
      <c r="Q1113" s="11">
        <v>1.0632922600000001</v>
      </c>
      <c r="R1113" s="11">
        <v>1.63457596</v>
      </c>
      <c r="S1113" s="11">
        <v>102.542503389</v>
      </c>
      <c r="T1113" s="133">
        <v>0.65050033600000001</v>
      </c>
    </row>
    <row r="1114" spans="1:20" x14ac:dyDescent="0.2">
      <c r="A1114">
        <v>1307</v>
      </c>
      <c r="B1114" s="1">
        <v>46228</v>
      </c>
      <c r="C1114" s="2">
        <v>0.47324074074074074</v>
      </c>
      <c r="D1114" t="s">
        <v>18</v>
      </c>
      <c r="E1114" s="10" t="s">
        <v>37</v>
      </c>
      <c r="F1114" s="11">
        <v>72.905038352000005</v>
      </c>
      <c r="G1114" s="4">
        <v>2098.1792</v>
      </c>
      <c r="H1114" s="20">
        <v>0</v>
      </c>
      <c r="J1114" t="s">
        <v>19</v>
      </c>
      <c r="T1114" s="14"/>
    </row>
    <row r="1115" spans="1:20" x14ac:dyDescent="0.2">
      <c r="A1115">
        <v>1308</v>
      </c>
      <c r="B1115" s="1">
        <v>46228</v>
      </c>
      <c r="C1115" s="2">
        <v>0.47361111111111109</v>
      </c>
      <c r="D1115" t="s">
        <v>18</v>
      </c>
      <c r="E1115" s="10" t="s">
        <v>33</v>
      </c>
      <c r="F1115" s="11">
        <v>83.655795045999994</v>
      </c>
      <c r="G1115" s="4">
        <v>2340.4794900000002</v>
      </c>
      <c r="H1115" s="20">
        <v>0</v>
      </c>
      <c r="J1115" t="s">
        <v>19</v>
      </c>
      <c r="T1115" s="14"/>
    </row>
    <row r="1116" spans="1:20" x14ac:dyDescent="0.2">
      <c r="A1116">
        <v>1309</v>
      </c>
      <c r="B1116" s="1">
        <v>46228</v>
      </c>
      <c r="C1116" s="2">
        <v>0.47381944444444446</v>
      </c>
      <c r="D1116" t="s">
        <v>18</v>
      </c>
      <c r="E1116" s="10" t="s">
        <v>37</v>
      </c>
      <c r="F1116" s="11">
        <v>73.302038569000004</v>
      </c>
      <c r="G1116" s="4">
        <v>2160.85205</v>
      </c>
      <c r="H1116" s="20">
        <v>0</v>
      </c>
      <c r="J1116" t="s">
        <v>19</v>
      </c>
      <c r="T1116" s="14"/>
    </row>
    <row r="1117" spans="1:20" x14ac:dyDescent="0.2">
      <c r="A1117">
        <v>1310</v>
      </c>
      <c r="B1117" s="1">
        <v>46228</v>
      </c>
      <c r="C1117" s="2">
        <v>0.4740509259259259</v>
      </c>
      <c r="D1117" t="s">
        <v>18</v>
      </c>
      <c r="E1117" s="10" t="s">
        <v>33</v>
      </c>
      <c r="F1117" s="11">
        <v>83.338196439000001</v>
      </c>
      <c r="G1117" s="4">
        <v>2259.9416500000002</v>
      </c>
      <c r="H1117" s="20">
        <v>1</v>
      </c>
      <c r="I1117" s="17" t="s">
        <v>39</v>
      </c>
      <c r="J1117" t="s">
        <v>19</v>
      </c>
      <c r="K1117" s="11">
        <v>46.08197054</v>
      </c>
      <c r="L1117" s="11">
        <v>-21.818374599999999</v>
      </c>
      <c r="M1117" s="11">
        <v>-33.2210617</v>
      </c>
      <c r="N1117" s="11">
        <v>56.74907142</v>
      </c>
      <c r="P1117" s="11">
        <v>11</v>
      </c>
      <c r="Q1117" s="11">
        <v>0.81203037499999997</v>
      </c>
      <c r="R1117" s="11">
        <v>1.6923015100000001</v>
      </c>
      <c r="S1117" s="11">
        <v>96.036544144999993</v>
      </c>
      <c r="T1117" s="14">
        <v>0.47983787499999903</v>
      </c>
    </row>
    <row r="1118" spans="1:20" x14ac:dyDescent="0.2">
      <c r="A1118">
        <v>1311</v>
      </c>
      <c r="B1118" s="1">
        <v>46228</v>
      </c>
      <c r="C1118" s="2">
        <v>0.47424768518518517</v>
      </c>
      <c r="D1118" t="s">
        <v>18</v>
      </c>
      <c r="E1118" s="10" t="s">
        <v>33</v>
      </c>
      <c r="F1118" s="11">
        <v>86.879428751999995</v>
      </c>
      <c r="G1118" s="4">
        <v>2293.6501499999999</v>
      </c>
      <c r="H1118" s="20">
        <v>0</v>
      </c>
      <c r="I1118" s="17" t="s">
        <v>48</v>
      </c>
      <c r="J1118" t="s">
        <v>19</v>
      </c>
      <c r="T1118" s="14"/>
    </row>
    <row r="1119" spans="1:20" x14ac:dyDescent="0.2">
      <c r="A1119">
        <v>1312</v>
      </c>
      <c r="B1119" s="1">
        <v>46228</v>
      </c>
      <c r="C1119" s="2">
        <v>0.47445601851851854</v>
      </c>
      <c r="D1119" t="s">
        <v>18</v>
      </c>
      <c r="E1119" s="10" t="s">
        <v>33</v>
      </c>
      <c r="F1119" s="11">
        <v>83.274675062</v>
      </c>
      <c r="G1119" s="4">
        <v>2212.5175800000002</v>
      </c>
      <c r="H1119" s="20">
        <v>1</v>
      </c>
      <c r="I1119" s="17" t="s">
        <v>39</v>
      </c>
      <c r="J1119" t="s">
        <v>19</v>
      </c>
      <c r="N1119" s="11">
        <v>56.972053451000001</v>
      </c>
      <c r="T1119" s="14"/>
    </row>
    <row r="1120" spans="1:20" x14ac:dyDescent="0.2">
      <c r="A1120">
        <v>1334</v>
      </c>
      <c r="B1120" s="1">
        <v>46228</v>
      </c>
      <c r="C1120" s="2">
        <v>0.48256944444444444</v>
      </c>
      <c r="D1120" t="s">
        <v>21</v>
      </c>
      <c r="E1120" s="10" t="s">
        <v>37</v>
      </c>
      <c r="F1120" s="11">
        <v>72.285721816999995</v>
      </c>
      <c r="G1120" s="4">
        <v>2196.96704</v>
      </c>
      <c r="H1120" s="20">
        <v>1</v>
      </c>
      <c r="J1120" t="s">
        <v>19</v>
      </c>
      <c r="T1120" s="14"/>
    </row>
    <row r="1121" spans="1:20" x14ac:dyDescent="0.2">
      <c r="A1121">
        <v>1335</v>
      </c>
      <c r="B1121" s="1">
        <v>46228</v>
      </c>
      <c r="C1121" s="2">
        <v>0.48271990740740739</v>
      </c>
      <c r="D1121" t="s">
        <v>21</v>
      </c>
      <c r="E1121" s="10" t="s">
        <v>35</v>
      </c>
      <c r="F1121" s="11">
        <v>73.921355104</v>
      </c>
      <c r="G1121" s="4">
        <v>1384.60535</v>
      </c>
      <c r="H1121" s="20">
        <v>0</v>
      </c>
      <c r="J1121" t="s">
        <v>19</v>
      </c>
      <c r="T1121" s="14"/>
    </row>
    <row r="1122" spans="1:20" x14ac:dyDescent="0.2">
      <c r="A1122">
        <v>1336</v>
      </c>
      <c r="B1122" s="1">
        <v>46228</v>
      </c>
      <c r="C1122" s="2">
        <v>0.48290509259259257</v>
      </c>
      <c r="D1122" t="s">
        <v>21</v>
      </c>
      <c r="E1122" s="10" t="s">
        <v>33</v>
      </c>
      <c r="F1122" s="11">
        <v>83.068230698999997</v>
      </c>
      <c r="G1122" s="4">
        <v>2154.62183</v>
      </c>
      <c r="H1122" s="20">
        <v>1</v>
      </c>
      <c r="J1122" t="s">
        <v>19</v>
      </c>
      <c r="T1122" s="14"/>
    </row>
    <row r="1123" spans="1:20" x14ac:dyDescent="0.2">
      <c r="A1123">
        <v>1337</v>
      </c>
      <c r="B1123" s="1">
        <v>46228</v>
      </c>
      <c r="C1123" s="2">
        <v>0.4830902777777778</v>
      </c>
      <c r="D1123" t="s">
        <v>21</v>
      </c>
      <c r="E1123" s="10" t="s">
        <v>35</v>
      </c>
      <c r="F1123" s="11">
        <v>74.635962203999995</v>
      </c>
      <c r="G1123" s="4">
        <v>1608.33179</v>
      </c>
      <c r="H1123" s="20">
        <v>1</v>
      </c>
      <c r="I1123" s="17" t="s">
        <v>40</v>
      </c>
      <c r="J1123" t="s">
        <v>19</v>
      </c>
      <c r="K1123" s="11">
        <v>78.099644420000004</v>
      </c>
      <c r="L1123" s="11">
        <v>-7.9254951499999997</v>
      </c>
      <c r="M1123" s="11">
        <v>-35.480167399999999</v>
      </c>
      <c r="N1123" s="11">
        <v>60.038061237999997</v>
      </c>
      <c r="P1123" s="11">
        <v>18</v>
      </c>
      <c r="Q1123" s="11">
        <v>1.3008354900000001</v>
      </c>
      <c r="R1123" s="11">
        <v>1.62011492</v>
      </c>
      <c r="S1123" s="11">
        <v>97.268555438000007</v>
      </c>
      <c r="T1123" s="14">
        <v>0.80292799999999998</v>
      </c>
    </row>
    <row r="1124" spans="1:20" x14ac:dyDescent="0.2">
      <c r="A1124">
        <v>1359</v>
      </c>
      <c r="B1124" s="1">
        <v>46228</v>
      </c>
      <c r="C1124" s="2">
        <v>0.49162037037037037</v>
      </c>
      <c r="D1124" t="s">
        <v>24</v>
      </c>
      <c r="E1124" s="10" t="s">
        <v>49</v>
      </c>
      <c r="F1124" s="11">
        <v>65.171483975000001</v>
      </c>
      <c r="G1124" s="4">
        <v>1658.59485</v>
      </c>
      <c r="H1124" s="20">
        <v>1</v>
      </c>
      <c r="J1124" t="s">
        <v>19</v>
      </c>
      <c r="T1124" s="14"/>
    </row>
    <row r="1125" spans="1:20" x14ac:dyDescent="0.2">
      <c r="A1125">
        <v>1360</v>
      </c>
      <c r="B1125" s="1">
        <v>46228</v>
      </c>
      <c r="C1125" s="2">
        <v>0.4918865740740741</v>
      </c>
      <c r="D1125" t="s">
        <v>24</v>
      </c>
      <c r="E1125" s="10" t="s">
        <v>37</v>
      </c>
      <c r="F1125" s="11">
        <v>72.539799047000002</v>
      </c>
      <c r="G1125" s="4">
        <v>2328.8752399999998</v>
      </c>
      <c r="H1125" s="20">
        <v>1</v>
      </c>
      <c r="I1125" s="17" t="s">
        <v>39</v>
      </c>
      <c r="J1125" t="s">
        <v>19</v>
      </c>
      <c r="N1125" s="11">
        <v>50.728538026000003</v>
      </c>
      <c r="T1125" s="14"/>
    </row>
    <row r="1126" spans="1:20" x14ac:dyDescent="0.2">
      <c r="A1126">
        <v>1361</v>
      </c>
      <c r="B1126" s="1">
        <v>46228</v>
      </c>
      <c r="C1126" s="2">
        <v>0.49216435185185187</v>
      </c>
      <c r="D1126" t="s">
        <v>24</v>
      </c>
      <c r="E1126" s="10" t="s">
        <v>49</v>
      </c>
      <c r="F1126" s="11">
        <v>65.203244663999996</v>
      </c>
      <c r="G1126" s="4">
        <v>1966.8590099999999</v>
      </c>
      <c r="H1126" s="20">
        <v>0</v>
      </c>
      <c r="J1126" t="s">
        <v>19</v>
      </c>
      <c r="T1126" s="14"/>
    </row>
    <row r="1127" spans="1:20" x14ac:dyDescent="0.2">
      <c r="A1127">
        <v>1362</v>
      </c>
      <c r="B1127" s="1">
        <v>46228</v>
      </c>
      <c r="C1127" s="2">
        <v>0.49243055555555554</v>
      </c>
      <c r="D1127" t="s">
        <v>24</v>
      </c>
      <c r="E1127" s="10" t="s">
        <v>33</v>
      </c>
      <c r="F1127" s="11">
        <v>82.766512547999994</v>
      </c>
      <c r="G1127" s="4">
        <v>2069.6543000000001</v>
      </c>
      <c r="H1127" s="20">
        <v>0</v>
      </c>
      <c r="J1127" t="s">
        <v>19</v>
      </c>
      <c r="T1127" s="14"/>
    </row>
    <row r="1128" spans="1:20" x14ac:dyDescent="0.2">
      <c r="A1128">
        <v>1363</v>
      </c>
      <c r="B1128" s="1">
        <v>46228</v>
      </c>
      <c r="C1128" s="2">
        <v>0.4926388888888889</v>
      </c>
      <c r="D1128" t="s">
        <v>24</v>
      </c>
      <c r="E1128" s="10" t="s">
        <v>33</v>
      </c>
      <c r="F1128" s="11">
        <v>83.338196439000001</v>
      </c>
      <c r="G1128" s="4">
        <v>2126.9160200000001</v>
      </c>
      <c r="H1128" s="20">
        <v>0</v>
      </c>
      <c r="J1128" t="s">
        <v>19</v>
      </c>
      <c r="T1128" s="14"/>
    </row>
    <row r="1129" spans="1:20" x14ac:dyDescent="0.2">
      <c r="A1129">
        <v>1364</v>
      </c>
      <c r="B1129" s="1">
        <v>46228</v>
      </c>
      <c r="C1129" s="2">
        <v>0.49287037037037035</v>
      </c>
      <c r="D1129" t="s">
        <v>24</v>
      </c>
      <c r="E1129" s="10" t="s">
        <v>33</v>
      </c>
      <c r="F1129" s="11">
        <v>82.830033924000006</v>
      </c>
      <c r="G1129" s="4">
        <v>1983.6927499999999</v>
      </c>
      <c r="H1129" s="20">
        <v>1</v>
      </c>
      <c r="I1129" s="17" t="s">
        <v>42</v>
      </c>
      <c r="J1129" t="s">
        <v>19</v>
      </c>
      <c r="T1129" s="14"/>
    </row>
    <row r="1130" spans="1:20" x14ac:dyDescent="0.2">
      <c r="A1130">
        <v>1392</v>
      </c>
      <c r="B1130" s="1">
        <v>46228</v>
      </c>
      <c r="C1130" s="2">
        <v>0.50456018518518519</v>
      </c>
      <c r="D1130" t="s">
        <v>25</v>
      </c>
      <c r="E1130" s="10" t="s">
        <v>33</v>
      </c>
      <c r="F1130" s="11">
        <v>86.704753354000005</v>
      </c>
      <c r="G1130" s="4">
        <v>1896.8439900000001</v>
      </c>
      <c r="H1130" s="20">
        <v>0</v>
      </c>
      <c r="J1130" t="s">
        <v>19</v>
      </c>
      <c r="T1130" s="14"/>
    </row>
    <row r="1131" spans="1:20" x14ac:dyDescent="0.2">
      <c r="A1131">
        <v>1393</v>
      </c>
      <c r="B1131" s="1">
        <v>46228</v>
      </c>
      <c r="C1131" s="2">
        <v>0.50475694444444441</v>
      </c>
      <c r="D1131" t="s">
        <v>25</v>
      </c>
      <c r="E1131" s="10" t="s">
        <v>33</v>
      </c>
      <c r="F1131" s="11">
        <v>86.641228846000004</v>
      </c>
      <c r="G1131" s="4">
        <v>1934.66516</v>
      </c>
      <c r="H1131" s="20">
        <v>1</v>
      </c>
      <c r="I1131" s="17" t="s">
        <v>40</v>
      </c>
      <c r="J1131" t="s">
        <v>19</v>
      </c>
      <c r="K1131" s="11">
        <v>45.338128476000001</v>
      </c>
      <c r="L1131" s="11">
        <v>29.045393000000001</v>
      </c>
      <c r="M1131" s="11">
        <v>37.3217049</v>
      </c>
      <c r="N1131" s="11">
        <v>65.166662707</v>
      </c>
      <c r="O1131" s="11">
        <v>1321.81116</v>
      </c>
      <c r="Q1131" s="11">
        <v>0.69572579899999998</v>
      </c>
      <c r="R1131" s="11">
        <v>1.6354107899999999</v>
      </c>
      <c r="S1131" s="11">
        <v>106.57425997599999</v>
      </c>
      <c r="T1131" s="14">
        <v>0.42541347499999999</v>
      </c>
    </row>
    <row r="1132" spans="1:20" x14ac:dyDescent="0.2">
      <c r="A1132">
        <v>52</v>
      </c>
      <c r="B1132" s="1">
        <v>46193</v>
      </c>
      <c r="C1132" s="2">
        <v>0.81644675925925925</v>
      </c>
      <c r="D1132" t="s">
        <v>18</v>
      </c>
      <c r="E1132" s="10" t="s">
        <v>33</v>
      </c>
      <c r="F1132" s="11">
        <v>81.099118571999995</v>
      </c>
      <c r="G1132" s="4">
        <v>2059.91113</v>
      </c>
      <c r="I1132" s="17" t="s">
        <v>43</v>
      </c>
      <c r="J1132" t="s">
        <v>21</v>
      </c>
    </row>
    <row r="1133" spans="1:20" x14ac:dyDescent="0.2">
      <c r="A1133">
        <v>53</v>
      </c>
      <c r="B1133" s="1">
        <v>46193</v>
      </c>
      <c r="C1133" s="2">
        <v>0.81667824074074069</v>
      </c>
      <c r="D1133" t="s">
        <v>18</v>
      </c>
      <c r="E1133" s="10" t="s">
        <v>36</v>
      </c>
      <c r="F1133" s="11">
        <v>77.875476366000001</v>
      </c>
      <c r="G1133" s="4">
        <v>1595.37598</v>
      </c>
      <c r="H1133" s="20">
        <v>0</v>
      </c>
      <c r="J1133" t="s">
        <v>21</v>
      </c>
    </row>
    <row r="1134" spans="1:20" x14ac:dyDescent="0.2">
      <c r="A1134">
        <v>54</v>
      </c>
      <c r="B1134" s="1">
        <v>46193</v>
      </c>
      <c r="C1134" s="2">
        <v>0.81686342592592598</v>
      </c>
      <c r="D1134" t="s">
        <v>18</v>
      </c>
      <c r="E1134" s="10" t="s">
        <v>33</v>
      </c>
      <c r="F1134" s="11">
        <v>83.655795045999994</v>
      </c>
      <c r="G1134" s="4">
        <v>2202.4262699999999</v>
      </c>
      <c r="H1134" s="20">
        <v>0</v>
      </c>
      <c r="J1134" t="s">
        <v>21</v>
      </c>
    </row>
    <row r="1135" spans="1:20" x14ac:dyDescent="0.2">
      <c r="A1135">
        <v>55</v>
      </c>
      <c r="B1135" s="1">
        <v>46193</v>
      </c>
      <c r="C1135" s="2">
        <v>0.81706018518518519</v>
      </c>
      <c r="D1135" t="s">
        <v>18</v>
      </c>
      <c r="E1135" s="10" t="s">
        <v>33</v>
      </c>
      <c r="F1135" s="11">
        <v>82.131315779999994</v>
      </c>
      <c r="G1135" s="4">
        <v>2154.8913600000001</v>
      </c>
      <c r="H1135" s="20">
        <v>1</v>
      </c>
      <c r="I1135" s="17" t="s">
        <v>40</v>
      </c>
      <c r="J1135" t="s">
        <v>21</v>
      </c>
      <c r="K1135" s="11">
        <v>75.839830828000004</v>
      </c>
      <c r="L1135" s="11">
        <v>25.239139600000001</v>
      </c>
      <c r="M1135" s="11">
        <v>18.849454900000001</v>
      </c>
      <c r="N1135" s="11">
        <v>37.030837818999998</v>
      </c>
      <c r="O1135" s="11">
        <v>2693.0956999999999</v>
      </c>
      <c r="P1135" s="11">
        <v>227</v>
      </c>
      <c r="Q1135" s="11">
        <v>2.0480182199999999</v>
      </c>
      <c r="R1135" s="11">
        <v>1.75017738</v>
      </c>
      <c r="S1135" s="11">
        <v>64.810536679999998</v>
      </c>
      <c r="T1135" s="11">
        <v>1</v>
      </c>
    </row>
    <row r="1136" spans="1:20" x14ac:dyDescent="0.2">
      <c r="A1136">
        <v>81</v>
      </c>
      <c r="B1136" s="1">
        <v>46193</v>
      </c>
      <c r="C1136" s="2">
        <v>0.83988425925925925</v>
      </c>
      <c r="D1136" t="s">
        <v>34</v>
      </c>
      <c r="E1136" s="10" t="s">
        <v>33</v>
      </c>
      <c r="F1136" s="11">
        <v>83.846350676</v>
      </c>
      <c r="G1136" s="4">
        <v>1024.0072</v>
      </c>
      <c r="H1136" s="20">
        <v>0</v>
      </c>
      <c r="J1136" t="s">
        <v>21</v>
      </c>
    </row>
    <row r="1137" spans="1:20" x14ac:dyDescent="0.2">
      <c r="A1137">
        <v>82</v>
      </c>
      <c r="B1137" s="1">
        <v>46193</v>
      </c>
      <c r="C1137" s="2">
        <v>0.84006944444444442</v>
      </c>
      <c r="D1137" t="s">
        <v>34</v>
      </c>
      <c r="E1137" s="10" t="s">
        <v>33</v>
      </c>
      <c r="F1137" s="11">
        <v>81.877238550000001</v>
      </c>
      <c r="G1137" s="4">
        <v>1972.2388900000001</v>
      </c>
      <c r="H1137" s="20">
        <v>0</v>
      </c>
      <c r="J1137" t="s">
        <v>21</v>
      </c>
    </row>
    <row r="1138" spans="1:20" x14ac:dyDescent="0.2">
      <c r="A1138">
        <v>83</v>
      </c>
      <c r="B1138" s="1">
        <v>46193</v>
      </c>
      <c r="C1138" s="2">
        <v>0.84027777777777779</v>
      </c>
      <c r="D1138" t="s">
        <v>34</v>
      </c>
      <c r="E1138" s="10" t="s">
        <v>33</v>
      </c>
      <c r="F1138" s="11">
        <v>83.147632307999999</v>
      </c>
      <c r="G1138" s="4">
        <v>1009.35107</v>
      </c>
      <c r="H1138" s="20">
        <v>0</v>
      </c>
      <c r="J1138" t="s">
        <v>21</v>
      </c>
    </row>
    <row r="1139" spans="1:20" x14ac:dyDescent="0.2">
      <c r="A1139">
        <v>84</v>
      </c>
      <c r="B1139" s="1">
        <v>46193</v>
      </c>
      <c r="C1139" s="2">
        <v>0.84048611111111116</v>
      </c>
      <c r="D1139" t="s">
        <v>34</v>
      </c>
      <c r="E1139" s="10" t="s">
        <v>33</v>
      </c>
      <c r="F1139" s="11">
        <v>84.608590196999998</v>
      </c>
      <c r="G1139" s="4">
        <v>2139.8098100000002</v>
      </c>
      <c r="H1139" s="20">
        <v>1</v>
      </c>
      <c r="I1139" s="17" t="s">
        <v>40</v>
      </c>
      <c r="J1139" t="s">
        <v>21</v>
      </c>
      <c r="K1139" s="11">
        <v>92.537713624999995</v>
      </c>
      <c r="L1139" s="11">
        <v>-15.835696199999999</v>
      </c>
      <c r="M1139" s="11">
        <v>23.262559899999999</v>
      </c>
      <c r="N1139" s="11">
        <v>65.857573049999999</v>
      </c>
      <c r="P1139" s="11">
        <v>9</v>
      </c>
      <c r="Q1139" s="11">
        <v>1.40511882</v>
      </c>
      <c r="R1139" s="11">
        <v>1.50926352</v>
      </c>
      <c r="S1139" s="11">
        <v>99.396428056999994</v>
      </c>
      <c r="T1139" s="11">
        <v>0.93099632300000001</v>
      </c>
    </row>
    <row r="1140" spans="1:20" x14ac:dyDescent="0.2">
      <c r="A1140">
        <v>117</v>
      </c>
      <c r="B1140" s="1">
        <v>46193</v>
      </c>
      <c r="C1140" s="2">
        <v>0.85348379629629634</v>
      </c>
      <c r="D1140" t="s">
        <v>34</v>
      </c>
      <c r="E1140" s="10" t="s">
        <v>33</v>
      </c>
      <c r="F1140" s="11">
        <v>83.814589987999994</v>
      </c>
      <c r="G1140" s="4">
        <v>2076.7954100000002</v>
      </c>
      <c r="H1140" s="20">
        <v>0</v>
      </c>
      <c r="J1140" t="s">
        <v>21</v>
      </c>
    </row>
    <row r="1141" spans="1:20" x14ac:dyDescent="0.2">
      <c r="A1141">
        <v>118</v>
      </c>
      <c r="B1141" s="1">
        <v>46193</v>
      </c>
      <c r="C1141" s="2">
        <v>0.85366898148148151</v>
      </c>
      <c r="D1141" t="s">
        <v>34</v>
      </c>
      <c r="E1141" s="10" t="s">
        <v>33</v>
      </c>
      <c r="F1141" s="11">
        <v>83.322316205999996</v>
      </c>
      <c r="G1141" s="4">
        <v>995.36480700000004</v>
      </c>
      <c r="H1141" s="20">
        <v>1</v>
      </c>
      <c r="J1141" t="s">
        <v>21</v>
      </c>
    </row>
    <row r="1142" spans="1:20" x14ac:dyDescent="0.2">
      <c r="A1142">
        <v>119</v>
      </c>
      <c r="B1142" s="1">
        <v>46193</v>
      </c>
      <c r="C1142" s="2">
        <v>0.85385416666666669</v>
      </c>
      <c r="D1142" t="s">
        <v>34</v>
      </c>
      <c r="E1142" s="10" t="s">
        <v>37</v>
      </c>
      <c r="F1142" s="11">
        <v>74.254842444000005</v>
      </c>
      <c r="G1142" s="4">
        <v>2385.0019499999999</v>
      </c>
      <c r="H1142" s="20">
        <v>0</v>
      </c>
      <c r="J1142" t="s">
        <v>21</v>
      </c>
    </row>
    <row r="1143" spans="1:20" x14ac:dyDescent="0.2">
      <c r="A1143">
        <v>120</v>
      </c>
      <c r="B1143" s="1">
        <v>46193</v>
      </c>
      <c r="C1143" s="2">
        <v>0.85415509259259259</v>
      </c>
      <c r="D1143" t="s">
        <v>34</v>
      </c>
      <c r="E1143" s="10" t="s">
        <v>35</v>
      </c>
      <c r="F1143" s="11">
        <v>78.240715894000004</v>
      </c>
      <c r="G1143" s="4">
        <v>1821.82239</v>
      </c>
      <c r="H1143" s="20">
        <v>0</v>
      </c>
      <c r="J1143" t="s">
        <v>21</v>
      </c>
    </row>
    <row r="1144" spans="1:20" x14ac:dyDescent="0.2">
      <c r="A1144">
        <v>121</v>
      </c>
      <c r="B1144" s="1">
        <v>46193</v>
      </c>
      <c r="C1144" s="2">
        <v>0.85462962962962963</v>
      </c>
      <c r="D1144" t="s">
        <v>34</v>
      </c>
      <c r="E1144" s="10" t="s">
        <v>33</v>
      </c>
      <c r="F1144" s="11">
        <v>83.338196439000001</v>
      </c>
      <c r="G1144" s="4">
        <v>2122.2082500000001</v>
      </c>
      <c r="H1144" s="20">
        <v>1</v>
      </c>
      <c r="I1144" s="17" t="s">
        <v>40</v>
      </c>
      <c r="J1144" t="s">
        <v>21</v>
      </c>
      <c r="K1144" s="11">
        <v>95.447691323000001</v>
      </c>
      <c r="L1144" s="11">
        <v>13.003717399999999</v>
      </c>
      <c r="M1144" s="11">
        <v>16.8164558</v>
      </c>
      <c r="N1144" s="11">
        <v>70.015813604000002</v>
      </c>
      <c r="P1144" s="11">
        <v>231</v>
      </c>
      <c r="Q1144" s="11">
        <v>1.36323047</v>
      </c>
      <c r="R1144" s="11">
        <v>1.4848818800000001</v>
      </c>
      <c r="S1144" s="11">
        <v>103.965206765</v>
      </c>
      <c r="T1144" s="11">
        <v>0.91807334900000004</v>
      </c>
    </row>
    <row r="1145" spans="1:20" x14ac:dyDescent="0.2">
      <c r="A1145">
        <v>149</v>
      </c>
      <c r="B1145" s="1">
        <v>46193</v>
      </c>
      <c r="C1145" s="2">
        <v>0.86247685185185186</v>
      </c>
      <c r="D1145" t="s">
        <v>34</v>
      </c>
      <c r="E1145" s="10" t="s">
        <v>33</v>
      </c>
      <c r="F1145" s="11">
        <v>84.005154117999993</v>
      </c>
      <c r="G1145" s="4">
        <v>2134.2722199999998</v>
      </c>
      <c r="H1145" s="20">
        <v>1</v>
      </c>
      <c r="I1145" s="17" t="s">
        <v>40</v>
      </c>
      <c r="J1145" t="s">
        <v>21</v>
      </c>
      <c r="N1145" s="11">
        <v>70.633931141000005</v>
      </c>
    </row>
    <row r="1146" spans="1:20" x14ac:dyDescent="0.2">
      <c r="A1146">
        <v>155</v>
      </c>
      <c r="B1146" s="1">
        <v>46193</v>
      </c>
      <c r="C1146" s="2">
        <v>0.86730324074074072</v>
      </c>
      <c r="D1146" t="s">
        <v>25</v>
      </c>
      <c r="E1146" s="10" t="s">
        <v>33</v>
      </c>
      <c r="F1146" s="11">
        <v>84.783274094999996</v>
      </c>
      <c r="G1146" s="4">
        <v>2073.71875</v>
      </c>
      <c r="H1146" s="20">
        <v>0</v>
      </c>
      <c r="J1146" t="s">
        <v>21</v>
      </c>
    </row>
    <row r="1147" spans="1:20" x14ac:dyDescent="0.2">
      <c r="A1147">
        <v>156</v>
      </c>
      <c r="B1147" s="1">
        <v>46193</v>
      </c>
      <c r="C1147" s="2">
        <v>0.86767361111111108</v>
      </c>
      <c r="D1147" t="s">
        <v>25</v>
      </c>
      <c r="E1147" s="10" t="s">
        <v>37</v>
      </c>
      <c r="F1147" s="11">
        <v>73.047961561999998</v>
      </c>
      <c r="G1147" s="4">
        <v>2265.3325199999999</v>
      </c>
      <c r="H1147" s="20">
        <v>1</v>
      </c>
      <c r="I1147" s="17" t="s">
        <v>38</v>
      </c>
      <c r="J1147" t="s">
        <v>21</v>
      </c>
      <c r="N1147" s="11">
        <v>61.109306400999998</v>
      </c>
    </row>
    <row r="1148" spans="1:20" x14ac:dyDescent="0.2">
      <c r="A1148">
        <v>157</v>
      </c>
      <c r="B1148" s="1">
        <v>46193</v>
      </c>
      <c r="C1148" s="2">
        <v>0.86804398148148143</v>
      </c>
      <c r="D1148" t="s">
        <v>25</v>
      </c>
      <c r="E1148" s="10" t="s">
        <v>37</v>
      </c>
      <c r="F1148" s="11">
        <v>72.095157685999993</v>
      </c>
      <c r="G1148" s="4">
        <v>2234.31079</v>
      </c>
      <c r="H1148" s="20">
        <v>0</v>
      </c>
      <c r="J1148" t="s">
        <v>21</v>
      </c>
    </row>
    <row r="1149" spans="1:20" x14ac:dyDescent="0.2">
      <c r="A1149">
        <v>158</v>
      </c>
      <c r="B1149" s="1">
        <v>46193</v>
      </c>
      <c r="C1149" s="2">
        <v>0.8684143518518519</v>
      </c>
      <c r="D1149" t="s">
        <v>25</v>
      </c>
      <c r="E1149" s="10" t="s">
        <v>37</v>
      </c>
      <c r="F1149" s="11">
        <v>73.302038569000004</v>
      </c>
      <c r="G1149" s="4">
        <v>2280.42407</v>
      </c>
      <c r="H1149" s="20">
        <v>1</v>
      </c>
      <c r="J1149" t="s">
        <v>21</v>
      </c>
    </row>
    <row r="1150" spans="1:20" x14ac:dyDescent="0.2">
      <c r="A1150">
        <v>159</v>
      </c>
      <c r="B1150" s="1">
        <v>46193</v>
      </c>
      <c r="C1150" s="2">
        <v>0.86864583333333334</v>
      </c>
      <c r="D1150" t="s">
        <v>25</v>
      </c>
      <c r="E1150" s="10" t="s">
        <v>33</v>
      </c>
      <c r="F1150" s="11">
        <v>84.862675705000001</v>
      </c>
      <c r="G1150" s="4">
        <v>2113.72559</v>
      </c>
      <c r="H1150" s="20">
        <v>1</v>
      </c>
      <c r="I1150" s="17" t="s">
        <v>39</v>
      </c>
      <c r="J1150" t="s">
        <v>21</v>
      </c>
      <c r="L1150" s="11">
        <v>-60.3873672</v>
      </c>
      <c r="N1150" s="11">
        <v>63.104141724999998</v>
      </c>
      <c r="O1150" s="11">
        <v>1314.29846</v>
      </c>
    </row>
    <row r="1151" spans="1:20" x14ac:dyDescent="0.2">
      <c r="A1151">
        <v>208</v>
      </c>
      <c r="B1151" s="1">
        <v>46197</v>
      </c>
      <c r="C1151" s="2">
        <v>0.58277777777777773</v>
      </c>
      <c r="D1151" t="s">
        <v>25</v>
      </c>
      <c r="E1151" s="10" t="s">
        <v>33</v>
      </c>
      <c r="F1151" s="11">
        <v>84.211589981000003</v>
      </c>
      <c r="G1151" s="4">
        <v>1726.60852</v>
      </c>
      <c r="H1151" s="20">
        <v>0</v>
      </c>
      <c r="J1151" t="s">
        <v>21</v>
      </c>
    </row>
    <row r="1152" spans="1:20" x14ac:dyDescent="0.2">
      <c r="A1152">
        <v>209</v>
      </c>
      <c r="B1152" s="1">
        <v>46197</v>
      </c>
      <c r="C1152" s="2">
        <v>0.58322916666666669</v>
      </c>
      <c r="D1152" t="s">
        <v>25</v>
      </c>
      <c r="E1152" s="10" t="s">
        <v>37</v>
      </c>
      <c r="F1152" s="11">
        <v>76.541561231000003</v>
      </c>
      <c r="G1152" s="4">
        <v>1748.12048</v>
      </c>
      <c r="H1152" s="20">
        <v>1</v>
      </c>
      <c r="I1152" s="17" t="s">
        <v>39</v>
      </c>
      <c r="J1152" t="s">
        <v>21</v>
      </c>
      <c r="N1152" s="11">
        <v>65.632803260000003</v>
      </c>
    </row>
    <row r="1153" spans="1:20" x14ac:dyDescent="0.2">
      <c r="A1153">
        <v>210</v>
      </c>
      <c r="B1153" s="1">
        <v>46197</v>
      </c>
      <c r="C1153" s="2">
        <v>0.5835069444444444</v>
      </c>
      <c r="D1153" t="s">
        <v>25</v>
      </c>
      <c r="E1153" s="10" t="s">
        <v>37</v>
      </c>
      <c r="F1153" s="11">
        <v>75.811082397999996</v>
      </c>
      <c r="G1153" s="4">
        <v>1839.2927199999999</v>
      </c>
      <c r="H1153" s="20">
        <v>1</v>
      </c>
      <c r="J1153" t="s">
        <v>21</v>
      </c>
    </row>
    <row r="1154" spans="1:20" x14ac:dyDescent="0.2">
      <c r="A1154">
        <v>211</v>
      </c>
      <c r="B1154" s="1">
        <v>46197</v>
      </c>
      <c r="C1154" s="2">
        <v>0.58380787037037041</v>
      </c>
      <c r="D1154" t="s">
        <v>25</v>
      </c>
      <c r="E1154" s="10" t="s">
        <v>33</v>
      </c>
      <c r="F1154" s="11">
        <v>86.133069462999998</v>
      </c>
      <c r="G1154" s="4">
        <v>1783.71631</v>
      </c>
      <c r="H1154" s="20">
        <v>1</v>
      </c>
      <c r="I1154" s="17" t="s">
        <v>40</v>
      </c>
      <c r="J1154" t="s">
        <v>21</v>
      </c>
      <c r="K1154" s="11">
        <v>87.954513839000001</v>
      </c>
      <c r="L1154" s="11">
        <v>9.0455284099999993</v>
      </c>
      <c r="M1154" s="11">
        <v>-1.51508164</v>
      </c>
      <c r="N1154" s="11">
        <v>69.622465633000004</v>
      </c>
      <c r="O1154" s="11">
        <v>546.47747800000002</v>
      </c>
      <c r="P1154" s="11">
        <v>153</v>
      </c>
      <c r="Q1154" s="11">
        <v>1.2633065000000001</v>
      </c>
      <c r="R1154" s="11">
        <v>1.49421012</v>
      </c>
      <c r="S1154" s="11">
        <v>104.030588377</v>
      </c>
      <c r="T1154" s="11">
        <v>0.84546775799999996</v>
      </c>
    </row>
    <row r="1155" spans="1:20" x14ac:dyDescent="0.2">
      <c r="A1155">
        <v>244</v>
      </c>
      <c r="B1155" s="1">
        <v>46197</v>
      </c>
      <c r="C1155" s="2">
        <v>0.59773148148148147</v>
      </c>
      <c r="D1155" t="s">
        <v>25</v>
      </c>
      <c r="E1155" s="10" t="s">
        <v>33</v>
      </c>
      <c r="F1155" s="11">
        <v>85.370829942</v>
      </c>
      <c r="G1155" s="4">
        <v>1901.70715</v>
      </c>
      <c r="H1155" s="20">
        <v>0</v>
      </c>
      <c r="J1155" t="s">
        <v>21</v>
      </c>
    </row>
    <row r="1156" spans="1:20" x14ac:dyDescent="0.2">
      <c r="A1156">
        <v>245</v>
      </c>
      <c r="B1156" s="1">
        <v>46197</v>
      </c>
      <c r="C1156" s="2">
        <v>0.59796296296296292</v>
      </c>
      <c r="D1156" t="s">
        <v>25</v>
      </c>
      <c r="E1156" s="10" t="s">
        <v>37</v>
      </c>
      <c r="F1156" s="11">
        <v>75.652280746000002</v>
      </c>
      <c r="G1156" s="4">
        <v>1655.1087600000001</v>
      </c>
      <c r="H1156" s="20">
        <v>0</v>
      </c>
      <c r="J1156" t="s">
        <v>21</v>
      </c>
    </row>
    <row r="1157" spans="1:20" x14ac:dyDescent="0.2">
      <c r="A1157">
        <v>246</v>
      </c>
      <c r="B1157" s="1">
        <v>46197</v>
      </c>
      <c r="C1157" s="2">
        <v>0.59827546296296297</v>
      </c>
      <c r="D1157" t="s">
        <v>25</v>
      </c>
      <c r="E1157" s="10" t="s">
        <v>33</v>
      </c>
      <c r="F1157" s="11">
        <v>84.862675705000001</v>
      </c>
      <c r="G1157" s="4">
        <v>2060.3676799999998</v>
      </c>
      <c r="H1157" s="20">
        <v>0</v>
      </c>
      <c r="J1157" t="s">
        <v>21</v>
      </c>
    </row>
    <row r="1158" spans="1:20" x14ac:dyDescent="0.2">
      <c r="A1158">
        <v>247</v>
      </c>
      <c r="B1158" s="1">
        <v>46197</v>
      </c>
      <c r="C1158" s="2">
        <v>0.59851851851851856</v>
      </c>
      <c r="D1158" t="s">
        <v>25</v>
      </c>
      <c r="E1158" s="10" t="s">
        <v>35</v>
      </c>
      <c r="F1158" s="11">
        <v>76.033398716999997</v>
      </c>
      <c r="G1158" s="4">
        <v>1761.5208700000001</v>
      </c>
      <c r="H1158" s="20">
        <v>1</v>
      </c>
      <c r="J1158" t="s">
        <v>21</v>
      </c>
    </row>
    <row r="1159" spans="1:20" x14ac:dyDescent="0.2">
      <c r="A1159">
        <v>248</v>
      </c>
      <c r="B1159" s="1">
        <v>46197</v>
      </c>
      <c r="C1159" s="2">
        <v>0.59876157407407404</v>
      </c>
      <c r="D1159" t="s">
        <v>25</v>
      </c>
      <c r="E1159" s="10" t="s">
        <v>33</v>
      </c>
      <c r="F1159" s="11">
        <v>85.609034992999995</v>
      </c>
      <c r="G1159" s="4">
        <v>2044.03162</v>
      </c>
      <c r="H1159" s="20">
        <v>1</v>
      </c>
      <c r="J1159" t="s">
        <v>21</v>
      </c>
    </row>
    <row r="1160" spans="1:20" x14ac:dyDescent="0.2">
      <c r="A1160">
        <v>249</v>
      </c>
      <c r="B1160" s="1">
        <v>46197</v>
      </c>
      <c r="C1160" s="2">
        <v>0.59915509259259259</v>
      </c>
      <c r="D1160" t="s">
        <v>25</v>
      </c>
      <c r="E1160" s="10" t="s">
        <v>37</v>
      </c>
      <c r="F1160" s="11">
        <v>73.047961561999998</v>
      </c>
      <c r="G1160" s="4">
        <v>2196.64111</v>
      </c>
      <c r="H1160" s="20">
        <v>0</v>
      </c>
      <c r="I1160" s="17" t="s">
        <v>48</v>
      </c>
      <c r="J1160" t="s">
        <v>21</v>
      </c>
    </row>
    <row r="1161" spans="1:20" x14ac:dyDescent="0.2">
      <c r="A1161">
        <v>250</v>
      </c>
      <c r="B1161" s="1">
        <v>46197</v>
      </c>
      <c r="C1161" s="2">
        <v>0.59936342592592595</v>
      </c>
      <c r="D1161" t="s">
        <v>25</v>
      </c>
      <c r="E1161" s="10" t="s">
        <v>33</v>
      </c>
      <c r="F1161" s="11">
        <v>84.672111573999999</v>
      </c>
      <c r="G1161" s="4">
        <v>1946.9091800000001</v>
      </c>
      <c r="H1161" s="20">
        <v>1</v>
      </c>
      <c r="I1161" s="17" t="s">
        <v>39</v>
      </c>
      <c r="J1161" t="s">
        <v>21</v>
      </c>
      <c r="N1161" s="11">
        <v>50.292259450000003</v>
      </c>
    </row>
    <row r="1162" spans="1:20" x14ac:dyDescent="0.2">
      <c r="A1162">
        <v>287</v>
      </c>
      <c r="B1162" s="8">
        <v>46197</v>
      </c>
      <c r="C1162" s="9">
        <v>0.61745370370370367</v>
      </c>
      <c r="D1162" s="7" t="s">
        <v>24</v>
      </c>
      <c r="E1162" s="13" t="s">
        <v>33</v>
      </c>
      <c r="F1162" s="16">
        <v>83.274675099999996</v>
      </c>
      <c r="G1162" s="129">
        <v>747.18090800000004</v>
      </c>
      <c r="H1162" s="22">
        <v>1</v>
      </c>
      <c r="I1162" s="19"/>
      <c r="J1162" s="7" t="s">
        <v>21</v>
      </c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</row>
    <row r="1163" spans="1:20" x14ac:dyDescent="0.2">
      <c r="A1163">
        <v>288</v>
      </c>
      <c r="B1163" s="8">
        <v>46197</v>
      </c>
      <c r="C1163" s="9">
        <v>0.61768518518518523</v>
      </c>
      <c r="D1163" s="7" t="s">
        <v>24</v>
      </c>
      <c r="E1163" s="13" t="s">
        <v>33</v>
      </c>
      <c r="F1163" s="16">
        <v>83.973393400000006</v>
      </c>
      <c r="G1163" s="129">
        <v>2197.5744599999998</v>
      </c>
      <c r="H1163" s="22">
        <v>0</v>
      </c>
      <c r="I1163" s="19"/>
      <c r="J1163" s="7" t="s">
        <v>21</v>
      </c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</row>
    <row r="1164" spans="1:20" x14ac:dyDescent="0.2">
      <c r="A1164">
        <v>289</v>
      </c>
      <c r="B1164" s="8">
        <v>46197</v>
      </c>
      <c r="C1164" s="9">
        <v>0.6178703703703704</v>
      </c>
      <c r="D1164" s="7" t="s">
        <v>24</v>
      </c>
      <c r="E1164" s="13" t="s">
        <v>37</v>
      </c>
      <c r="F1164" s="16">
        <v>69.681400400000001</v>
      </c>
      <c r="G1164" s="129">
        <v>2157.5681199999999</v>
      </c>
      <c r="H1164" s="22">
        <v>0</v>
      </c>
      <c r="I1164" s="19"/>
      <c r="J1164" s="7" t="s">
        <v>21</v>
      </c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</row>
    <row r="1165" spans="1:20" x14ac:dyDescent="0.2">
      <c r="A1165">
        <v>290</v>
      </c>
      <c r="B1165" s="8">
        <v>46197</v>
      </c>
      <c r="C1165" s="9">
        <v>0.61805555555555558</v>
      </c>
      <c r="D1165" s="7" t="s">
        <v>24</v>
      </c>
      <c r="E1165" s="13" t="s">
        <v>33</v>
      </c>
      <c r="F1165" s="16">
        <v>84.227470400000001</v>
      </c>
      <c r="G1165" s="129">
        <v>2270.0783700000002</v>
      </c>
      <c r="H1165" s="22">
        <v>1</v>
      </c>
      <c r="I1165" s="19" t="s">
        <v>38</v>
      </c>
      <c r="J1165" s="7" t="s">
        <v>21</v>
      </c>
      <c r="K1165" s="16"/>
      <c r="L1165" s="16">
        <v>-48.715541999999999</v>
      </c>
      <c r="M1165" s="16"/>
      <c r="N1165" s="16">
        <v>66.082342600000004</v>
      </c>
      <c r="O1165" s="16">
        <v>1039.2683099999999</v>
      </c>
      <c r="P1165" s="16">
        <v>9</v>
      </c>
      <c r="Q1165" s="16"/>
      <c r="R1165" s="16"/>
      <c r="S1165" s="16"/>
      <c r="T1165" s="16"/>
    </row>
    <row r="1166" spans="1:20" x14ac:dyDescent="0.2">
      <c r="A1166">
        <v>291</v>
      </c>
      <c r="B1166" s="8">
        <v>46197</v>
      </c>
      <c r="C1166" s="9">
        <v>0.61832175925925925</v>
      </c>
      <c r="D1166" s="7" t="s">
        <v>24</v>
      </c>
      <c r="E1166" s="13" t="s">
        <v>37</v>
      </c>
      <c r="F1166" s="16">
        <v>71.0153198</v>
      </c>
      <c r="G1166" s="129">
        <v>2129.96045</v>
      </c>
      <c r="H1166" s="22">
        <v>0</v>
      </c>
      <c r="I1166" s="19"/>
      <c r="J1166" s="7" t="s">
        <v>21</v>
      </c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</row>
    <row r="1167" spans="1:20" x14ac:dyDescent="0.2">
      <c r="A1167">
        <v>292</v>
      </c>
      <c r="B1167" s="8">
        <v>46197</v>
      </c>
      <c r="C1167" s="9">
        <v>0.61851851851851847</v>
      </c>
      <c r="D1167" s="7" t="s">
        <v>24</v>
      </c>
      <c r="E1167" s="13" t="s">
        <v>33</v>
      </c>
      <c r="F1167" s="16">
        <v>84.608590199999995</v>
      </c>
      <c r="G1167" s="129">
        <v>2150.5063500000001</v>
      </c>
      <c r="H1167" s="22">
        <v>1</v>
      </c>
      <c r="I1167" s="19" t="s">
        <v>38</v>
      </c>
      <c r="J1167" s="7" t="s">
        <v>21</v>
      </c>
      <c r="K1167" s="16">
        <v>40.306673600000003</v>
      </c>
      <c r="L1167" s="16">
        <v>-53.714995999999999</v>
      </c>
      <c r="M1167" s="16">
        <v>3.54410267</v>
      </c>
      <c r="N1167" s="16">
        <v>67.796212699999998</v>
      </c>
      <c r="O1167" s="16"/>
      <c r="P1167" s="16">
        <v>7</v>
      </c>
      <c r="Q1167" s="16">
        <v>0.59452695</v>
      </c>
      <c r="R1167" s="16">
        <v>1.49977958</v>
      </c>
      <c r="S1167" s="16">
        <v>101.67937499999999</v>
      </c>
      <c r="T1167" s="16">
        <v>0.39640953000000001</v>
      </c>
    </row>
    <row r="1168" spans="1:20" x14ac:dyDescent="0.2">
      <c r="A1168">
        <v>293</v>
      </c>
      <c r="B1168" s="8">
        <v>46197</v>
      </c>
      <c r="C1168" s="9">
        <v>0.61890046296296297</v>
      </c>
      <c r="D1168" s="7" t="s">
        <v>24</v>
      </c>
      <c r="E1168" s="13" t="s">
        <v>33</v>
      </c>
      <c r="F1168" s="16">
        <v>83.338196400000001</v>
      </c>
      <c r="G1168" s="129">
        <v>2144.1589399999998</v>
      </c>
      <c r="H1168" s="22">
        <v>1</v>
      </c>
      <c r="I1168" s="19" t="s">
        <v>40</v>
      </c>
      <c r="J1168" s="7" t="s">
        <v>21</v>
      </c>
      <c r="K1168" s="16">
        <v>66.701642199999995</v>
      </c>
      <c r="L1168" s="16">
        <v>-14.034611</v>
      </c>
      <c r="M1168" s="16">
        <v>17.451578099999999</v>
      </c>
      <c r="N1168" s="16">
        <v>61.867906699999999</v>
      </c>
      <c r="O1168" s="16">
        <v>3391.0959499999999</v>
      </c>
      <c r="P1168" s="16">
        <v>14</v>
      </c>
      <c r="Q1168" s="16">
        <v>1.07812989</v>
      </c>
      <c r="R1168" s="16">
        <v>1.5253504499999999</v>
      </c>
      <c r="S1168" s="16">
        <v>94.370233999999996</v>
      </c>
      <c r="T1168" s="16">
        <v>0.70680799999999999</v>
      </c>
    </row>
    <row r="1169" spans="1:20" x14ac:dyDescent="0.2">
      <c r="A1169">
        <v>390</v>
      </c>
      <c r="B1169" s="8">
        <v>46200</v>
      </c>
      <c r="C1169" s="9">
        <v>0.7658449074074074</v>
      </c>
      <c r="D1169" s="7" t="s">
        <v>24</v>
      </c>
      <c r="E1169" s="13" t="s">
        <v>33</v>
      </c>
      <c r="F1169" s="16">
        <v>83.528756099999995</v>
      </c>
      <c r="G1169" s="129">
        <v>2214.28955</v>
      </c>
      <c r="H1169" s="22">
        <v>1</v>
      </c>
      <c r="I1169" s="19"/>
      <c r="J1169" s="7" t="s">
        <v>21</v>
      </c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</row>
    <row r="1170" spans="1:20" x14ac:dyDescent="0.2">
      <c r="A1170">
        <v>391</v>
      </c>
      <c r="B1170" s="8">
        <v>46200</v>
      </c>
      <c r="C1170" s="9">
        <v>0.76603009259259258</v>
      </c>
      <c r="D1170" s="7" t="s">
        <v>24</v>
      </c>
      <c r="E1170" s="13" t="s">
        <v>49</v>
      </c>
      <c r="F1170" s="16">
        <v>67.966361300000003</v>
      </c>
      <c r="G1170" s="129">
        <v>1440.53296</v>
      </c>
      <c r="H1170" s="22">
        <v>0</v>
      </c>
      <c r="I1170" s="19"/>
      <c r="J1170" s="7" t="s">
        <v>21</v>
      </c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</row>
    <row r="1171" spans="1:20" x14ac:dyDescent="0.2">
      <c r="A1171">
        <v>392</v>
      </c>
      <c r="B1171" s="8">
        <v>46200</v>
      </c>
      <c r="C1171" s="9">
        <v>0.76621527777777776</v>
      </c>
      <c r="D1171" s="7" t="s">
        <v>24</v>
      </c>
      <c r="E1171" s="13" t="s">
        <v>33</v>
      </c>
      <c r="F1171" s="16">
        <v>83.211153699999997</v>
      </c>
      <c r="G1171" s="129">
        <v>1127.0896</v>
      </c>
      <c r="H1171" s="22">
        <v>1</v>
      </c>
      <c r="I1171" s="19" t="s">
        <v>38</v>
      </c>
      <c r="J1171" s="7" t="s">
        <v>21</v>
      </c>
      <c r="K1171" s="16">
        <v>82.075337599999997</v>
      </c>
      <c r="L1171" s="16">
        <v>-39.431614000000003</v>
      </c>
      <c r="M1171" s="16">
        <v>40.192627000000002</v>
      </c>
      <c r="N1171" s="16">
        <v>66.222821100000004</v>
      </c>
      <c r="O1171" s="16"/>
      <c r="P1171" s="16">
        <v>6</v>
      </c>
      <c r="Q1171" s="16">
        <v>1.2393814299999999</v>
      </c>
      <c r="R1171" s="16">
        <v>1.4945981500000001</v>
      </c>
      <c r="S1171" s="16">
        <v>98.976507699999999</v>
      </c>
      <c r="T1171" s="16">
        <v>0.82924065000000002</v>
      </c>
    </row>
    <row r="1172" spans="1:20" x14ac:dyDescent="0.2">
      <c r="A1172">
        <v>393</v>
      </c>
      <c r="B1172" s="8">
        <v>46200</v>
      </c>
      <c r="C1172" s="9">
        <v>0.76656250000000004</v>
      </c>
      <c r="D1172" s="7" t="s">
        <v>24</v>
      </c>
      <c r="E1172" s="13" t="s">
        <v>37</v>
      </c>
      <c r="F1172" s="16">
        <v>69.109720499999995</v>
      </c>
      <c r="G1172" s="129">
        <v>2277.82593</v>
      </c>
      <c r="H1172" s="22">
        <v>0</v>
      </c>
      <c r="I1172" s="19"/>
      <c r="J1172" s="7" t="s">
        <v>21</v>
      </c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</row>
    <row r="1173" spans="1:20" x14ac:dyDescent="0.2">
      <c r="A1173">
        <v>394</v>
      </c>
      <c r="B1173" s="8">
        <v>46200</v>
      </c>
      <c r="C1173" s="9">
        <v>0.76680555555555552</v>
      </c>
      <c r="D1173" s="7" t="s">
        <v>24</v>
      </c>
      <c r="E1173" s="13" t="s">
        <v>33</v>
      </c>
      <c r="F1173" s="16">
        <v>83.909872100000001</v>
      </c>
      <c r="G1173" s="129">
        <v>1130.6803</v>
      </c>
      <c r="H1173" s="22">
        <v>1</v>
      </c>
      <c r="I1173" s="19" t="s">
        <v>40</v>
      </c>
      <c r="J1173" s="7" t="s">
        <v>21</v>
      </c>
      <c r="K1173" s="16">
        <v>90.070192500000005</v>
      </c>
      <c r="L1173" s="16">
        <v>18.940935100000001</v>
      </c>
      <c r="M1173" s="16">
        <v>2.3064459999999998E-2</v>
      </c>
      <c r="N1173" s="16">
        <v>62.261254399999999</v>
      </c>
      <c r="O1173" s="16">
        <v>1138.33789</v>
      </c>
      <c r="P1173" s="16">
        <v>254</v>
      </c>
      <c r="Q1173" s="16">
        <v>1.44664919</v>
      </c>
      <c r="R1173" s="16">
        <v>1.5175993400000001</v>
      </c>
      <c r="S1173" s="16">
        <v>94.487634200000002</v>
      </c>
      <c r="T1173" s="16">
        <v>0.95324843999999997</v>
      </c>
    </row>
    <row r="1174" spans="1:20" x14ac:dyDescent="0.2">
      <c r="A1174">
        <v>427</v>
      </c>
      <c r="B1174" s="8">
        <v>46200</v>
      </c>
      <c r="C1174" s="9">
        <v>0.77947916666666661</v>
      </c>
      <c r="D1174" s="7" t="s">
        <v>25</v>
      </c>
      <c r="E1174" s="13" t="s">
        <v>33</v>
      </c>
      <c r="F1174" s="16">
        <v>83.703435999999996</v>
      </c>
      <c r="G1174" s="129">
        <v>2061.9462899999999</v>
      </c>
      <c r="H1174" s="22">
        <v>0</v>
      </c>
      <c r="I1174" s="19"/>
      <c r="J1174" s="7" t="s">
        <v>21</v>
      </c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</row>
    <row r="1175" spans="1:20" x14ac:dyDescent="0.2">
      <c r="A1175">
        <v>428</v>
      </c>
      <c r="B1175" s="8">
        <v>46200</v>
      </c>
      <c r="C1175" s="9">
        <v>0.77962962962962967</v>
      </c>
      <c r="D1175" s="7" t="s">
        <v>25</v>
      </c>
      <c r="E1175" s="13" t="s">
        <v>33</v>
      </c>
      <c r="F1175" s="16">
        <v>83.084110899999999</v>
      </c>
      <c r="G1175" s="129">
        <v>2079.98</v>
      </c>
      <c r="H1175" s="22">
        <v>0</v>
      </c>
      <c r="I1175" s="19"/>
      <c r="J1175" s="7" t="s">
        <v>21</v>
      </c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</row>
    <row r="1176" spans="1:20" x14ac:dyDescent="0.2">
      <c r="A1176">
        <v>429</v>
      </c>
      <c r="B1176" s="8">
        <v>46200</v>
      </c>
      <c r="C1176" s="9">
        <v>0.77982638888888889</v>
      </c>
      <c r="D1176" s="7" t="s">
        <v>25</v>
      </c>
      <c r="E1176" s="13" t="s">
        <v>33</v>
      </c>
      <c r="F1176" s="16">
        <v>83.639914599999997</v>
      </c>
      <c r="G1176" s="129">
        <v>2086.6882300000002</v>
      </c>
      <c r="H1176" s="22">
        <v>1</v>
      </c>
      <c r="I1176" s="19" t="s">
        <v>40</v>
      </c>
      <c r="J1176" s="7" t="s">
        <v>21</v>
      </c>
      <c r="K1176" s="16">
        <v>77.893208299999998</v>
      </c>
      <c r="L1176" s="16">
        <v>-33.481323000000003</v>
      </c>
      <c r="M1176" s="16">
        <v>11.472190899999999</v>
      </c>
      <c r="N1176" s="16">
        <v>66.700460199999995</v>
      </c>
      <c r="O1176" s="16"/>
      <c r="P1176" s="16">
        <v>5</v>
      </c>
      <c r="Q1176" s="16">
        <v>1.1678061500000001</v>
      </c>
      <c r="R1176" s="16">
        <v>1.5013231</v>
      </c>
      <c r="S1176" s="16">
        <v>100.13893899999999</v>
      </c>
      <c r="T1176" s="16">
        <v>0.77785132999999995</v>
      </c>
    </row>
    <row r="1177" spans="1:20" x14ac:dyDescent="0.2">
      <c r="A1177">
        <v>430</v>
      </c>
      <c r="B1177" s="8">
        <v>46200</v>
      </c>
      <c r="C1177" s="9">
        <v>0.78010416666666671</v>
      </c>
      <c r="D1177" s="7" t="s">
        <v>25</v>
      </c>
      <c r="E1177" s="13" t="s">
        <v>33</v>
      </c>
      <c r="F1177" s="16">
        <v>84.402154300000007</v>
      </c>
      <c r="G1177" s="129">
        <v>2120.8288600000001</v>
      </c>
      <c r="H1177" s="22">
        <v>1</v>
      </c>
      <c r="I1177" s="19" t="s">
        <v>38</v>
      </c>
      <c r="J1177" s="7" t="s">
        <v>21</v>
      </c>
      <c r="K1177" s="16"/>
      <c r="L1177" s="16"/>
      <c r="M1177" s="16"/>
      <c r="N1177" s="16">
        <v>65.576607800000005</v>
      </c>
      <c r="O1177" s="16"/>
      <c r="P1177" s="16"/>
      <c r="Q1177" s="16"/>
      <c r="R1177" s="16"/>
      <c r="S1177" s="16"/>
      <c r="T1177" s="16"/>
    </row>
    <row r="1178" spans="1:20" x14ac:dyDescent="0.2">
      <c r="A1178">
        <v>431</v>
      </c>
      <c r="B1178" s="8">
        <v>46200</v>
      </c>
      <c r="C1178" s="9">
        <v>0.78034722222222219</v>
      </c>
      <c r="D1178" s="7" t="s">
        <v>25</v>
      </c>
      <c r="E1178" s="13" t="s">
        <v>33</v>
      </c>
      <c r="F1178" s="16">
        <v>82.893555300000003</v>
      </c>
      <c r="G1178" s="129">
        <v>1002.99329</v>
      </c>
      <c r="H1178" s="22">
        <v>1</v>
      </c>
      <c r="I1178" s="19" t="s">
        <v>38</v>
      </c>
      <c r="J1178" s="7" t="s">
        <v>21</v>
      </c>
      <c r="K1178" s="16">
        <v>78.751498100000006</v>
      </c>
      <c r="L1178" s="16">
        <v>-22.440905000000001</v>
      </c>
      <c r="M1178" s="16"/>
      <c r="N1178" s="16">
        <v>66.222821100000004</v>
      </c>
      <c r="O1178" s="16"/>
      <c r="P1178" s="16">
        <v>7</v>
      </c>
      <c r="Q1178" s="16">
        <v>1.18918967</v>
      </c>
      <c r="R1178" s="16">
        <v>1.49338818</v>
      </c>
      <c r="S1178" s="16">
        <v>98.896380699999995</v>
      </c>
      <c r="T1178" s="16">
        <v>0.79630318</v>
      </c>
    </row>
    <row r="1179" spans="1:20" x14ac:dyDescent="0.2">
      <c r="A1179">
        <v>478</v>
      </c>
      <c r="B1179" s="8">
        <v>46203</v>
      </c>
      <c r="C1179" s="9">
        <v>0.77815972222222218</v>
      </c>
      <c r="D1179" s="7" t="s">
        <v>24</v>
      </c>
      <c r="E1179" s="13" t="s">
        <v>49</v>
      </c>
      <c r="F1179" s="16">
        <v>66.743604199999993</v>
      </c>
      <c r="G1179" s="129">
        <v>2196.2717299999999</v>
      </c>
      <c r="H1179" s="22">
        <v>0</v>
      </c>
      <c r="I1179" s="19"/>
      <c r="J1179" s="7" t="s">
        <v>21</v>
      </c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</row>
    <row r="1180" spans="1:20" x14ac:dyDescent="0.2">
      <c r="A1180">
        <v>479</v>
      </c>
      <c r="B1180" s="8">
        <v>46203</v>
      </c>
      <c r="C1180" s="9">
        <v>0.77841435185185182</v>
      </c>
      <c r="D1180" s="7" t="s">
        <v>24</v>
      </c>
      <c r="E1180" s="13" t="s">
        <v>33</v>
      </c>
      <c r="F1180" s="16">
        <v>82.877675100000005</v>
      </c>
      <c r="G1180" s="129">
        <v>2298.72192</v>
      </c>
      <c r="H1180" s="22">
        <v>0</v>
      </c>
      <c r="I1180" s="19"/>
      <c r="J1180" s="7" t="s">
        <v>21</v>
      </c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</row>
    <row r="1181" spans="1:20" x14ac:dyDescent="0.2">
      <c r="A1181">
        <v>480</v>
      </c>
      <c r="B1181" s="8">
        <v>46203</v>
      </c>
      <c r="C1181" s="9">
        <v>0.77863425925925922</v>
      </c>
      <c r="D1181" s="7" t="s">
        <v>24</v>
      </c>
      <c r="E1181" s="13" t="s">
        <v>37</v>
      </c>
      <c r="F1181" s="16">
        <v>67.775801400000006</v>
      </c>
      <c r="G1181" s="129">
        <v>1130.54736</v>
      </c>
      <c r="H1181" s="22">
        <v>0</v>
      </c>
      <c r="I1181" s="19"/>
      <c r="J1181" s="7" t="s">
        <v>21</v>
      </c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</row>
    <row r="1182" spans="1:20" x14ac:dyDescent="0.2">
      <c r="A1182">
        <v>481</v>
      </c>
      <c r="B1182" s="8">
        <v>46203</v>
      </c>
      <c r="C1182" s="9">
        <v>0.77888888888888885</v>
      </c>
      <c r="D1182" s="7" t="s">
        <v>24</v>
      </c>
      <c r="E1182" s="13" t="s">
        <v>33</v>
      </c>
      <c r="F1182" s="16">
        <v>82.115435300000001</v>
      </c>
      <c r="G1182" s="129">
        <v>2109.36841</v>
      </c>
      <c r="H1182" s="22">
        <v>1</v>
      </c>
      <c r="I1182" s="19" t="s">
        <v>39</v>
      </c>
      <c r="J1182" s="7" t="s">
        <v>21</v>
      </c>
      <c r="K1182" s="16"/>
      <c r="L1182" s="16"/>
      <c r="M1182" s="16"/>
      <c r="N1182" s="16">
        <v>64.171798600000002</v>
      </c>
      <c r="O1182" s="16"/>
      <c r="P1182" s="16"/>
      <c r="Q1182" s="16"/>
      <c r="R1182" s="16"/>
      <c r="S1182" s="16"/>
      <c r="T1182" s="16"/>
    </row>
    <row r="1183" spans="1:20" x14ac:dyDescent="0.2">
      <c r="A1183">
        <v>482</v>
      </c>
      <c r="B1183" s="8">
        <v>46203</v>
      </c>
      <c r="C1183" s="9">
        <v>0.77909722222222222</v>
      </c>
      <c r="D1183" s="7" t="s">
        <v>24</v>
      </c>
      <c r="E1183" s="13" t="s">
        <v>33</v>
      </c>
      <c r="F1183" s="16">
        <v>81.480238600000007</v>
      </c>
      <c r="G1183" s="129">
        <v>2207.2609900000002</v>
      </c>
      <c r="H1183" s="22">
        <v>0</v>
      </c>
      <c r="I1183" s="19"/>
      <c r="J1183" s="7" t="s">
        <v>21</v>
      </c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</row>
    <row r="1184" spans="1:20" x14ac:dyDescent="0.2">
      <c r="A1184">
        <v>483</v>
      </c>
      <c r="B1184" s="8">
        <v>46203</v>
      </c>
      <c r="C1184" s="9">
        <v>0.77927083333333336</v>
      </c>
      <c r="D1184" s="7" t="s">
        <v>24</v>
      </c>
      <c r="E1184" s="13" t="s">
        <v>33</v>
      </c>
      <c r="F1184" s="16">
        <v>80.845033099999995</v>
      </c>
      <c r="G1184" s="129">
        <v>1105.7655</v>
      </c>
      <c r="H1184" s="22">
        <v>0</v>
      </c>
      <c r="I1184" s="19"/>
      <c r="J1184" s="7" t="s">
        <v>21</v>
      </c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</row>
    <row r="1185" spans="1:20" x14ac:dyDescent="0.2">
      <c r="A1185">
        <v>516</v>
      </c>
      <c r="B1185" s="8">
        <v>46203</v>
      </c>
      <c r="C1185" s="9">
        <v>0.79326388888888888</v>
      </c>
      <c r="D1185" s="7" t="s">
        <v>24</v>
      </c>
      <c r="E1185" s="13" t="s">
        <v>49</v>
      </c>
      <c r="F1185" s="16">
        <v>68.585682000000006</v>
      </c>
      <c r="G1185" s="129">
        <v>1941.17859</v>
      </c>
      <c r="H1185" s="22">
        <v>0</v>
      </c>
      <c r="I1185" s="19"/>
      <c r="J1185" s="7" t="s">
        <v>21</v>
      </c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</row>
    <row r="1186" spans="1:20" x14ac:dyDescent="0.2">
      <c r="A1186">
        <v>517</v>
      </c>
      <c r="B1186" s="8">
        <v>46203</v>
      </c>
      <c r="C1186" s="9">
        <v>0.79343750000000002</v>
      </c>
      <c r="D1186" s="7" t="s">
        <v>24</v>
      </c>
      <c r="E1186" s="13" t="s">
        <v>33</v>
      </c>
      <c r="F1186" s="16">
        <v>83.655794999999998</v>
      </c>
      <c r="G1186" s="129">
        <v>1089.7476799999999</v>
      </c>
      <c r="H1186" s="22">
        <v>1</v>
      </c>
      <c r="I1186" s="19" t="s">
        <v>40</v>
      </c>
      <c r="J1186" s="7" t="s">
        <v>21</v>
      </c>
      <c r="K1186" s="16">
        <v>82.053449799999996</v>
      </c>
      <c r="L1186" s="16">
        <v>66.104766799999993</v>
      </c>
      <c r="M1186" s="16">
        <v>-18.000069</v>
      </c>
      <c r="N1186" s="16">
        <v>67.093803899999997</v>
      </c>
      <c r="O1186" s="16"/>
      <c r="P1186" s="16">
        <v>223</v>
      </c>
      <c r="Q1186" s="16">
        <v>1.22296607</v>
      </c>
      <c r="R1186" s="16">
        <v>1.49215484</v>
      </c>
      <c r="S1186" s="16">
        <v>100.114346</v>
      </c>
      <c r="T1186" s="16">
        <v>0.81959731999999996</v>
      </c>
    </row>
    <row r="1187" spans="1:20" x14ac:dyDescent="0.2">
      <c r="A1187">
        <v>569</v>
      </c>
      <c r="B1187" s="8">
        <v>46203</v>
      </c>
      <c r="C1187" s="9">
        <v>0.81351851851851853</v>
      </c>
      <c r="D1187" s="7" t="s">
        <v>25</v>
      </c>
      <c r="E1187" s="13" t="s">
        <v>35</v>
      </c>
      <c r="F1187" s="16">
        <v>71.0153198</v>
      </c>
      <c r="G1187" s="129">
        <v>1626.31104</v>
      </c>
      <c r="H1187" s="22">
        <v>0</v>
      </c>
      <c r="I1187" s="19"/>
      <c r="J1187" s="7" t="s">
        <v>21</v>
      </c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</row>
    <row r="1188" spans="1:20" x14ac:dyDescent="0.2">
      <c r="A1188">
        <v>570</v>
      </c>
      <c r="B1188" s="8">
        <v>46203</v>
      </c>
      <c r="C1188" s="9">
        <v>0.8137268518518519</v>
      </c>
      <c r="D1188" s="7" t="s">
        <v>25</v>
      </c>
      <c r="E1188" s="13" t="s">
        <v>33</v>
      </c>
      <c r="F1188" s="16">
        <v>84.862675699999997</v>
      </c>
      <c r="G1188" s="129">
        <v>2144.15967</v>
      </c>
      <c r="H1188" s="22">
        <v>0</v>
      </c>
      <c r="I1188" s="19"/>
      <c r="J1188" s="7" t="s">
        <v>21</v>
      </c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</row>
    <row r="1189" spans="1:20" x14ac:dyDescent="0.2">
      <c r="A1189">
        <v>571</v>
      </c>
      <c r="B1189" s="8">
        <v>46203</v>
      </c>
      <c r="C1189" s="9">
        <v>0.81395833333333334</v>
      </c>
      <c r="D1189" s="7" t="s">
        <v>25</v>
      </c>
      <c r="E1189" s="13" t="s">
        <v>33</v>
      </c>
      <c r="F1189" s="16">
        <v>83.465227100000007</v>
      </c>
      <c r="G1189" s="129">
        <v>2085.0402800000002</v>
      </c>
      <c r="H1189" s="22">
        <v>1</v>
      </c>
      <c r="I1189" s="19" t="s">
        <v>40</v>
      </c>
      <c r="J1189" s="7" t="s">
        <v>21</v>
      </c>
      <c r="K1189" s="16">
        <v>87.944717600000004</v>
      </c>
      <c r="L1189" s="16">
        <v>1.7080053100000001</v>
      </c>
      <c r="M1189" s="16">
        <v>4.2708220499999996</v>
      </c>
      <c r="N1189" s="16">
        <v>68.667195800000002</v>
      </c>
      <c r="O1189" s="16">
        <v>997.42810099999997</v>
      </c>
      <c r="P1189" s="16">
        <v>74</v>
      </c>
      <c r="Q1189" s="16">
        <v>1.28073847</v>
      </c>
      <c r="R1189" s="16">
        <v>1.4913943999999999</v>
      </c>
      <c r="S1189" s="16">
        <v>102.409871</v>
      </c>
      <c r="T1189" s="16">
        <v>0.85875237000000004</v>
      </c>
    </row>
    <row r="1190" spans="1:20" x14ac:dyDescent="0.2">
      <c r="A1190">
        <v>606</v>
      </c>
      <c r="B1190" s="8">
        <v>46214</v>
      </c>
      <c r="C1190" s="9">
        <v>0.46444444444444444</v>
      </c>
      <c r="D1190" s="7" t="s">
        <v>18</v>
      </c>
      <c r="E1190" s="13" t="s">
        <v>33</v>
      </c>
      <c r="F1190" s="16">
        <v>82.639478299999993</v>
      </c>
      <c r="G1190" s="129">
        <v>1026.6961699999999</v>
      </c>
      <c r="H1190" s="22">
        <v>1</v>
      </c>
      <c r="I1190" s="19" t="s">
        <v>40</v>
      </c>
      <c r="J1190" s="7" t="s">
        <v>21</v>
      </c>
      <c r="K1190" s="16">
        <v>96.788586600000002</v>
      </c>
      <c r="L1190" s="16">
        <v>19.264827700000001</v>
      </c>
      <c r="M1190" s="16">
        <v>18.0981159</v>
      </c>
      <c r="N1190" s="16">
        <v>67.505383100000003</v>
      </c>
      <c r="O1190" s="16">
        <v>1667.22021</v>
      </c>
      <c r="P1190" s="16">
        <v>283</v>
      </c>
      <c r="Q1190" s="16">
        <v>1.43379068</v>
      </c>
      <c r="R1190" s="16">
        <v>1.5954657800000001</v>
      </c>
      <c r="S1190" s="16">
        <v>107.702533</v>
      </c>
      <c r="T1190" s="16">
        <v>0.89866584999999999</v>
      </c>
    </row>
    <row r="1191" spans="1:20" x14ac:dyDescent="0.2">
      <c r="A1191">
        <v>661</v>
      </c>
      <c r="B1191" s="8">
        <v>46214</v>
      </c>
      <c r="C1191" s="9">
        <v>0.48350694444444442</v>
      </c>
      <c r="D1191" s="7" t="s">
        <v>18</v>
      </c>
      <c r="E1191" s="13" t="s">
        <v>35</v>
      </c>
      <c r="F1191" s="16">
        <v>79.526998399999997</v>
      </c>
      <c r="G1191" s="129">
        <v>1545.92554</v>
      </c>
      <c r="H1191" s="22">
        <v>0</v>
      </c>
      <c r="I1191" s="19"/>
      <c r="J1191" s="7" t="s">
        <v>21</v>
      </c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</row>
    <row r="1192" spans="1:20" x14ac:dyDescent="0.2">
      <c r="A1192">
        <v>662</v>
      </c>
      <c r="B1192" s="8">
        <v>46214</v>
      </c>
      <c r="C1192" s="9">
        <v>0.48378472222222224</v>
      </c>
      <c r="D1192" s="7" t="s">
        <v>18</v>
      </c>
      <c r="E1192" s="13" t="s">
        <v>36</v>
      </c>
      <c r="F1192" s="16">
        <v>80.400391900000002</v>
      </c>
      <c r="G1192" s="129">
        <v>2133.2607400000002</v>
      </c>
      <c r="H1192" s="22">
        <v>0</v>
      </c>
      <c r="I1192" s="19"/>
      <c r="J1192" s="7" t="s">
        <v>21</v>
      </c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</row>
    <row r="1193" spans="1:20" x14ac:dyDescent="0.2">
      <c r="A1193">
        <v>663</v>
      </c>
      <c r="B1193" s="8">
        <v>46214</v>
      </c>
      <c r="C1193" s="9">
        <v>0.4841550925925926</v>
      </c>
      <c r="D1193" s="7" t="s">
        <v>18</v>
      </c>
      <c r="E1193" s="13" t="s">
        <v>36</v>
      </c>
      <c r="F1193" s="16">
        <v>79.209400000000002</v>
      </c>
      <c r="G1193" s="129">
        <v>1041.17725</v>
      </c>
      <c r="H1193" s="22">
        <v>1</v>
      </c>
      <c r="I1193" s="19" t="s">
        <v>38</v>
      </c>
      <c r="J1193" s="7" t="s">
        <v>21</v>
      </c>
      <c r="K1193" s="16"/>
      <c r="L1193" s="16"/>
      <c r="M1193" s="16"/>
      <c r="N1193" s="16">
        <v>70.147144299999994</v>
      </c>
      <c r="O1193" s="16"/>
      <c r="P1193" s="16"/>
      <c r="Q1193" s="16"/>
      <c r="R1193" s="16"/>
      <c r="S1193" s="16"/>
      <c r="T1193" s="16"/>
    </row>
    <row r="1194" spans="1:20" x14ac:dyDescent="0.2">
      <c r="A1194">
        <v>664</v>
      </c>
      <c r="B1194" s="8">
        <v>46214</v>
      </c>
      <c r="C1194" s="9">
        <v>0.48449074074074072</v>
      </c>
      <c r="D1194" s="7" t="s">
        <v>18</v>
      </c>
      <c r="E1194" s="13" t="s">
        <v>33</v>
      </c>
      <c r="F1194" s="16">
        <v>84.227470400000001</v>
      </c>
      <c r="G1194" s="129">
        <v>1181.85925</v>
      </c>
      <c r="H1194" s="22">
        <v>0</v>
      </c>
      <c r="I1194" s="19"/>
      <c r="J1194" s="7" t="s">
        <v>21</v>
      </c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</row>
    <row r="1195" spans="1:20" x14ac:dyDescent="0.2">
      <c r="A1195">
        <v>665</v>
      </c>
      <c r="B1195" s="8">
        <v>46214</v>
      </c>
      <c r="C1195" s="9">
        <v>0.48472222222222222</v>
      </c>
      <c r="D1195" s="7" t="s">
        <v>18</v>
      </c>
      <c r="E1195" s="13" t="s">
        <v>37</v>
      </c>
      <c r="F1195" s="16">
        <v>74.381876700000007</v>
      </c>
      <c r="G1195" s="129">
        <v>2208.6760300000001</v>
      </c>
      <c r="H1195" s="22">
        <v>1</v>
      </c>
      <c r="I1195" s="19" t="s">
        <v>40</v>
      </c>
      <c r="J1195" s="7" t="s">
        <v>21</v>
      </c>
      <c r="K1195" s="16">
        <v>77.123937499999997</v>
      </c>
      <c r="L1195" s="16">
        <v>40.385199999999998</v>
      </c>
      <c r="M1195" s="16">
        <v>13.2634039</v>
      </c>
      <c r="N1195" s="16">
        <v>63.233603700000003</v>
      </c>
      <c r="O1195" s="16"/>
      <c r="P1195" s="16">
        <v>271</v>
      </c>
      <c r="Q1195" s="16">
        <v>1.2196669600000001</v>
      </c>
      <c r="R1195" s="16">
        <v>1.60312319</v>
      </c>
      <c r="S1195" s="16">
        <v>101.371257</v>
      </c>
      <c r="T1195" s="16">
        <v>0.76080681000000006</v>
      </c>
    </row>
    <row r="1196" spans="1:20" x14ac:dyDescent="0.2">
      <c r="A1196">
        <v>736</v>
      </c>
      <c r="B1196" s="8">
        <v>46214</v>
      </c>
      <c r="C1196" s="9">
        <v>0.51364583333333336</v>
      </c>
      <c r="D1196" s="7" t="s">
        <v>22</v>
      </c>
      <c r="E1196" s="13" t="s">
        <v>54</v>
      </c>
      <c r="F1196" s="16">
        <v>83.211153699999997</v>
      </c>
      <c r="G1196" s="129">
        <v>2132.3513200000002</v>
      </c>
      <c r="H1196" s="22">
        <v>1</v>
      </c>
      <c r="I1196" s="19"/>
      <c r="J1196" s="7" t="s">
        <v>21</v>
      </c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</row>
    <row r="1197" spans="1:20" x14ac:dyDescent="0.2">
      <c r="A1197">
        <v>737</v>
      </c>
      <c r="B1197" s="8">
        <v>46214</v>
      </c>
      <c r="C1197" s="9">
        <v>0.51398148148148148</v>
      </c>
      <c r="D1197" s="7" t="s">
        <v>22</v>
      </c>
      <c r="E1197" s="13" t="s">
        <v>55</v>
      </c>
      <c r="F1197" s="16">
        <v>78.113672899999997</v>
      </c>
      <c r="G1197" s="129">
        <v>1513.4408000000001</v>
      </c>
      <c r="H1197" s="22">
        <v>1</v>
      </c>
      <c r="I1197" s="19" t="s">
        <v>40</v>
      </c>
      <c r="J1197" s="7" t="s">
        <v>21</v>
      </c>
      <c r="K1197" s="16">
        <v>79.7485298</v>
      </c>
      <c r="L1197" s="16">
        <v>51.801097900000002</v>
      </c>
      <c r="M1197" s="16">
        <v>26.073770499999998</v>
      </c>
      <c r="N1197" s="16">
        <v>59.580103800000003</v>
      </c>
      <c r="O1197" s="16">
        <v>4718.0615200000002</v>
      </c>
      <c r="P1197" s="16">
        <v>275</v>
      </c>
      <c r="Q1197" s="16">
        <v>1.3385094399999999</v>
      </c>
      <c r="R1197" s="16">
        <v>1.63716292</v>
      </c>
      <c r="S1197" s="16">
        <v>97.542335600000001</v>
      </c>
      <c r="T1197" s="16">
        <v>0.81757858000000005</v>
      </c>
    </row>
    <row r="1198" spans="1:20" x14ac:dyDescent="0.2">
      <c r="A1198">
        <v>759</v>
      </c>
      <c r="B1198" s="8">
        <v>46214</v>
      </c>
      <c r="C1198" s="9">
        <v>0.52668981481481481</v>
      </c>
      <c r="D1198" s="7" t="s">
        <v>25</v>
      </c>
      <c r="E1198" s="13" t="s">
        <v>35</v>
      </c>
      <c r="F1198" s="16">
        <v>70.681840899999997</v>
      </c>
      <c r="G1198" s="129">
        <v>1714.37878</v>
      </c>
      <c r="H1198" s="22">
        <v>0</v>
      </c>
      <c r="I1198" s="19"/>
      <c r="J1198" s="7" t="s">
        <v>21</v>
      </c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</row>
    <row r="1199" spans="1:20" x14ac:dyDescent="0.2">
      <c r="A1199">
        <v>760</v>
      </c>
      <c r="B1199" s="8">
        <v>46214</v>
      </c>
      <c r="C1199" s="9">
        <v>0.52690972222222221</v>
      </c>
      <c r="D1199" s="7" t="s">
        <v>25</v>
      </c>
      <c r="E1199" s="13" t="s">
        <v>33</v>
      </c>
      <c r="F1199" s="16">
        <v>83.766957300000001</v>
      </c>
      <c r="G1199" s="129">
        <v>1918.4816900000001</v>
      </c>
      <c r="H1199" s="22">
        <v>0</v>
      </c>
      <c r="I1199" s="19"/>
      <c r="J1199" s="7" t="s">
        <v>21</v>
      </c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</row>
    <row r="1200" spans="1:20" x14ac:dyDescent="0.2">
      <c r="A1200">
        <v>761</v>
      </c>
      <c r="B1200" s="8">
        <v>46214</v>
      </c>
      <c r="C1200" s="9">
        <v>0.52724537037037034</v>
      </c>
      <c r="D1200" s="7" t="s">
        <v>25</v>
      </c>
      <c r="E1200" s="13" t="s">
        <v>33</v>
      </c>
      <c r="F1200" s="16">
        <v>81.988392599999997</v>
      </c>
      <c r="G1200" s="129">
        <v>1842.61438</v>
      </c>
      <c r="H1200" s="22">
        <v>0</v>
      </c>
      <c r="I1200" s="19"/>
      <c r="J1200" s="7" t="s">
        <v>21</v>
      </c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</row>
    <row r="1201" spans="1:20" x14ac:dyDescent="0.2">
      <c r="A1201">
        <v>762</v>
      </c>
      <c r="B1201" s="8">
        <v>46214</v>
      </c>
      <c r="C1201" s="9">
        <v>0.52743055555555551</v>
      </c>
      <c r="D1201" s="7" t="s">
        <v>25</v>
      </c>
      <c r="E1201" s="13" t="s">
        <v>37</v>
      </c>
      <c r="F1201" s="16">
        <v>69.363802000000007</v>
      </c>
      <c r="G1201" s="129">
        <v>2066.8046899999999</v>
      </c>
      <c r="H1201" s="22">
        <v>1</v>
      </c>
      <c r="I1201" s="19"/>
      <c r="J1201" s="7" t="s">
        <v>21</v>
      </c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</row>
    <row r="1202" spans="1:20" x14ac:dyDescent="0.2">
      <c r="A1202">
        <v>763</v>
      </c>
      <c r="B1202" s="8">
        <v>46214</v>
      </c>
      <c r="C1202" s="9">
        <v>0.52761574074074069</v>
      </c>
      <c r="D1202" s="7" t="s">
        <v>25</v>
      </c>
      <c r="E1202" s="13" t="s">
        <v>37</v>
      </c>
      <c r="F1202" s="16">
        <v>71.999884100000003</v>
      </c>
      <c r="G1202" s="129">
        <v>2141.1616199999999</v>
      </c>
      <c r="H1202" s="22">
        <v>0</v>
      </c>
      <c r="I1202" s="19" t="s">
        <v>48</v>
      </c>
      <c r="J1202" s="7" t="s">
        <v>21</v>
      </c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</row>
    <row r="1203" spans="1:20" x14ac:dyDescent="0.2">
      <c r="A1203">
        <v>764</v>
      </c>
      <c r="B1203" s="8">
        <v>46214</v>
      </c>
      <c r="C1203" s="9">
        <v>0.52785879629629628</v>
      </c>
      <c r="D1203" s="7" t="s">
        <v>25</v>
      </c>
      <c r="E1203" s="13" t="s">
        <v>33</v>
      </c>
      <c r="F1203" s="16">
        <v>83.004717799999995</v>
      </c>
      <c r="G1203" s="129">
        <v>1815.1254899999999</v>
      </c>
      <c r="H1203" s="22">
        <v>0</v>
      </c>
      <c r="I1203" s="19"/>
      <c r="J1203" s="7" t="s">
        <v>21</v>
      </c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</row>
    <row r="1204" spans="1:20" x14ac:dyDescent="0.2">
      <c r="A1204">
        <v>776</v>
      </c>
      <c r="B1204" s="8">
        <v>46214</v>
      </c>
      <c r="C1204" s="9">
        <v>0.5364930555555556</v>
      </c>
      <c r="D1204" s="7" t="s">
        <v>25</v>
      </c>
      <c r="E1204" s="13" t="s">
        <v>33</v>
      </c>
      <c r="F1204" s="16">
        <v>82.623597799999999</v>
      </c>
      <c r="G1204" s="129">
        <v>1947.26917</v>
      </c>
      <c r="H1204" s="22">
        <v>1</v>
      </c>
      <c r="I1204" s="19" t="s">
        <v>40</v>
      </c>
      <c r="J1204" s="7" t="s">
        <v>21</v>
      </c>
      <c r="K1204" s="16">
        <v>88.172503699999993</v>
      </c>
      <c r="L1204" s="16">
        <v>24.320169400000001</v>
      </c>
      <c r="M1204" s="16">
        <v>-23.256710000000002</v>
      </c>
      <c r="N1204" s="16">
        <v>68.741951</v>
      </c>
      <c r="O1204" s="16">
        <v>3911.7656200000001</v>
      </c>
      <c r="P1204" s="16">
        <v>282</v>
      </c>
      <c r="Q1204" s="16">
        <v>1.28265929</v>
      </c>
      <c r="R1204" s="16">
        <v>1.59678209</v>
      </c>
      <c r="S1204" s="16">
        <v>109.765911</v>
      </c>
      <c r="T1204" s="16">
        <v>0.80327766</v>
      </c>
    </row>
    <row r="1205" spans="1:20" x14ac:dyDescent="0.2">
      <c r="A1205">
        <v>913</v>
      </c>
      <c r="B1205" s="8">
        <v>46221</v>
      </c>
      <c r="C1205" s="9">
        <v>0.43579861111111112</v>
      </c>
      <c r="D1205" s="7" t="s">
        <v>24</v>
      </c>
      <c r="E1205" s="13" t="s">
        <v>33</v>
      </c>
      <c r="F1205" s="16">
        <v>81.877238599999998</v>
      </c>
      <c r="G1205" s="129">
        <v>2134.7727100000002</v>
      </c>
      <c r="H1205" s="22">
        <v>1</v>
      </c>
      <c r="I1205" s="19"/>
      <c r="J1205" s="7" t="s">
        <v>21</v>
      </c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</row>
    <row r="1206" spans="1:20" x14ac:dyDescent="0.2">
      <c r="A1206">
        <v>914</v>
      </c>
      <c r="B1206" s="8">
        <v>46221</v>
      </c>
      <c r="C1206" s="9">
        <v>0.43596064814814817</v>
      </c>
      <c r="D1206" s="7" t="s">
        <v>24</v>
      </c>
      <c r="E1206" s="13" t="s">
        <v>33</v>
      </c>
      <c r="F1206" s="16">
        <v>82.305991000000006</v>
      </c>
      <c r="G1206" s="129">
        <v>2192.06909</v>
      </c>
      <c r="H1206" s="22">
        <v>0</v>
      </c>
      <c r="I1206" s="19"/>
      <c r="J1206" s="7" t="s">
        <v>21</v>
      </c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</row>
    <row r="1207" spans="1:20" x14ac:dyDescent="0.2">
      <c r="A1207">
        <v>915</v>
      </c>
      <c r="B1207" s="8">
        <v>46221</v>
      </c>
      <c r="C1207" s="9">
        <v>0.43619212962962961</v>
      </c>
      <c r="D1207" s="7" t="s">
        <v>24</v>
      </c>
      <c r="E1207" s="13" t="s">
        <v>49</v>
      </c>
      <c r="F1207" s="16">
        <v>65.663762000000006</v>
      </c>
      <c r="G1207" s="129">
        <v>2032.0752</v>
      </c>
      <c r="H1207" s="22">
        <v>1</v>
      </c>
      <c r="I1207" s="19" t="s">
        <v>39</v>
      </c>
      <c r="J1207" s="7" t="s">
        <v>21</v>
      </c>
      <c r="K1207" s="16"/>
      <c r="L1207" s="16"/>
      <c r="M1207" s="16"/>
      <c r="N1207" s="16">
        <v>63.716136800000001</v>
      </c>
      <c r="O1207" s="16"/>
      <c r="P1207" s="16"/>
      <c r="Q1207" s="16"/>
      <c r="R1207" s="16"/>
      <c r="S1207" s="16"/>
      <c r="T1207" s="16"/>
    </row>
    <row r="1208" spans="1:20" x14ac:dyDescent="0.2">
      <c r="A1208">
        <v>916</v>
      </c>
      <c r="B1208" s="8">
        <v>46221</v>
      </c>
      <c r="C1208" s="9">
        <v>0.43641203703703701</v>
      </c>
      <c r="D1208" s="7" t="s">
        <v>24</v>
      </c>
      <c r="E1208" s="13" t="s">
        <v>37</v>
      </c>
      <c r="F1208" s="16">
        <v>68.093404000000007</v>
      </c>
      <c r="G1208" s="129">
        <v>2131.6965300000002</v>
      </c>
      <c r="H1208" s="22">
        <v>1</v>
      </c>
      <c r="I1208" s="19" t="s">
        <v>45</v>
      </c>
      <c r="J1208" s="7" t="s">
        <v>21</v>
      </c>
      <c r="K1208" s="16"/>
      <c r="L1208" s="16"/>
      <c r="M1208" s="16"/>
      <c r="N1208" s="16">
        <v>64.500682100000006</v>
      </c>
      <c r="O1208" s="16"/>
      <c r="P1208" s="16"/>
      <c r="Q1208" s="16"/>
      <c r="R1208" s="16"/>
      <c r="S1208" s="16"/>
      <c r="T1208" s="16"/>
    </row>
    <row r="1209" spans="1:20" x14ac:dyDescent="0.2">
      <c r="A1209">
        <v>940</v>
      </c>
      <c r="B1209" s="8">
        <v>46221</v>
      </c>
      <c r="C1209" s="9">
        <v>0.44438657407407406</v>
      </c>
      <c r="D1209" s="7" t="s">
        <v>18</v>
      </c>
      <c r="E1209" s="13" t="s">
        <v>35</v>
      </c>
      <c r="F1209" s="16">
        <v>78.193074800000005</v>
      </c>
      <c r="G1209" s="129">
        <v>1472.59644</v>
      </c>
      <c r="H1209" s="22">
        <v>1</v>
      </c>
      <c r="I1209" s="19" t="s">
        <v>40</v>
      </c>
      <c r="J1209" s="7" t="s">
        <v>21</v>
      </c>
      <c r="K1209" s="16">
        <v>57.429972399999997</v>
      </c>
      <c r="L1209" s="16">
        <v>16.852937699999998</v>
      </c>
      <c r="M1209" s="16">
        <v>-15.103125</v>
      </c>
      <c r="N1209" s="16">
        <v>67.134507400000004</v>
      </c>
      <c r="O1209" s="16"/>
      <c r="P1209" s="16"/>
      <c r="Q1209" s="16">
        <v>0.85544640000000005</v>
      </c>
      <c r="R1209" s="16">
        <v>1.58534408</v>
      </c>
      <c r="S1209" s="16">
        <v>106.43129399999999</v>
      </c>
      <c r="T1209" s="16">
        <v>0.53959667</v>
      </c>
    </row>
    <row r="1210" spans="1:20" x14ac:dyDescent="0.2">
      <c r="A1210">
        <v>959</v>
      </c>
      <c r="B1210" s="8">
        <v>46221</v>
      </c>
      <c r="C1210" s="9">
        <v>0.45266203703703706</v>
      </c>
      <c r="D1210" s="7" t="s">
        <v>24</v>
      </c>
      <c r="E1210" s="13" t="s">
        <v>37</v>
      </c>
      <c r="F1210" s="16">
        <v>70.824759700000001</v>
      </c>
      <c r="G1210" s="129">
        <v>2347.71533</v>
      </c>
      <c r="H1210" s="22">
        <v>0</v>
      </c>
      <c r="I1210" s="19"/>
      <c r="J1210" s="7" t="s">
        <v>21</v>
      </c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</row>
    <row r="1211" spans="1:20" x14ac:dyDescent="0.2">
      <c r="A1211">
        <v>960</v>
      </c>
      <c r="B1211" s="8">
        <v>46221</v>
      </c>
      <c r="C1211" s="9">
        <v>0.45287037037037037</v>
      </c>
      <c r="D1211" s="7" t="s">
        <v>24</v>
      </c>
      <c r="E1211" s="13" t="s">
        <v>37</v>
      </c>
      <c r="F1211" s="16">
        <v>70.634199800000005</v>
      </c>
      <c r="G1211" s="129">
        <v>2309.8674299999998</v>
      </c>
      <c r="H1211" s="22">
        <v>0</v>
      </c>
      <c r="I1211" s="19"/>
      <c r="J1211" s="7" t="s">
        <v>21</v>
      </c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</row>
    <row r="1212" spans="1:20" x14ac:dyDescent="0.2">
      <c r="A1212">
        <v>961</v>
      </c>
      <c r="B1212" s="8">
        <v>46221</v>
      </c>
      <c r="C1212" s="9">
        <v>0.45311342592592591</v>
      </c>
      <c r="D1212" s="7" t="s">
        <v>24</v>
      </c>
      <c r="E1212" s="13" t="s">
        <v>33</v>
      </c>
      <c r="F1212" s="16">
        <v>82.194837199999995</v>
      </c>
      <c r="G1212" s="129">
        <v>2207.2307099999998</v>
      </c>
      <c r="H1212" s="22">
        <v>0</v>
      </c>
      <c r="I1212" s="19"/>
      <c r="J1212" s="7" t="s">
        <v>21</v>
      </c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</row>
    <row r="1213" spans="1:20" x14ac:dyDescent="0.2">
      <c r="A1213">
        <v>962</v>
      </c>
      <c r="B1213" s="8">
        <v>46221</v>
      </c>
      <c r="C1213" s="9">
        <v>0.45340277777777777</v>
      </c>
      <c r="D1213" s="7" t="s">
        <v>24</v>
      </c>
      <c r="E1213" s="13" t="s">
        <v>33</v>
      </c>
      <c r="F1213" s="16">
        <v>81.797836899999993</v>
      </c>
      <c r="G1213" s="129">
        <v>2200.3757300000002</v>
      </c>
      <c r="H1213" s="22">
        <v>0</v>
      </c>
      <c r="I1213" s="19" t="s">
        <v>48</v>
      </c>
      <c r="J1213" s="7" t="s">
        <v>21</v>
      </c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</row>
    <row r="1214" spans="1:20" x14ac:dyDescent="0.2">
      <c r="A1214">
        <v>963</v>
      </c>
      <c r="B1214" s="8">
        <v>46221</v>
      </c>
      <c r="C1214" s="9">
        <v>0.45364583333333336</v>
      </c>
      <c r="D1214" s="7" t="s">
        <v>24</v>
      </c>
      <c r="E1214" s="13" t="s">
        <v>33</v>
      </c>
      <c r="F1214" s="16">
        <v>81.7501958</v>
      </c>
      <c r="G1214" s="129">
        <v>2138.9467800000002</v>
      </c>
      <c r="H1214" s="22">
        <v>0</v>
      </c>
      <c r="I1214" s="19"/>
      <c r="J1214" s="7" t="s">
        <v>21</v>
      </c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</row>
    <row r="1215" spans="1:20" x14ac:dyDescent="0.2">
      <c r="A1215">
        <v>1006</v>
      </c>
      <c r="B1215" s="8">
        <v>46221</v>
      </c>
      <c r="C1215" s="9">
        <v>0.47091435185185188</v>
      </c>
      <c r="D1215" s="7" t="s">
        <v>18</v>
      </c>
      <c r="E1215" s="13" t="s">
        <v>33</v>
      </c>
      <c r="F1215" s="16">
        <v>83.068230700000001</v>
      </c>
      <c r="G1215" s="129">
        <v>2146.9565400000001</v>
      </c>
      <c r="H1215" s="22">
        <v>0</v>
      </c>
      <c r="I1215" s="19"/>
      <c r="J1215" s="7" t="s">
        <v>21</v>
      </c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</row>
    <row r="1216" spans="1:20" x14ac:dyDescent="0.2">
      <c r="A1216">
        <v>1007</v>
      </c>
      <c r="B1216" s="8">
        <v>46221</v>
      </c>
      <c r="C1216" s="9">
        <v>0.47108796296296296</v>
      </c>
      <c r="D1216" s="7" t="s">
        <v>18</v>
      </c>
      <c r="E1216" s="13" t="s">
        <v>36</v>
      </c>
      <c r="F1216" s="16">
        <v>79.145878600000003</v>
      </c>
      <c r="G1216" s="129">
        <v>1562.56519</v>
      </c>
      <c r="H1216" s="22">
        <v>0</v>
      </c>
      <c r="I1216" s="19"/>
      <c r="J1216" s="7" t="s">
        <v>21</v>
      </c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</row>
    <row r="1217" spans="1:20" x14ac:dyDescent="0.2">
      <c r="A1217">
        <v>1008</v>
      </c>
      <c r="B1217" s="8">
        <v>46221</v>
      </c>
      <c r="C1217" s="9">
        <v>0.47128472222222223</v>
      </c>
      <c r="D1217" s="7" t="s">
        <v>18</v>
      </c>
      <c r="E1217" s="13" t="s">
        <v>33</v>
      </c>
      <c r="F1217" s="16">
        <v>83.576393199999998</v>
      </c>
      <c r="G1217" s="129">
        <v>2207.6308600000002</v>
      </c>
      <c r="H1217" s="22">
        <v>0</v>
      </c>
      <c r="I1217" s="19"/>
      <c r="J1217" s="7" t="s">
        <v>21</v>
      </c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</row>
    <row r="1218" spans="1:20" x14ac:dyDescent="0.2">
      <c r="A1218">
        <v>1009</v>
      </c>
      <c r="B1218" s="8">
        <v>46221</v>
      </c>
      <c r="C1218" s="9">
        <v>0.47153935185185186</v>
      </c>
      <c r="D1218" s="7" t="s">
        <v>18</v>
      </c>
      <c r="E1218" s="13" t="s">
        <v>33</v>
      </c>
      <c r="F1218" s="16">
        <v>82.512435499999995</v>
      </c>
      <c r="G1218" s="129">
        <v>1020.05554</v>
      </c>
      <c r="H1218" s="22">
        <v>1</v>
      </c>
      <c r="I1218" s="19" t="s">
        <v>39</v>
      </c>
      <c r="J1218" s="7" t="s">
        <v>21</v>
      </c>
      <c r="K1218" s="16"/>
      <c r="L1218" s="16"/>
      <c r="M1218" s="16"/>
      <c r="N1218" s="16">
        <v>66.013731100000001</v>
      </c>
      <c r="O1218" s="16"/>
      <c r="P1218" s="16"/>
      <c r="Q1218" s="16"/>
      <c r="R1218" s="16"/>
      <c r="S1218" s="16"/>
      <c r="T1218" s="16"/>
    </row>
    <row r="1219" spans="1:20" x14ac:dyDescent="0.2">
      <c r="A1219">
        <v>1010</v>
      </c>
      <c r="B1219" s="8">
        <v>46221</v>
      </c>
      <c r="C1219" s="9">
        <v>0.47175925925925927</v>
      </c>
      <c r="D1219" s="7" t="s">
        <v>18</v>
      </c>
      <c r="E1219" s="13" t="s">
        <v>33</v>
      </c>
      <c r="F1219" s="16">
        <v>81.877238599999998</v>
      </c>
      <c r="G1219" s="129">
        <v>2025.3267800000001</v>
      </c>
      <c r="H1219" s="22">
        <v>1</v>
      </c>
      <c r="I1219" s="19" t="s">
        <v>38</v>
      </c>
      <c r="J1219" s="7" t="s">
        <v>21</v>
      </c>
      <c r="K1219" s="16"/>
      <c r="L1219" s="16"/>
      <c r="M1219" s="16"/>
      <c r="N1219" s="16">
        <v>62.763477799999997</v>
      </c>
      <c r="O1219" s="16"/>
      <c r="P1219" s="16"/>
      <c r="Q1219" s="16"/>
      <c r="R1219" s="16"/>
      <c r="S1219" s="16"/>
      <c r="T1219" s="16"/>
    </row>
    <row r="1220" spans="1:20" x14ac:dyDescent="0.2">
      <c r="A1220">
        <v>1011</v>
      </c>
      <c r="B1220" s="8">
        <v>46221</v>
      </c>
      <c r="C1220" s="9">
        <v>0.47200231481481481</v>
      </c>
      <c r="D1220" s="7" t="s">
        <v>18</v>
      </c>
      <c r="E1220" s="13" t="s">
        <v>33</v>
      </c>
      <c r="F1220" s="16">
        <v>84.735633000000007</v>
      </c>
      <c r="G1220" s="129">
        <v>2124.4226100000001</v>
      </c>
      <c r="H1220" s="22">
        <v>1</v>
      </c>
      <c r="I1220" s="19" t="s">
        <v>40</v>
      </c>
      <c r="J1220" s="7" t="s">
        <v>21</v>
      </c>
      <c r="K1220" s="16">
        <v>80.738308000000004</v>
      </c>
      <c r="L1220" s="16">
        <v>25.7418385</v>
      </c>
      <c r="M1220" s="16">
        <v>-1.9946839999999999</v>
      </c>
      <c r="N1220" s="16">
        <v>66.854310100000006</v>
      </c>
      <c r="O1220" s="16">
        <v>2990.1254899999999</v>
      </c>
      <c r="P1220" s="16">
        <v>251</v>
      </c>
      <c r="Q1220" s="16">
        <v>1.2076754599999999</v>
      </c>
      <c r="R1220" s="16">
        <v>1.6184715000000001</v>
      </c>
      <c r="S1220" s="16">
        <v>108.201795</v>
      </c>
      <c r="T1220" s="16">
        <v>0.74618271000000003</v>
      </c>
    </row>
    <row r="1221" spans="1:20" x14ac:dyDescent="0.2">
      <c r="A1221">
        <v>1025</v>
      </c>
      <c r="B1221" s="8">
        <v>46221</v>
      </c>
      <c r="C1221" s="9">
        <v>0.47895833333333332</v>
      </c>
      <c r="D1221" s="7" t="s">
        <v>27</v>
      </c>
      <c r="E1221" s="13" t="s">
        <v>33</v>
      </c>
      <c r="F1221" s="16">
        <v>76.716236600000002</v>
      </c>
      <c r="G1221" s="129">
        <v>1869.26208</v>
      </c>
      <c r="H1221" s="22"/>
      <c r="I1221" s="19"/>
      <c r="J1221" s="7" t="s">
        <v>21</v>
      </c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</row>
    <row r="1222" spans="1:20" x14ac:dyDescent="0.2">
      <c r="A1222">
        <v>1026</v>
      </c>
      <c r="B1222" s="8">
        <v>46221</v>
      </c>
      <c r="C1222" s="9">
        <v>0.47917824074074072</v>
      </c>
      <c r="D1222" s="7" t="s">
        <v>27</v>
      </c>
      <c r="E1222" s="13" t="s">
        <v>33</v>
      </c>
      <c r="F1222" s="16">
        <v>77.875476399999997</v>
      </c>
      <c r="G1222" s="129">
        <v>2120.32764</v>
      </c>
      <c r="H1222" s="22"/>
      <c r="I1222" s="19"/>
      <c r="J1222" s="7" t="s">
        <v>21</v>
      </c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</row>
    <row r="1223" spans="1:20" s="115" customFormat="1" ht="17" thickBot="1" x14ac:dyDescent="0.25">
      <c r="A1223">
        <v>1027</v>
      </c>
      <c r="B1223" s="123">
        <v>46221</v>
      </c>
      <c r="C1223" s="124">
        <v>0.479375</v>
      </c>
      <c r="D1223" s="122" t="s">
        <v>27</v>
      </c>
      <c r="E1223" s="125" t="s">
        <v>33</v>
      </c>
      <c r="F1223" s="126">
        <v>76.525681000000006</v>
      </c>
      <c r="G1223" s="132">
        <v>1023.45502</v>
      </c>
      <c r="H1223" s="128"/>
      <c r="I1223" s="127"/>
      <c r="J1223" s="122" t="s">
        <v>21</v>
      </c>
      <c r="K1223" s="126"/>
      <c r="L1223" s="126"/>
      <c r="M1223" s="126"/>
      <c r="N1223" s="126"/>
      <c r="O1223" s="126"/>
      <c r="P1223" s="126"/>
      <c r="Q1223" s="126"/>
      <c r="R1223" s="126"/>
      <c r="S1223" s="126"/>
      <c r="T1223" s="126"/>
    </row>
    <row r="1224" spans="1:20" x14ac:dyDescent="0.2">
      <c r="A1224">
        <v>1028</v>
      </c>
      <c r="B1224" s="8">
        <v>46221</v>
      </c>
      <c r="C1224" s="9">
        <v>0.4795949074074074</v>
      </c>
      <c r="D1224" s="7" t="s">
        <v>27</v>
      </c>
      <c r="E1224" s="13" t="s">
        <v>33</v>
      </c>
      <c r="F1224" s="16">
        <v>77.748433599999998</v>
      </c>
      <c r="G1224" s="129">
        <v>1051.4534900000001</v>
      </c>
      <c r="H1224" s="22"/>
      <c r="I1224" s="19" t="s">
        <v>40</v>
      </c>
      <c r="J1224" s="7" t="s">
        <v>21</v>
      </c>
      <c r="K1224" s="16">
        <v>79.979780199999993</v>
      </c>
      <c r="L1224" s="16">
        <v>10.284514400000001</v>
      </c>
      <c r="M1224" s="16">
        <v>1.83484852</v>
      </c>
      <c r="N1224" s="16">
        <v>70.552874000000003</v>
      </c>
      <c r="O1224" s="16">
        <v>907.22051999999996</v>
      </c>
      <c r="P1224" s="16">
        <v>148</v>
      </c>
      <c r="Q1224" s="16">
        <v>1.13361478</v>
      </c>
      <c r="R1224" s="16">
        <v>1.56007195</v>
      </c>
      <c r="S1224" s="16">
        <v>110.067561</v>
      </c>
      <c r="T1224" s="16">
        <v>0.72664260999999997</v>
      </c>
    </row>
    <row r="1225" spans="1:20" x14ac:dyDescent="0.2">
      <c r="A1225">
        <v>1090</v>
      </c>
      <c r="B1225" s="1">
        <v>46224</v>
      </c>
      <c r="C1225" s="2">
        <v>0.74563657407407402</v>
      </c>
      <c r="D1225" t="s">
        <v>28</v>
      </c>
      <c r="E1225" s="10" t="s">
        <v>37</v>
      </c>
      <c r="F1225" s="11">
        <v>69.763729036000001</v>
      </c>
      <c r="G1225" s="4">
        <v>2379.6916500000002</v>
      </c>
      <c r="H1225" s="20">
        <v>0</v>
      </c>
      <c r="J1225" t="s">
        <v>21</v>
      </c>
    </row>
    <row r="1226" spans="1:20" x14ac:dyDescent="0.2">
      <c r="A1226">
        <v>1091</v>
      </c>
      <c r="B1226" s="1">
        <v>46224</v>
      </c>
      <c r="C1226" s="2">
        <v>0.74584490740740739</v>
      </c>
      <c r="D1226" t="s">
        <v>28</v>
      </c>
      <c r="E1226" s="10" t="s">
        <v>37</v>
      </c>
      <c r="F1226" s="11">
        <v>72.512330367999994</v>
      </c>
      <c r="G1226" s="4">
        <v>2323.2102100000002</v>
      </c>
      <c r="H1226" s="20">
        <v>0</v>
      </c>
      <c r="J1226" t="s">
        <v>21</v>
      </c>
    </row>
    <row r="1227" spans="1:20" x14ac:dyDescent="0.2">
      <c r="A1227">
        <v>1092</v>
      </c>
      <c r="B1227" s="1">
        <v>46224</v>
      </c>
      <c r="C1227" s="2">
        <v>0.74605324074074075</v>
      </c>
      <c r="D1227" t="s">
        <v>28</v>
      </c>
      <c r="E1227" s="10" t="s">
        <v>33</v>
      </c>
      <c r="F1227" s="11">
        <v>77.501131837000003</v>
      </c>
      <c r="G1227" s="4">
        <v>1983.82251</v>
      </c>
      <c r="H1227" s="20">
        <v>1</v>
      </c>
      <c r="I1227" s="17" t="s">
        <v>38</v>
      </c>
      <c r="J1227" t="s">
        <v>21</v>
      </c>
      <c r="N1227" s="11">
        <v>67.243212185000004</v>
      </c>
    </row>
    <row r="1228" spans="1:20" x14ac:dyDescent="0.2">
      <c r="A1228">
        <v>1093</v>
      </c>
      <c r="B1228" s="1">
        <v>46224</v>
      </c>
      <c r="C1228" s="2">
        <v>0.74641203703703707</v>
      </c>
      <c r="D1228" t="s">
        <v>28</v>
      </c>
      <c r="E1228" s="10" t="s">
        <v>33</v>
      </c>
      <c r="F1228" s="11">
        <v>74.355329635000004</v>
      </c>
      <c r="G1228" s="4">
        <v>1865.9538600000001</v>
      </c>
      <c r="H1228" s="20">
        <v>1</v>
      </c>
      <c r="I1228" s="17" t="s">
        <v>38</v>
      </c>
      <c r="J1228" t="s">
        <v>21</v>
      </c>
      <c r="K1228" s="11">
        <v>54.744857965000001</v>
      </c>
      <c r="L1228" s="11">
        <v>61.834911300000002</v>
      </c>
      <c r="M1228" s="11">
        <v>-32.1774597</v>
      </c>
      <c r="N1228" s="11">
        <v>68.373349386000001</v>
      </c>
      <c r="P1228" s="11">
        <v>136</v>
      </c>
      <c r="Q1228" s="11">
        <v>0.80067539200000004</v>
      </c>
      <c r="R1228" s="11">
        <v>1.5676497199999999</v>
      </c>
      <c r="S1228" s="11">
        <v>107.185461355</v>
      </c>
      <c r="T1228" s="11">
        <v>0.51074890099999903</v>
      </c>
    </row>
    <row r="1229" spans="1:20" x14ac:dyDescent="0.2">
      <c r="A1229">
        <v>1094</v>
      </c>
      <c r="B1229" s="1">
        <v>46224</v>
      </c>
      <c r="C1229" s="2">
        <v>0.7468055555555555</v>
      </c>
      <c r="D1229" t="s">
        <v>28</v>
      </c>
      <c r="E1229" s="10" t="s">
        <v>33</v>
      </c>
      <c r="F1229" s="11">
        <v>74.021680341000007</v>
      </c>
      <c r="G1229" s="4">
        <v>1830.61096</v>
      </c>
      <c r="H1229" s="20">
        <v>1</v>
      </c>
      <c r="I1229" s="17" t="s">
        <v>40</v>
      </c>
      <c r="J1229" t="s">
        <v>21</v>
      </c>
      <c r="K1229" s="11">
        <v>82.741731994000006</v>
      </c>
      <c r="L1229" s="11">
        <v>25.244392399999999</v>
      </c>
      <c r="M1229" s="11">
        <v>7.8295335799999997</v>
      </c>
      <c r="N1229" s="11">
        <v>61.309986627000001</v>
      </c>
      <c r="O1229" s="11">
        <v>3786.2487799999999</v>
      </c>
      <c r="Q1229" s="11">
        <v>1.3495637199999999</v>
      </c>
      <c r="R1229" s="11">
        <v>1.6108374599999999</v>
      </c>
      <c r="S1229" s="11">
        <v>98.760429123999998</v>
      </c>
      <c r="T1229" s="11">
        <v>0.83780250499999998</v>
      </c>
    </row>
    <row r="1230" spans="1:20" x14ac:dyDescent="0.2">
      <c r="A1230">
        <v>1127</v>
      </c>
      <c r="B1230" s="1">
        <v>46224</v>
      </c>
      <c r="C1230" s="2">
        <v>0.7605439814814815</v>
      </c>
      <c r="D1230" t="s">
        <v>28</v>
      </c>
      <c r="E1230" s="10" t="s">
        <v>33</v>
      </c>
      <c r="F1230" s="11">
        <v>75.626354880999997</v>
      </c>
      <c r="G1230" s="4">
        <v>1957.5167200000001</v>
      </c>
      <c r="H1230" s="20">
        <v>0</v>
      </c>
      <c r="J1230" t="s">
        <v>21</v>
      </c>
    </row>
    <row r="1231" spans="1:20" x14ac:dyDescent="0.2">
      <c r="A1231">
        <v>1128</v>
      </c>
      <c r="B1231" s="1">
        <v>46224</v>
      </c>
      <c r="C1231" s="2">
        <v>0.76075231481481487</v>
      </c>
      <c r="D1231" t="s">
        <v>28</v>
      </c>
      <c r="E1231" s="10" t="s">
        <v>35</v>
      </c>
      <c r="F1231" s="11">
        <v>70.859993433</v>
      </c>
      <c r="G1231" s="4">
        <v>1561.89429</v>
      </c>
      <c r="H1231" s="20">
        <v>1</v>
      </c>
      <c r="I1231" s="17" t="s">
        <v>39</v>
      </c>
      <c r="J1231" t="s">
        <v>21</v>
      </c>
      <c r="N1231" s="11">
        <v>62.779166373999999</v>
      </c>
    </row>
    <row r="1232" spans="1:20" x14ac:dyDescent="0.2">
      <c r="A1232">
        <v>1129</v>
      </c>
      <c r="B1232" s="1">
        <v>46224</v>
      </c>
      <c r="C1232" s="2">
        <v>0.7610069444444445</v>
      </c>
      <c r="D1232" t="s">
        <v>28</v>
      </c>
      <c r="E1232" s="10" t="s">
        <v>37</v>
      </c>
      <c r="F1232" s="11">
        <v>70.272138955000003</v>
      </c>
      <c r="G1232" s="4">
        <v>2288.7177700000002</v>
      </c>
      <c r="H1232" s="20">
        <v>0</v>
      </c>
      <c r="J1232" t="s">
        <v>21</v>
      </c>
    </row>
    <row r="1233" spans="1:22" x14ac:dyDescent="0.2">
      <c r="A1233">
        <v>1130</v>
      </c>
      <c r="B1233" s="1">
        <v>46224</v>
      </c>
      <c r="C1233" s="2">
        <v>0.76124999999999998</v>
      </c>
      <c r="D1233" t="s">
        <v>28</v>
      </c>
      <c r="E1233" s="10" t="s">
        <v>35</v>
      </c>
      <c r="F1233" s="11">
        <v>72.448783489999997</v>
      </c>
      <c r="G1233" s="4">
        <v>1505.1959199999999</v>
      </c>
      <c r="H1233" s="20">
        <v>0</v>
      </c>
      <c r="J1233" t="s">
        <v>21</v>
      </c>
    </row>
    <row r="1234" spans="1:22" x14ac:dyDescent="0.2">
      <c r="A1234">
        <v>1131</v>
      </c>
      <c r="B1234" s="1">
        <v>46224</v>
      </c>
      <c r="C1234" s="2">
        <v>0.76146990740740739</v>
      </c>
      <c r="D1234" t="s">
        <v>28</v>
      </c>
      <c r="E1234" s="10" t="s">
        <v>37</v>
      </c>
      <c r="F1234" s="11">
        <v>69.080549767999997</v>
      </c>
      <c r="G1234" s="4">
        <v>773.64794900000004</v>
      </c>
      <c r="H1234" s="20">
        <v>1</v>
      </c>
      <c r="I1234" s="17" t="s">
        <v>39</v>
      </c>
      <c r="J1234" t="s">
        <v>21</v>
      </c>
      <c r="N1234" s="11">
        <v>64.191838880999995</v>
      </c>
    </row>
    <row r="1235" spans="1:22" x14ac:dyDescent="0.2">
      <c r="A1235">
        <v>1132</v>
      </c>
      <c r="B1235" s="1">
        <v>46224</v>
      </c>
      <c r="C1235" s="2">
        <v>0.76174768518518521</v>
      </c>
      <c r="D1235" t="s">
        <v>28</v>
      </c>
      <c r="E1235" s="10" t="s">
        <v>37</v>
      </c>
      <c r="F1235" s="11">
        <v>72.639433072000003</v>
      </c>
      <c r="G1235" s="4">
        <v>2369.8740200000002</v>
      </c>
      <c r="H1235" s="20">
        <v>0</v>
      </c>
      <c r="I1235" s="17" t="s">
        <v>48</v>
      </c>
      <c r="J1235" t="s">
        <v>21</v>
      </c>
    </row>
    <row r="1236" spans="1:22" x14ac:dyDescent="0.2">
      <c r="A1236">
        <v>1133</v>
      </c>
      <c r="B1236" s="1">
        <v>46224</v>
      </c>
      <c r="C1236" s="2">
        <v>0.76194444444444442</v>
      </c>
      <c r="D1236" t="s">
        <v>28</v>
      </c>
      <c r="E1236" s="10" t="s">
        <v>33</v>
      </c>
      <c r="F1236" s="11">
        <v>75.483371945000002</v>
      </c>
      <c r="G1236" s="4">
        <v>1992.76782</v>
      </c>
      <c r="H1236" s="20">
        <v>0</v>
      </c>
      <c r="J1236" t="s">
        <v>21</v>
      </c>
    </row>
    <row r="1237" spans="1:22" x14ac:dyDescent="0.2">
      <c r="A1237">
        <v>1169</v>
      </c>
      <c r="B1237" s="1">
        <v>46224</v>
      </c>
      <c r="C1237" s="2">
        <v>0.77520833333333339</v>
      </c>
      <c r="D1237" t="s">
        <v>25</v>
      </c>
      <c r="E1237" s="10" t="s">
        <v>35</v>
      </c>
      <c r="F1237" s="11">
        <v>74.339440902999996</v>
      </c>
      <c r="G1237" s="4">
        <v>1762.2447500000001</v>
      </c>
      <c r="H1237" s="20">
        <v>0</v>
      </c>
      <c r="J1237" t="s">
        <v>21</v>
      </c>
    </row>
    <row r="1238" spans="1:22" x14ac:dyDescent="0.2">
      <c r="A1238">
        <v>1170</v>
      </c>
      <c r="B1238" s="1">
        <v>46224</v>
      </c>
      <c r="C1238" s="2">
        <v>0.7754861111111111</v>
      </c>
      <c r="D1238" t="s">
        <v>25</v>
      </c>
      <c r="E1238" s="10" t="s">
        <v>33</v>
      </c>
      <c r="F1238" s="11">
        <v>84.777787114999995</v>
      </c>
      <c r="G1238" s="4">
        <v>1856.5186799999999</v>
      </c>
      <c r="H1238" s="20">
        <v>0</v>
      </c>
      <c r="J1238" t="s">
        <v>21</v>
      </c>
    </row>
    <row r="1239" spans="1:22" x14ac:dyDescent="0.2">
      <c r="A1239">
        <v>1171</v>
      </c>
      <c r="B1239" s="1">
        <v>46224</v>
      </c>
      <c r="C1239" s="2">
        <v>0.775787037037037</v>
      </c>
      <c r="D1239" t="s">
        <v>25</v>
      </c>
      <c r="E1239" s="10" t="s">
        <v>33</v>
      </c>
      <c r="F1239" s="11">
        <v>83.888061031999996</v>
      </c>
      <c r="G1239" s="4">
        <v>1658.0568800000001</v>
      </c>
      <c r="H1239" s="20">
        <v>1</v>
      </c>
      <c r="I1239" s="17" t="s">
        <v>38</v>
      </c>
      <c r="J1239" t="s">
        <v>21</v>
      </c>
      <c r="K1239" s="11">
        <v>89.587595453000006</v>
      </c>
      <c r="L1239" s="11">
        <v>-9.1893005399999996</v>
      </c>
      <c r="M1239" s="11">
        <v>-28.353788399999999</v>
      </c>
      <c r="N1239" s="11">
        <v>64.982937785000004</v>
      </c>
      <c r="O1239" s="11">
        <v>1227.5595699999999</v>
      </c>
      <c r="P1239" s="11">
        <v>7</v>
      </c>
      <c r="Q1239" s="11">
        <v>1.3786325500000001</v>
      </c>
      <c r="R1239" s="11">
        <v>1.62301111</v>
      </c>
      <c r="S1239" s="11">
        <v>105.468037188</v>
      </c>
      <c r="T1239" s="11">
        <v>0.84942886399999995</v>
      </c>
    </row>
    <row r="1240" spans="1:22" x14ac:dyDescent="0.2">
      <c r="A1240">
        <v>1172</v>
      </c>
      <c r="B1240" s="1">
        <v>46224</v>
      </c>
      <c r="C1240" s="2">
        <v>0.77605324074074078</v>
      </c>
      <c r="D1240" t="s">
        <v>25</v>
      </c>
      <c r="E1240" s="10" t="s">
        <v>37</v>
      </c>
      <c r="F1240" s="11">
        <v>74.657201463999996</v>
      </c>
      <c r="G1240" s="4">
        <v>2227.6381799999999</v>
      </c>
      <c r="H1240" s="20">
        <v>1</v>
      </c>
      <c r="J1240" t="s">
        <v>21</v>
      </c>
    </row>
    <row r="1241" spans="1:22" x14ac:dyDescent="0.2">
      <c r="A1241">
        <v>1173</v>
      </c>
      <c r="B1241" s="1">
        <v>46224</v>
      </c>
      <c r="C1241" s="2">
        <v>0.77658564814814812</v>
      </c>
      <c r="D1241" t="s">
        <v>25</v>
      </c>
      <c r="E1241" s="10" t="s">
        <v>37</v>
      </c>
      <c r="F1241" s="11">
        <v>76.516080963999997</v>
      </c>
      <c r="G1241" s="4">
        <v>2131.8981899999999</v>
      </c>
      <c r="H1241" s="20">
        <v>1</v>
      </c>
      <c r="I1241" s="17" t="s">
        <v>38</v>
      </c>
      <c r="J1241" t="s">
        <v>21</v>
      </c>
      <c r="K1241" s="11">
        <v>78.086716495999994</v>
      </c>
      <c r="L1241" s="11">
        <v>-30.836122499999998</v>
      </c>
      <c r="M1241" s="11">
        <v>42.132991799999999</v>
      </c>
      <c r="N1241" s="11">
        <v>65.434990115000005</v>
      </c>
      <c r="O1241" s="11">
        <v>4434.2831999999999</v>
      </c>
      <c r="Q1241" s="11">
        <v>1.19334805</v>
      </c>
      <c r="R1241" s="11">
        <v>1.59621298</v>
      </c>
      <c r="S1241" s="11">
        <v>104.448179142</v>
      </c>
      <c r="T1241" s="11">
        <v>0.74761200000000005</v>
      </c>
    </row>
    <row r="1242" spans="1:22" x14ac:dyDescent="0.2">
      <c r="A1242">
        <v>1174</v>
      </c>
      <c r="B1242" s="1">
        <v>46224</v>
      </c>
      <c r="C1242" s="2">
        <v>0.77692129629629625</v>
      </c>
      <c r="D1242" t="s">
        <v>25</v>
      </c>
      <c r="E1242" s="10" t="s">
        <v>35</v>
      </c>
      <c r="F1242" s="11">
        <v>72.766535551000004</v>
      </c>
      <c r="G1242" s="4">
        <v>1819.41687</v>
      </c>
      <c r="H1242" s="20">
        <v>0</v>
      </c>
      <c r="J1242" t="s">
        <v>21</v>
      </c>
    </row>
    <row r="1243" spans="1:22" x14ac:dyDescent="0.2">
      <c r="A1243">
        <v>1175</v>
      </c>
      <c r="B1243" s="1">
        <v>46224</v>
      </c>
      <c r="C1243" s="2">
        <v>0.7772337962962963</v>
      </c>
      <c r="D1243" t="s">
        <v>25</v>
      </c>
      <c r="E1243" s="10" t="s">
        <v>33</v>
      </c>
      <c r="F1243" s="11">
        <v>84.205821594</v>
      </c>
      <c r="G1243" s="4">
        <v>1846.37195</v>
      </c>
      <c r="H1243" s="20">
        <v>0</v>
      </c>
      <c r="I1243" s="17" t="s">
        <v>48</v>
      </c>
      <c r="J1243" t="s">
        <v>21</v>
      </c>
      <c r="V1243" s="14">
        <v>25</v>
      </c>
    </row>
    <row r="1244" spans="1:22" x14ac:dyDescent="0.2">
      <c r="A1244">
        <v>1176</v>
      </c>
      <c r="B1244" s="1">
        <v>46224</v>
      </c>
      <c r="C1244" s="2">
        <v>0.77749999999999997</v>
      </c>
      <c r="D1244" t="s">
        <v>25</v>
      </c>
      <c r="E1244" s="10" t="s">
        <v>33</v>
      </c>
      <c r="F1244" s="11">
        <v>84.015163512000001</v>
      </c>
      <c r="G1244" s="4">
        <v>1805.9082000000001</v>
      </c>
      <c r="H1244" s="20">
        <v>0</v>
      </c>
      <c r="J1244" t="s">
        <v>21</v>
      </c>
      <c r="V1244" s="11">
        <v>30</v>
      </c>
    </row>
    <row r="1245" spans="1:22" x14ac:dyDescent="0.2">
      <c r="A1245">
        <v>1177</v>
      </c>
      <c r="B1245" s="1">
        <v>46224</v>
      </c>
      <c r="C1245" s="2">
        <v>0.77768518518518515</v>
      </c>
      <c r="D1245" t="s">
        <v>25</v>
      </c>
      <c r="E1245" s="10" t="s">
        <v>33</v>
      </c>
      <c r="F1245" s="11">
        <v>85.349744135999998</v>
      </c>
      <c r="G1245" s="4">
        <v>1905.7230199999999</v>
      </c>
      <c r="H1245" s="20">
        <v>0</v>
      </c>
      <c r="J1245" t="s">
        <v>21</v>
      </c>
    </row>
    <row r="1246" spans="1:22" x14ac:dyDescent="0.2">
      <c r="A1246">
        <v>1243</v>
      </c>
      <c r="B1246" s="1">
        <v>46228</v>
      </c>
      <c r="C1246" s="2">
        <v>0.44422453703703701</v>
      </c>
      <c r="D1246" t="s">
        <v>18</v>
      </c>
      <c r="E1246" s="10" t="s">
        <v>33</v>
      </c>
      <c r="F1246" s="11">
        <v>84.735632950999999</v>
      </c>
      <c r="G1246" s="4">
        <v>2259.24487</v>
      </c>
      <c r="H1246" s="20">
        <v>1</v>
      </c>
      <c r="I1246" s="17" t="s">
        <v>38</v>
      </c>
      <c r="J1246" t="s">
        <v>21</v>
      </c>
      <c r="N1246" s="11">
        <v>57.934120030999999</v>
      </c>
      <c r="T1246" s="14"/>
    </row>
    <row r="1247" spans="1:22" x14ac:dyDescent="0.2">
      <c r="A1247">
        <v>1244</v>
      </c>
      <c r="B1247" s="1">
        <v>46228</v>
      </c>
      <c r="C1247" s="2">
        <v>0.44443287037037038</v>
      </c>
      <c r="D1247" t="s">
        <v>18</v>
      </c>
      <c r="E1247" s="10" t="s">
        <v>35</v>
      </c>
      <c r="F1247" s="11">
        <v>79.145878624999995</v>
      </c>
      <c r="G1247" s="4">
        <v>1350.84888</v>
      </c>
      <c r="H1247" s="20">
        <v>0</v>
      </c>
      <c r="J1247" t="s">
        <v>21</v>
      </c>
      <c r="T1247" s="14"/>
      <c r="V1247" s="14">
        <v>40</v>
      </c>
    </row>
    <row r="1248" spans="1:22" x14ac:dyDescent="0.2">
      <c r="A1248">
        <v>1245</v>
      </c>
      <c r="B1248" s="1">
        <v>46228</v>
      </c>
      <c r="C1248" s="2">
        <v>0.44467592592592592</v>
      </c>
      <c r="D1248" t="s">
        <v>18</v>
      </c>
      <c r="E1248" s="10" t="s">
        <v>33</v>
      </c>
      <c r="F1248" s="11">
        <v>85.418470862999996</v>
      </c>
      <c r="G1248" s="4">
        <v>2045.8896500000001</v>
      </c>
      <c r="H1248" s="20">
        <v>1</v>
      </c>
      <c r="I1248" s="17" t="s">
        <v>38</v>
      </c>
      <c r="J1248" t="s">
        <v>21</v>
      </c>
      <c r="N1248" s="11">
        <v>66.732792602999993</v>
      </c>
      <c r="T1248" s="14"/>
    </row>
    <row r="1249" spans="1:22" x14ac:dyDescent="0.2">
      <c r="A1249">
        <v>1246</v>
      </c>
      <c r="B1249" s="1">
        <v>46228</v>
      </c>
      <c r="C1249" s="2">
        <v>0.44490740740740742</v>
      </c>
      <c r="D1249" t="s">
        <v>18</v>
      </c>
      <c r="E1249" s="10" t="s">
        <v>37</v>
      </c>
      <c r="F1249" s="11">
        <v>74.620081748000004</v>
      </c>
      <c r="G1249" s="4">
        <v>2150.9628899999998</v>
      </c>
      <c r="H1249" s="20">
        <v>1</v>
      </c>
      <c r="I1249" s="17" t="s">
        <v>42</v>
      </c>
      <c r="J1249" t="s">
        <v>21</v>
      </c>
      <c r="T1249" s="14"/>
    </row>
    <row r="1250" spans="1:22" x14ac:dyDescent="0.2">
      <c r="A1250">
        <v>1272</v>
      </c>
      <c r="B1250" s="1">
        <v>46228</v>
      </c>
      <c r="C1250" s="2">
        <v>0.45601851851851855</v>
      </c>
      <c r="D1250" t="s">
        <v>18</v>
      </c>
      <c r="E1250" s="10" t="s">
        <v>35</v>
      </c>
      <c r="F1250" s="11">
        <v>79.590519763000003</v>
      </c>
      <c r="G1250" s="4">
        <v>1497.3216600000001</v>
      </c>
      <c r="H1250" s="20">
        <v>0</v>
      </c>
      <c r="J1250" t="s">
        <v>21</v>
      </c>
      <c r="T1250" s="14"/>
    </row>
    <row r="1251" spans="1:22" x14ac:dyDescent="0.2">
      <c r="A1251">
        <v>1273</v>
      </c>
      <c r="B1251" s="1">
        <v>46228</v>
      </c>
      <c r="C1251" s="2">
        <v>0.45622685185185186</v>
      </c>
      <c r="D1251" t="s">
        <v>18</v>
      </c>
      <c r="E1251" s="10" t="s">
        <v>37</v>
      </c>
      <c r="F1251" s="11">
        <v>74.635962203999995</v>
      </c>
      <c r="G1251" s="4">
        <v>1171.78979</v>
      </c>
      <c r="H1251" s="20">
        <v>0</v>
      </c>
      <c r="J1251" t="s">
        <v>21</v>
      </c>
      <c r="T1251" s="14"/>
      <c r="V1251" s="14">
        <v>20</v>
      </c>
    </row>
    <row r="1252" spans="1:22" x14ac:dyDescent="0.2">
      <c r="A1252">
        <v>1274</v>
      </c>
      <c r="B1252" s="1">
        <v>46228</v>
      </c>
      <c r="C1252" s="2">
        <v>0.45652777777777775</v>
      </c>
      <c r="D1252" t="s">
        <v>18</v>
      </c>
      <c r="E1252" s="10" t="s">
        <v>35</v>
      </c>
      <c r="F1252" s="11">
        <v>79.781075392999995</v>
      </c>
      <c r="G1252" s="4">
        <v>1411.9854700000001</v>
      </c>
      <c r="H1252" s="20">
        <v>0</v>
      </c>
      <c r="J1252" t="s">
        <v>21</v>
      </c>
      <c r="T1252" s="14"/>
    </row>
    <row r="1253" spans="1:22" x14ac:dyDescent="0.2">
      <c r="A1253">
        <v>1275</v>
      </c>
      <c r="B1253" s="1">
        <v>46228</v>
      </c>
      <c r="C1253" s="2">
        <v>0.45674768518518516</v>
      </c>
      <c r="D1253" t="s">
        <v>18</v>
      </c>
      <c r="E1253" s="10" t="s">
        <v>33</v>
      </c>
      <c r="F1253" s="11">
        <v>84.545077320999994</v>
      </c>
      <c r="G1253" s="4">
        <v>2207.05737</v>
      </c>
      <c r="H1253" s="20">
        <v>0</v>
      </c>
      <c r="I1253" s="17" t="s">
        <v>48</v>
      </c>
      <c r="J1253" t="s">
        <v>21</v>
      </c>
      <c r="T1253" s="14"/>
      <c r="V1253" s="14">
        <v>10</v>
      </c>
    </row>
    <row r="1254" spans="1:22" x14ac:dyDescent="0.2">
      <c r="A1254">
        <v>1276</v>
      </c>
      <c r="B1254" s="1">
        <v>46228</v>
      </c>
      <c r="C1254" s="2">
        <v>0.45700231481481479</v>
      </c>
      <c r="D1254" t="s">
        <v>18</v>
      </c>
      <c r="E1254" s="10" t="s">
        <v>33</v>
      </c>
      <c r="F1254" s="11">
        <v>86.577710600000003</v>
      </c>
      <c r="G1254" s="4">
        <v>1163.37537</v>
      </c>
      <c r="H1254" s="20">
        <v>0</v>
      </c>
      <c r="J1254" t="s">
        <v>21</v>
      </c>
      <c r="T1254" s="14"/>
    </row>
    <row r="1255" spans="1:22" x14ac:dyDescent="0.2">
      <c r="A1255">
        <v>1306</v>
      </c>
      <c r="B1255" s="1">
        <v>46228</v>
      </c>
      <c r="C1255" s="2">
        <v>0.47296296296296297</v>
      </c>
      <c r="D1255" t="s">
        <v>18</v>
      </c>
      <c r="E1255" s="10" t="s">
        <v>33</v>
      </c>
      <c r="F1255" s="11">
        <v>83.719316422999995</v>
      </c>
      <c r="G1255" s="4">
        <v>2266.3947800000001</v>
      </c>
      <c r="H1255" s="20">
        <v>1</v>
      </c>
      <c r="I1255" s="17" t="s">
        <v>40</v>
      </c>
      <c r="J1255" t="s">
        <v>21</v>
      </c>
      <c r="K1255" s="11">
        <v>79.139973561999994</v>
      </c>
      <c r="L1255" s="11">
        <v>-25.367460300000001</v>
      </c>
      <c r="M1255" s="11">
        <v>-13.1214657</v>
      </c>
      <c r="N1255" s="11">
        <v>61.877668638999999</v>
      </c>
      <c r="P1255" s="11">
        <v>7</v>
      </c>
      <c r="Q1255" s="11">
        <v>1.27897477</v>
      </c>
      <c r="R1255" s="11">
        <v>1.6512906599999999</v>
      </c>
      <c r="S1255" s="11">
        <v>102.1780148</v>
      </c>
      <c r="T1255" s="14">
        <v>0.77453033399999904</v>
      </c>
    </row>
    <row r="1256" spans="1:22" x14ac:dyDescent="0.2">
      <c r="A1256">
        <v>1353</v>
      </c>
      <c r="B1256" s="1">
        <v>46228</v>
      </c>
      <c r="C1256" s="2">
        <v>0.49005787037037035</v>
      </c>
      <c r="D1256" t="s">
        <v>24</v>
      </c>
      <c r="E1256" s="10" t="s">
        <v>33</v>
      </c>
      <c r="F1256" s="11">
        <v>83.782837799999996</v>
      </c>
      <c r="G1256" s="4">
        <v>2295.4995100000001</v>
      </c>
      <c r="H1256" s="20">
        <v>0</v>
      </c>
      <c r="J1256" t="s">
        <v>21</v>
      </c>
      <c r="T1256" s="14"/>
      <c r="V1256" s="11">
        <v>15</v>
      </c>
    </row>
    <row r="1257" spans="1:22" x14ac:dyDescent="0.2">
      <c r="A1257">
        <v>1354</v>
      </c>
      <c r="B1257" s="1">
        <v>46228</v>
      </c>
      <c r="C1257" s="2">
        <v>0.49027777777777776</v>
      </c>
      <c r="D1257" t="s">
        <v>24</v>
      </c>
      <c r="E1257" s="10" t="s">
        <v>37</v>
      </c>
      <c r="F1257" s="11">
        <v>70.491281061999999</v>
      </c>
      <c r="G1257" s="4">
        <v>2182.6413600000001</v>
      </c>
      <c r="H1257" s="20">
        <v>1</v>
      </c>
      <c r="I1257" s="17" t="s">
        <v>39</v>
      </c>
      <c r="J1257" t="s">
        <v>21</v>
      </c>
      <c r="N1257" s="11">
        <v>65.947103729000006</v>
      </c>
      <c r="T1257" s="14"/>
      <c r="V1257" s="14">
        <v>5</v>
      </c>
    </row>
    <row r="1258" spans="1:22" x14ac:dyDescent="0.2">
      <c r="A1258">
        <v>1355</v>
      </c>
      <c r="B1258" s="1">
        <v>46228</v>
      </c>
      <c r="C1258" s="2">
        <v>0.49052083333333335</v>
      </c>
      <c r="D1258" t="s">
        <v>24</v>
      </c>
      <c r="E1258" s="10" t="s">
        <v>37</v>
      </c>
      <c r="F1258" s="11">
        <v>68.919160650999999</v>
      </c>
      <c r="G1258" s="4">
        <v>2195.69751</v>
      </c>
      <c r="H1258" s="20">
        <v>0</v>
      </c>
      <c r="J1258" t="s">
        <v>21</v>
      </c>
      <c r="T1258" s="14"/>
    </row>
    <row r="1259" spans="1:22" x14ac:dyDescent="0.2">
      <c r="A1259">
        <v>1356</v>
      </c>
      <c r="B1259" s="1">
        <v>46228</v>
      </c>
      <c r="C1259" s="2">
        <v>0.49076388888888889</v>
      </c>
      <c r="D1259" t="s">
        <v>24</v>
      </c>
      <c r="E1259" s="10" t="s">
        <v>33</v>
      </c>
      <c r="F1259" s="11">
        <v>80.606836513999994</v>
      </c>
      <c r="G1259" s="4">
        <v>2150.4279799999999</v>
      </c>
      <c r="H1259" s="20">
        <v>0</v>
      </c>
      <c r="J1259" t="s">
        <v>21</v>
      </c>
      <c r="T1259" s="14"/>
    </row>
    <row r="1260" spans="1:22" x14ac:dyDescent="0.2">
      <c r="A1260">
        <v>1357</v>
      </c>
      <c r="B1260" s="1">
        <v>46228</v>
      </c>
      <c r="C1260" s="2">
        <v>0.49098379629629629</v>
      </c>
      <c r="D1260" t="s">
        <v>24</v>
      </c>
      <c r="E1260" s="10" t="s">
        <v>33</v>
      </c>
      <c r="F1260" s="11">
        <v>81.559631664999998</v>
      </c>
      <c r="G1260" s="4">
        <v>2051.4016099999999</v>
      </c>
      <c r="H1260" s="20">
        <v>0</v>
      </c>
      <c r="I1260" s="17" t="s">
        <v>48</v>
      </c>
      <c r="J1260" t="s">
        <v>21</v>
      </c>
      <c r="T1260" s="14"/>
    </row>
    <row r="1261" spans="1:22" x14ac:dyDescent="0.2">
      <c r="A1261">
        <v>1358</v>
      </c>
      <c r="B1261" s="1">
        <v>46228</v>
      </c>
      <c r="C1261" s="2">
        <v>0.49123842592592593</v>
      </c>
      <c r="D1261" t="s">
        <v>24</v>
      </c>
      <c r="E1261" s="10" t="s">
        <v>33</v>
      </c>
      <c r="F1261" s="11">
        <v>83.385837582999997</v>
      </c>
      <c r="G1261" s="4">
        <v>2268.09</v>
      </c>
      <c r="H1261" s="20">
        <v>1</v>
      </c>
      <c r="I1261" s="17" t="s">
        <v>38</v>
      </c>
      <c r="J1261" t="s">
        <v>21</v>
      </c>
      <c r="N1261" s="11">
        <v>68.232674967999998</v>
      </c>
      <c r="T1261" s="14"/>
    </row>
    <row r="1262" spans="1:22" x14ac:dyDescent="0.2">
      <c r="A1262">
        <v>1371</v>
      </c>
      <c r="B1262" s="1">
        <v>46228</v>
      </c>
      <c r="C1262" s="2">
        <v>0.49616898148148147</v>
      </c>
      <c r="D1262" t="s">
        <v>24</v>
      </c>
      <c r="E1262" s="10" t="s">
        <v>33</v>
      </c>
      <c r="F1262" s="11">
        <v>84.624470653000003</v>
      </c>
      <c r="G1262" s="4">
        <v>2301.5268599999999</v>
      </c>
      <c r="H1262" s="20">
        <v>1</v>
      </c>
      <c r="I1262" s="17" t="s">
        <v>39</v>
      </c>
      <c r="J1262" t="s">
        <v>21</v>
      </c>
      <c r="N1262" s="11">
        <v>64.999424003000001</v>
      </c>
      <c r="T1262" s="14">
        <v>0.38160709399999998</v>
      </c>
      <c r="V1262" s="11">
        <v>0</v>
      </c>
    </row>
    <row r="1263" spans="1:22" x14ac:dyDescent="0.2">
      <c r="A1263">
        <v>1372</v>
      </c>
      <c r="B1263" s="1">
        <v>46228</v>
      </c>
      <c r="C1263" s="2">
        <v>0.49634259259259261</v>
      </c>
      <c r="D1263" t="s">
        <v>24</v>
      </c>
      <c r="E1263" s="10" t="s">
        <v>33</v>
      </c>
      <c r="F1263" s="11">
        <v>84.608590196999998</v>
      </c>
      <c r="G1263" s="4">
        <v>2233.9665500000001</v>
      </c>
      <c r="H1263" s="20">
        <v>0</v>
      </c>
      <c r="J1263" t="s">
        <v>21</v>
      </c>
      <c r="T1263" s="14"/>
    </row>
    <row r="1264" spans="1:22" x14ac:dyDescent="0.2">
      <c r="A1264">
        <v>1373</v>
      </c>
      <c r="B1264" s="1">
        <v>46228</v>
      </c>
      <c r="C1264" s="2">
        <v>0.49655092592592592</v>
      </c>
      <c r="D1264" t="s">
        <v>24</v>
      </c>
      <c r="E1264" s="10" t="s">
        <v>37</v>
      </c>
      <c r="F1264" s="11">
        <v>71.142362535000004</v>
      </c>
      <c r="G1264" s="4">
        <v>2234.4438500000001</v>
      </c>
      <c r="H1264" s="20">
        <v>0</v>
      </c>
      <c r="J1264" t="s">
        <v>21</v>
      </c>
      <c r="T1264" s="14"/>
    </row>
    <row r="1265" spans="1:22" x14ac:dyDescent="0.2">
      <c r="A1265">
        <v>1374</v>
      </c>
      <c r="B1265" s="1">
        <v>46228</v>
      </c>
      <c r="C1265" s="2">
        <v>0.49689814814814814</v>
      </c>
      <c r="D1265" t="s">
        <v>24</v>
      </c>
      <c r="E1265" s="10" t="s">
        <v>37</v>
      </c>
      <c r="F1265" s="11">
        <v>70.697721173999994</v>
      </c>
      <c r="G1265" s="4">
        <v>2266.6223100000002</v>
      </c>
      <c r="H1265" s="20">
        <v>1</v>
      </c>
      <c r="J1265" t="s">
        <v>21</v>
      </c>
      <c r="T1265" s="14"/>
    </row>
    <row r="1266" spans="1:22" x14ac:dyDescent="0.2">
      <c r="A1266">
        <v>1375</v>
      </c>
      <c r="B1266" s="1">
        <v>46228</v>
      </c>
      <c r="C1266" s="2">
        <v>0.49717592592592591</v>
      </c>
      <c r="D1266" t="s">
        <v>24</v>
      </c>
      <c r="E1266" s="10" t="s">
        <v>33</v>
      </c>
      <c r="F1266" s="11">
        <v>84.211589981000003</v>
      </c>
      <c r="G1266" s="4">
        <v>2204.01172</v>
      </c>
      <c r="H1266" s="20">
        <v>0</v>
      </c>
      <c r="J1266" t="s">
        <v>21</v>
      </c>
      <c r="T1266" s="133"/>
    </row>
    <row r="1267" spans="1:22" x14ac:dyDescent="0.2">
      <c r="A1267">
        <v>1376</v>
      </c>
      <c r="B1267" s="1">
        <v>46228</v>
      </c>
      <c r="C1267" s="2">
        <v>0.4974884259259259</v>
      </c>
      <c r="D1267" t="s">
        <v>24</v>
      </c>
      <c r="E1267" s="10" t="s">
        <v>33</v>
      </c>
      <c r="F1267" s="11">
        <v>84.592709964999997</v>
      </c>
      <c r="G1267" s="4">
        <v>2152.0234399999999</v>
      </c>
      <c r="H1267" s="20">
        <v>1</v>
      </c>
      <c r="I1267" s="17" t="s">
        <v>38</v>
      </c>
      <c r="J1267" t="s">
        <v>21</v>
      </c>
      <c r="K1267" s="11">
        <v>69.947368506999993</v>
      </c>
      <c r="L1267" s="11">
        <v>39.816555000000001</v>
      </c>
      <c r="M1267" s="11">
        <v>43.0939713</v>
      </c>
      <c r="N1267" s="11">
        <v>62.713852987999999</v>
      </c>
      <c r="O1267" s="11">
        <v>2898.9074700000001</v>
      </c>
      <c r="P1267" s="11">
        <v>238</v>
      </c>
      <c r="Q1267" s="11">
        <v>1.11534154</v>
      </c>
      <c r="R1267" s="11">
        <v>1.6472982199999999</v>
      </c>
      <c r="S1267" s="11">
        <v>103.30842088</v>
      </c>
      <c r="T1267" s="14">
        <v>0.677073288</v>
      </c>
    </row>
    <row r="1268" spans="1:22" x14ac:dyDescent="0.2">
      <c r="A1268">
        <v>1377</v>
      </c>
      <c r="B1268" s="1">
        <v>46228</v>
      </c>
      <c r="C1268" s="2">
        <v>0.49784722222222222</v>
      </c>
      <c r="D1268" t="s">
        <v>24</v>
      </c>
      <c r="E1268" s="10" t="s">
        <v>33</v>
      </c>
      <c r="F1268" s="11">
        <v>84.608590196999998</v>
      </c>
      <c r="G1268" s="4">
        <v>2166.2002000000002</v>
      </c>
      <c r="H1268" s="20">
        <v>1</v>
      </c>
      <c r="I1268" s="17" t="s">
        <v>38</v>
      </c>
      <c r="J1268" t="s">
        <v>21</v>
      </c>
      <c r="K1268" s="11">
        <v>72.211465607999997</v>
      </c>
      <c r="L1268" s="11">
        <v>44.909664200000002</v>
      </c>
      <c r="M1268" s="11">
        <v>-33.640850100000002</v>
      </c>
      <c r="N1268" s="11">
        <v>63.382802882999997</v>
      </c>
      <c r="P1268" s="11">
        <v>244</v>
      </c>
      <c r="Q1268" s="11">
        <v>1.1392911699999999</v>
      </c>
      <c r="R1268" s="11">
        <v>1.6425548800000001</v>
      </c>
      <c r="S1268" s="11">
        <v>104.109734081</v>
      </c>
      <c r="T1268" s="14">
        <v>0.69360916099999903</v>
      </c>
      <c r="V1268" s="14">
        <v>35</v>
      </c>
    </row>
    <row r="1269" spans="1:22" x14ac:dyDescent="0.2">
      <c r="A1269">
        <v>1378</v>
      </c>
      <c r="B1269" s="1">
        <v>46228</v>
      </c>
      <c r="C1269" s="2">
        <v>0.49807870370370372</v>
      </c>
      <c r="D1269" t="s">
        <v>24</v>
      </c>
      <c r="E1269" s="10" t="s">
        <v>37</v>
      </c>
      <c r="F1269" s="11">
        <v>72.587439967999998</v>
      </c>
      <c r="G1269" s="4">
        <v>2125.6039999999998</v>
      </c>
      <c r="H1269" s="20">
        <v>0</v>
      </c>
      <c r="I1269" s="17" t="s">
        <v>48</v>
      </c>
      <c r="J1269" t="s">
        <v>21</v>
      </c>
      <c r="T1269" s="14"/>
    </row>
    <row r="1270" spans="1:22" x14ac:dyDescent="0.2">
      <c r="A1270">
        <v>1379</v>
      </c>
      <c r="B1270" s="1">
        <v>46228</v>
      </c>
      <c r="C1270" s="2">
        <v>0.49839120370370371</v>
      </c>
      <c r="D1270" t="s">
        <v>24</v>
      </c>
      <c r="E1270" s="10" t="s">
        <v>33</v>
      </c>
      <c r="F1270" s="11">
        <v>82.830033924000006</v>
      </c>
      <c r="G1270" s="4">
        <v>1967.40527</v>
      </c>
      <c r="H1270" s="20">
        <v>1</v>
      </c>
      <c r="I1270" s="17" t="s">
        <v>38</v>
      </c>
      <c r="J1270" t="s">
        <v>21</v>
      </c>
      <c r="N1270" s="11">
        <v>65.668374120999999</v>
      </c>
      <c r="T1270" s="14"/>
    </row>
    <row r="1271" spans="1:22" x14ac:dyDescent="0.2">
      <c r="A1271">
        <v>1407</v>
      </c>
      <c r="B1271" s="1">
        <v>46228</v>
      </c>
      <c r="C1271" s="2">
        <v>0.51063657407407403</v>
      </c>
      <c r="D1271" t="s">
        <v>24</v>
      </c>
      <c r="E1271" s="10" t="s">
        <v>37</v>
      </c>
      <c r="F1271" s="11">
        <v>71.396439541999996</v>
      </c>
      <c r="G1271" s="4">
        <v>2440.73828</v>
      </c>
      <c r="H1271" s="20">
        <v>0</v>
      </c>
      <c r="J1271" t="s">
        <v>21</v>
      </c>
      <c r="T1271" s="14"/>
    </row>
    <row r="1272" spans="1:22" x14ac:dyDescent="0.2">
      <c r="A1272">
        <v>1408</v>
      </c>
      <c r="B1272" s="1">
        <v>46228</v>
      </c>
      <c r="C1272" s="2">
        <v>0.51085648148148144</v>
      </c>
      <c r="D1272" t="s">
        <v>24</v>
      </c>
      <c r="E1272" s="10" t="s">
        <v>33</v>
      </c>
      <c r="F1272" s="11">
        <v>82.496555084999997</v>
      </c>
      <c r="G1272" s="4">
        <v>1151.84521</v>
      </c>
      <c r="H1272" s="20">
        <v>1</v>
      </c>
      <c r="J1272" t="s">
        <v>21</v>
      </c>
      <c r="T1272" s="14"/>
    </row>
    <row r="1273" spans="1:22" x14ac:dyDescent="0.2">
      <c r="A1273">
        <v>1409</v>
      </c>
      <c r="B1273" s="1">
        <v>46228</v>
      </c>
      <c r="C1273" s="2">
        <v>0.51106481481481481</v>
      </c>
      <c r="D1273" t="s">
        <v>24</v>
      </c>
      <c r="E1273" s="10" t="s">
        <v>37</v>
      </c>
      <c r="F1273" s="11">
        <v>72.650961344999999</v>
      </c>
      <c r="G1273" s="4">
        <v>2229.12183</v>
      </c>
      <c r="H1273" s="20">
        <v>1</v>
      </c>
      <c r="J1273" t="s">
        <v>21</v>
      </c>
      <c r="T1273" s="14"/>
    </row>
    <row r="1274" spans="1:22" x14ac:dyDescent="0.2">
      <c r="A1274">
        <v>1410</v>
      </c>
      <c r="B1274" s="1">
        <v>46228</v>
      </c>
      <c r="C1274" s="2">
        <v>0.5113657407407407</v>
      </c>
      <c r="D1274" t="s">
        <v>24</v>
      </c>
      <c r="E1274" s="10" t="s">
        <v>33</v>
      </c>
      <c r="F1274" s="11">
        <v>84.418034567000007</v>
      </c>
      <c r="G1274" s="4">
        <v>2291.0864299999998</v>
      </c>
      <c r="H1274" s="20">
        <v>1</v>
      </c>
      <c r="I1274" s="17" t="s">
        <v>40</v>
      </c>
      <c r="J1274" t="s">
        <v>21</v>
      </c>
      <c r="K1274" s="11">
        <v>86.500561809999994</v>
      </c>
      <c r="L1274" s="11">
        <v>21.105247500000001</v>
      </c>
      <c r="M1274" s="11">
        <v>13.8915281</v>
      </c>
      <c r="N1274" s="11">
        <v>62.212141572999997</v>
      </c>
      <c r="O1274" s="11">
        <v>1605.43958</v>
      </c>
      <c r="P1274" s="11">
        <v>252</v>
      </c>
      <c r="Q1274" s="11">
        <v>1.3904128099999999</v>
      </c>
      <c r="R1274" s="11">
        <v>1.65188694</v>
      </c>
      <c r="S1274" s="11">
        <v>102.767422383</v>
      </c>
      <c r="T1274" s="133">
        <v>0.84171188399999997</v>
      </c>
    </row>
    <row r="1275" spans="1:22" x14ac:dyDescent="0.2">
      <c r="A1275">
        <v>212</v>
      </c>
      <c r="B1275" s="1">
        <v>46197</v>
      </c>
      <c r="C1275" s="2">
        <v>0.58467592592592588</v>
      </c>
      <c r="D1275" t="s">
        <v>25</v>
      </c>
      <c r="E1275" s="10" t="s">
        <v>33</v>
      </c>
      <c r="F1275" s="11">
        <v>83.719316422999995</v>
      </c>
      <c r="G1275" s="4">
        <v>1858.03333</v>
      </c>
      <c r="H1275" s="20">
        <v>1</v>
      </c>
      <c r="I1275" s="17" t="s">
        <v>38</v>
      </c>
      <c r="J1275" t="s">
        <v>27</v>
      </c>
      <c r="N1275" s="11">
        <v>72.656857908000006</v>
      </c>
    </row>
    <row r="1276" spans="1:22" x14ac:dyDescent="0.2">
      <c r="A1276">
        <v>213</v>
      </c>
      <c r="B1276" s="1">
        <v>46197</v>
      </c>
      <c r="C1276" s="2">
        <v>0.58494212962962966</v>
      </c>
      <c r="D1276" t="s">
        <v>25</v>
      </c>
      <c r="E1276" s="10" t="s">
        <v>33</v>
      </c>
      <c r="F1276" s="11">
        <v>82.750632092000004</v>
      </c>
      <c r="G1276" s="4">
        <v>1930.85718</v>
      </c>
      <c r="H1276" s="20">
        <v>1</v>
      </c>
      <c r="I1276" s="17" t="s">
        <v>38</v>
      </c>
      <c r="J1276" t="s">
        <v>27</v>
      </c>
      <c r="N1276" s="11">
        <v>70.268678863000005</v>
      </c>
    </row>
    <row r="1277" spans="1:22" x14ac:dyDescent="0.2">
      <c r="A1277">
        <v>214</v>
      </c>
      <c r="B1277" s="1">
        <v>46197</v>
      </c>
      <c r="C1277" s="2">
        <v>0.58524305555555556</v>
      </c>
      <c r="D1277" t="s">
        <v>25</v>
      </c>
      <c r="E1277" s="10" t="s">
        <v>37</v>
      </c>
      <c r="F1277" s="11">
        <v>75.318800116000006</v>
      </c>
      <c r="G1277" s="4">
        <v>1881.4157700000001</v>
      </c>
      <c r="H1277" s="20">
        <v>1</v>
      </c>
      <c r="I1277" s="17" t="s">
        <v>40</v>
      </c>
      <c r="J1277" t="s">
        <v>27</v>
      </c>
      <c r="N1277" s="11">
        <v>66.616169049999996</v>
      </c>
    </row>
    <row r="1278" spans="1:22" x14ac:dyDescent="0.2">
      <c r="A1278">
        <v>251</v>
      </c>
      <c r="B1278" s="1">
        <v>46197</v>
      </c>
      <c r="C1278" s="2">
        <v>0.6001157407407407</v>
      </c>
      <c r="D1278" t="s">
        <v>25</v>
      </c>
      <c r="E1278" s="10" t="s">
        <v>33</v>
      </c>
      <c r="F1278" s="11">
        <v>83.592273445999993</v>
      </c>
      <c r="G1278" s="4">
        <v>1865.7003199999999</v>
      </c>
      <c r="H1278" s="20">
        <v>1</v>
      </c>
      <c r="I1278" s="17" t="s">
        <v>39</v>
      </c>
      <c r="J1278" t="s">
        <v>27</v>
      </c>
      <c r="N1278" s="11">
        <v>69.201021968999996</v>
      </c>
    </row>
    <row r="1279" spans="1:22" x14ac:dyDescent="0.2">
      <c r="A1279">
        <v>252</v>
      </c>
      <c r="B1279" s="1">
        <v>46197</v>
      </c>
      <c r="C1279" s="2">
        <v>0.6003356481481481</v>
      </c>
      <c r="D1279" t="s">
        <v>25</v>
      </c>
      <c r="E1279" s="10" t="s">
        <v>33</v>
      </c>
      <c r="F1279" s="11">
        <v>83.893991596999996</v>
      </c>
      <c r="G1279" s="4">
        <v>1985.8601100000001</v>
      </c>
      <c r="H1279" s="20">
        <v>1</v>
      </c>
      <c r="I1279" s="17" t="s">
        <v>40</v>
      </c>
      <c r="J1279" t="s">
        <v>27</v>
      </c>
      <c r="K1279" s="11">
        <v>46.488041533000001</v>
      </c>
      <c r="L1279" s="11">
        <v>27.685934100000001</v>
      </c>
      <c r="M1279" s="11">
        <v>-41.338279700000001</v>
      </c>
      <c r="N1279" s="11">
        <v>69.060543507000006</v>
      </c>
      <c r="Q1279" s="11">
        <v>0.67314910900000002</v>
      </c>
      <c r="R1279" s="11">
        <v>1.48984933</v>
      </c>
      <c r="S1279" s="11">
        <v>102.889806046</v>
      </c>
      <c r="T1279" s="11">
        <v>0.451823578</v>
      </c>
    </row>
    <row r="1280" spans="1:22" x14ac:dyDescent="0.2">
      <c r="A1280">
        <v>294</v>
      </c>
      <c r="B1280" s="8">
        <v>46197</v>
      </c>
      <c r="C1280" s="9">
        <v>0.61931712962962959</v>
      </c>
      <c r="D1280" s="7" t="s">
        <v>24</v>
      </c>
      <c r="E1280" s="13" t="s">
        <v>33</v>
      </c>
      <c r="F1280" s="16">
        <v>83.909872100000001</v>
      </c>
      <c r="G1280" s="129">
        <v>2218.7048300000001</v>
      </c>
      <c r="H1280" s="22">
        <v>1</v>
      </c>
      <c r="I1280" s="19" t="s">
        <v>39</v>
      </c>
      <c r="J1280" s="7" t="s">
        <v>27</v>
      </c>
      <c r="K1280" s="16"/>
      <c r="L1280" s="16"/>
      <c r="M1280" s="16"/>
      <c r="N1280" s="16">
        <v>66.925229900000005</v>
      </c>
      <c r="O1280" s="16"/>
      <c r="P1280" s="16"/>
      <c r="Q1280" s="16"/>
      <c r="R1280" s="16"/>
      <c r="S1280" s="16"/>
      <c r="T1280" s="16"/>
    </row>
    <row r="1281" spans="1:22" x14ac:dyDescent="0.2">
      <c r="A1281">
        <v>295</v>
      </c>
      <c r="B1281" s="8">
        <v>46197</v>
      </c>
      <c r="C1281" s="9">
        <v>0.61956018518518519</v>
      </c>
      <c r="D1281" s="7" t="s">
        <v>24</v>
      </c>
      <c r="E1281" s="13" t="s">
        <v>37</v>
      </c>
      <c r="F1281" s="16">
        <v>71.332922400000001</v>
      </c>
      <c r="G1281" s="129">
        <v>2218.5173300000001</v>
      </c>
      <c r="H1281" s="22">
        <v>0</v>
      </c>
      <c r="I1281" s="19"/>
      <c r="J1281" s="7" t="s">
        <v>27</v>
      </c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</row>
    <row r="1282" spans="1:22" x14ac:dyDescent="0.2">
      <c r="A1282">
        <v>296</v>
      </c>
      <c r="B1282" s="8">
        <v>46197</v>
      </c>
      <c r="C1282" s="9">
        <v>0.61982638888888886</v>
      </c>
      <c r="D1282" s="7" t="s">
        <v>24</v>
      </c>
      <c r="E1282" s="13" t="s">
        <v>37</v>
      </c>
      <c r="F1282" s="16">
        <v>71.3964395</v>
      </c>
      <c r="G1282" s="129">
        <v>2225.7854000000002</v>
      </c>
      <c r="H1282" s="22">
        <v>1</v>
      </c>
      <c r="I1282" s="19" t="s">
        <v>40</v>
      </c>
      <c r="J1282" s="7" t="s">
        <v>27</v>
      </c>
      <c r="K1282" s="16">
        <v>70.877345800000001</v>
      </c>
      <c r="L1282" s="16">
        <v>23.564739200000002</v>
      </c>
      <c r="M1282" s="16">
        <v>-17.705020999999999</v>
      </c>
      <c r="N1282" s="16">
        <v>67.430960499999998</v>
      </c>
      <c r="O1282" s="16">
        <v>1655.82617</v>
      </c>
      <c r="P1282" s="16">
        <v>199</v>
      </c>
      <c r="Q1282" s="16">
        <v>1.0511097899999999</v>
      </c>
      <c r="R1282" s="16">
        <v>1.4521276999999999</v>
      </c>
      <c r="S1282" s="16">
        <v>97.9183697</v>
      </c>
      <c r="T1282" s="16">
        <v>0.72384117000000003</v>
      </c>
    </row>
    <row r="1283" spans="1:22" x14ac:dyDescent="0.2">
      <c r="A1283">
        <v>324</v>
      </c>
      <c r="B1283" s="8">
        <v>46200</v>
      </c>
      <c r="C1283" s="9">
        <v>0.74048611111111107</v>
      </c>
      <c r="D1283" s="7" t="s">
        <v>18</v>
      </c>
      <c r="E1283" s="13" t="s">
        <v>33</v>
      </c>
      <c r="F1283" s="16">
        <v>83.719316399999997</v>
      </c>
      <c r="G1283" s="129">
        <v>2364.9448200000002</v>
      </c>
      <c r="H1283" s="22">
        <v>0</v>
      </c>
      <c r="I1283" s="19"/>
      <c r="J1283" s="7" t="s">
        <v>27</v>
      </c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</row>
    <row r="1284" spans="1:22" x14ac:dyDescent="0.2">
      <c r="A1284">
        <v>325</v>
      </c>
      <c r="B1284" s="8">
        <v>46200</v>
      </c>
      <c r="C1284" s="9">
        <v>0.74077546296296293</v>
      </c>
      <c r="D1284" s="7" t="s">
        <v>18</v>
      </c>
      <c r="E1284" s="13" t="s">
        <v>37</v>
      </c>
      <c r="F1284" s="16">
        <v>72.714482700000005</v>
      </c>
      <c r="G1284" s="129">
        <v>2286.77979</v>
      </c>
      <c r="H1284" s="22">
        <v>0</v>
      </c>
      <c r="I1284" s="19"/>
      <c r="J1284" s="7" t="s">
        <v>27</v>
      </c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</row>
    <row r="1285" spans="1:22" x14ac:dyDescent="0.2">
      <c r="A1285">
        <v>326</v>
      </c>
      <c r="B1285" s="8">
        <v>46200</v>
      </c>
      <c r="C1285" s="9">
        <v>0.74109953703703701</v>
      </c>
      <c r="D1285" s="7" t="s">
        <v>18</v>
      </c>
      <c r="E1285" s="13" t="s">
        <v>36</v>
      </c>
      <c r="F1285" s="16">
        <v>77.351433400000005</v>
      </c>
      <c r="G1285" s="129">
        <v>2266.7197299999998</v>
      </c>
      <c r="H1285" s="22">
        <v>1</v>
      </c>
      <c r="I1285" s="19"/>
      <c r="J1285" s="7" t="s">
        <v>27</v>
      </c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</row>
    <row r="1286" spans="1:22" x14ac:dyDescent="0.2">
      <c r="A1286">
        <v>327</v>
      </c>
      <c r="B1286" s="8">
        <v>46200</v>
      </c>
      <c r="C1286" s="9">
        <v>0.74133101851851857</v>
      </c>
      <c r="D1286" s="7" t="s">
        <v>18</v>
      </c>
      <c r="E1286" s="13" t="s">
        <v>37</v>
      </c>
      <c r="F1286" s="16">
        <v>73.159115400000005</v>
      </c>
      <c r="G1286" s="129">
        <v>2296.44238</v>
      </c>
      <c r="H1286" s="22">
        <v>1</v>
      </c>
      <c r="I1286" s="19" t="s">
        <v>40</v>
      </c>
      <c r="J1286" s="7" t="s">
        <v>27</v>
      </c>
      <c r="K1286" s="16">
        <v>86.102273100000005</v>
      </c>
      <c r="L1286" s="16">
        <v>14.074970199999999</v>
      </c>
      <c r="M1286" s="16">
        <v>-0.1393605</v>
      </c>
      <c r="N1286" s="16">
        <v>63.890833399999998</v>
      </c>
      <c r="O1286" s="16">
        <v>1301.31799</v>
      </c>
      <c r="P1286" s="16">
        <v>198</v>
      </c>
      <c r="Q1286" s="16">
        <v>1.34764671</v>
      </c>
      <c r="R1286" s="16">
        <v>1.47449231</v>
      </c>
      <c r="S1286" s="16">
        <v>94.206541000000001</v>
      </c>
      <c r="T1286" s="16">
        <v>0.91397339</v>
      </c>
    </row>
    <row r="1287" spans="1:22" x14ac:dyDescent="0.2">
      <c r="A1287">
        <v>359</v>
      </c>
      <c r="B1287" s="8">
        <v>46200</v>
      </c>
      <c r="C1287" s="9">
        <v>0.75394675925925925</v>
      </c>
      <c r="D1287" s="7" t="s">
        <v>18</v>
      </c>
      <c r="E1287" s="13" t="s">
        <v>37</v>
      </c>
      <c r="F1287" s="16">
        <v>74.508919500000005</v>
      </c>
      <c r="G1287" s="129">
        <v>2265.1948200000002</v>
      </c>
      <c r="H1287" s="22">
        <v>0</v>
      </c>
      <c r="I1287" s="19"/>
      <c r="J1287" s="7" t="s">
        <v>27</v>
      </c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</row>
    <row r="1288" spans="1:22" x14ac:dyDescent="0.2">
      <c r="A1288">
        <v>360</v>
      </c>
      <c r="B1288" s="8">
        <v>46200</v>
      </c>
      <c r="C1288" s="9">
        <v>0.75415509259259261</v>
      </c>
      <c r="D1288" s="7" t="s">
        <v>18</v>
      </c>
      <c r="E1288" s="13" t="s">
        <v>37</v>
      </c>
      <c r="F1288" s="16">
        <v>74.635962199999994</v>
      </c>
      <c r="G1288" s="129">
        <v>2276.8940400000001</v>
      </c>
      <c r="H1288" s="22">
        <v>0</v>
      </c>
      <c r="I1288" s="19"/>
      <c r="J1288" s="7" t="s">
        <v>27</v>
      </c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</row>
    <row r="1289" spans="1:22" x14ac:dyDescent="0.2">
      <c r="A1289">
        <v>361</v>
      </c>
      <c r="B1289" s="8">
        <v>46200</v>
      </c>
      <c r="C1289" s="9">
        <v>0.75438657407407406</v>
      </c>
      <c r="D1289" s="7" t="s">
        <v>18</v>
      </c>
      <c r="E1289" s="13" t="s">
        <v>33</v>
      </c>
      <c r="F1289" s="16">
        <v>84.799154299999998</v>
      </c>
      <c r="G1289" s="129">
        <v>2427.4482400000002</v>
      </c>
      <c r="H1289" s="22">
        <v>1</v>
      </c>
      <c r="I1289" s="19" t="s">
        <v>40</v>
      </c>
      <c r="J1289" s="7" t="s">
        <v>27</v>
      </c>
      <c r="K1289" s="16">
        <v>100.29364700000001</v>
      </c>
      <c r="L1289" s="16">
        <v>13.9743967</v>
      </c>
      <c r="M1289" s="16">
        <v>-35.048794000000001</v>
      </c>
      <c r="N1289" s="16">
        <v>71.5330096</v>
      </c>
      <c r="O1289" s="16">
        <v>746.78479000000004</v>
      </c>
      <c r="P1289" s="16">
        <v>248</v>
      </c>
      <c r="Q1289" s="16">
        <v>1.4020611000000001</v>
      </c>
      <c r="R1289" s="16">
        <v>1.48662436</v>
      </c>
      <c r="S1289" s="16">
        <v>106.342719</v>
      </c>
      <c r="T1289" s="16">
        <v>0.94311721999999998</v>
      </c>
    </row>
    <row r="1290" spans="1:22" x14ac:dyDescent="0.2">
      <c r="A1290">
        <v>385</v>
      </c>
      <c r="B1290" s="8">
        <v>46200</v>
      </c>
      <c r="C1290" s="9">
        <v>0.76465277777777774</v>
      </c>
      <c r="D1290" s="7" t="s">
        <v>24</v>
      </c>
      <c r="E1290" s="13" t="s">
        <v>33</v>
      </c>
      <c r="F1290" s="16">
        <v>82.734751900000006</v>
      </c>
      <c r="G1290" s="129">
        <v>1042.2207000000001</v>
      </c>
      <c r="H1290" s="22">
        <v>1</v>
      </c>
      <c r="I1290" s="19"/>
      <c r="J1290" s="7" t="s">
        <v>27</v>
      </c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</row>
    <row r="1291" spans="1:22" x14ac:dyDescent="0.2">
      <c r="A1291">
        <v>386</v>
      </c>
      <c r="B1291" s="8">
        <v>46200</v>
      </c>
      <c r="C1291" s="9">
        <v>0.76484953703703706</v>
      </c>
      <c r="D1291" s="7" t="s">
        <v>24</v>
      </c>
      <c r="E1291" s="13" t="s">
        <v>33</v>
      </c>
      <c r="F1291" s="16">
        <v>82.2583585</v>
      </c>
      <c r="G1291" s="129">
        <v>2117.9523899999999</v>
      </c>
      <c r="H1291" s="22">
        <v>0</v>
      </c>
      <c r="I1291" s="19"/>
      <c r="J1291" s="7" t="s">
        <v>27</v>
      </c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</row>
    <row r="1292" spans="1:22" x14ac:dyDescent="0.2">
      <c r="A1292">
        <v>387</v>
      </c>
      <c r="B1292" s="8">
        <v>46200</v>
      </c>
      <c r="C1292" s="9">
        <v>0.76503472222222224</v>
      </c>
      <c r="D1292" s="7" t="s">
        <v>24</v>
      </c>
      <c r="E1292" s="13" t="s">
        <v>49</v>
      </c>
      <c r="F1292" s="16">
        <v>68.331600600000002</v>
      </c>
      <c r="G1292" s="129">
        <v>1840.8439900000001</v>
      </c>
      <c r="H1292" s="22">
        <v>1</v>
      </c>
      <c r="I1292" s="19"/>
      <c r="J1292" s="7" t="s">
        <v>27</v>
      </c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</row>
    <row r="1293" spans="1:22" x14ac:dyDescent="0.2">
      <c r="A1293">
        <v>388</v>
      </c>
      <c r="B1293" s="8">
        <v>46200</v>
      </c>
      <c r="C1293" s="9">
        <v>0.76524305555555561</v>
      </c>
      <c r="D1293" s="7" t="s">
        <v>24</v>
      </c>
      <c r="E1293" s="13" t="s">
        <v>33</v>
      </c>
      <c r="F1293" s="16">
        <v>84.338632700000005</v>
      </c>
      <c r="G1293" s="129">
        <v>2215.09058</v>
      </c>
      <c r="H1293" s="22">
        <v>1</v>
      </c>
      <c r="I1293" s="19" t="s">
        <v>38</v>
      </c>
      <c r="J1293" s="7" t="s">
        <v>27</v>
      </c>
      <c r="K1293" s="16">
        <v>70.909503299999997</v>
      </c>
      <c r="L1293" s="16">
        <v>55.311222100000002</v>
      </c>
      <c r="M1293" s="16"/>
      <c r="N1293" s="16">
        <v>66.194725399999996</v>
      </c>
      <c r="O1293" s="16">
        <v>4214.7807599999996</v>
      </c>
      <c r="P1293" s="16">
        <v>220</v>
      </c>
      <c r="Q1293" s="16">
        <v>1.0712258800000001</v>
      </c>
      <c r="R1293" s="16">
        <v>1.5079484000000001</v>
      </c>
      <c r="S1293" s="16">
        <v>99.818225799999993</v>
      </c>
      <c r="T1293" s="16">
        <v>0.71038628000000004</v>
      </c>
    </row>
    <row r="1294" spans="1:22" x14ac:dyDescent="0.2">
      <c r="A1294">
        <v>389</v>
      </c>
      <c r="B1294" s="8">
        <v>46200</v>
      </c>
      <c r="C1294" s="9">
        <v>0.76548611111111109</v>
      </c>
      <c r="D1294" s="7" t="s">
        <v>24</v>
      </c>
      <c r="E1294" s="13" t="s">
        <v>49</v>
      </c>
      <c r="F1294" s="16">
        <v>67.394681399999996</v>
      </c>
      <c r="G1294" s="129">
        <v>1493.48425</v>
      </c>
      <c r="H1294" s="22">
        <v>0</v>
      </c>
      <c r="I1294" s="19"/>
      <c r="J1294" s="7" t="s">
        <v>27</v>
      </c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</row>
    <row r="1295" spans="1:22" x14ac:dyDescent="0.2">
      <c r="A1295">
        <v>417</v>
      </c>
      <c r="B1295" s="8">
        <v>46200</v>
      </c>
      <c r="C1295" s="9">
        <v>0.77384259259259258</v>
      </c>
      <c r="D1295" s="7" t="s">
        <v>21</v>
      </c>
      <c r="E1295" s="13" t="s">
        <v>46</v>
      </c>
      <c r="F1295" s="16">
        <v>72.349243200000004</v>
      </c>
      <c r="G1295" s="129">
        <v>452.31091300000003</v>
      </c>
      <c r="H1295" s="22">
        <v>1</v>
      </c>
      <c r="I1295" s="19" t="s">
        <v>40</v>
      </c>
      <c r="J1295" s="7" t="s">
        <v>27</v>
      </c>
      <c r="K1295" s="16">
        <v>100.35252800000001</v>
      </c>
      <c r="L1295" s="16">
        <v>14.174640699999999</v>
      </c>
      <c r="M1295" s="16">
        <v>-32.348053</v>
      </c>
      <c r="N1295" s="16">
        <v>71.982553199999998</v>
      </c>
      <c r="O1295" s="16">
        <v>1513.3063999999999</v>
      </c>
      <c r="P1295" s="16">
        <v>246</v>
      </c>
      <c r="Q1295" s="16">
        <v>1.39412296</v>
      </c>
      <c r="R1295" s="16">
        <v>1.4311651000000001</v>
      </c>
      <c r="S1295" s="16">
        <v>103.018922</v>
      </c>
      <c r="T1295" s="16">
        <v>0.97411742999999995</v>
      </c>
    </row>
    <row r="1296" spans="1:22" x14ac:dyDescent="0.2">
      <c r="A1296">
        <v>447</v>
      </c>
      <c r="B1296" s="8">
        <v>46200</v>
      </c>
      <c r="C1296" s="9">
        <v>0.78636574074074073</v>
      </c>
      <c r="D1296" s="7" t="s">
        <v>25</v>
      </c>
      <c r="E1296" s="13" t="s">
        <v>37</v>
      </c>
      <c r="F1296" s="16">
        <v>72.031636300000002</v>
      </c>
      <c r="G1296" s="129">
        <v>2086.29126</v>
      </c>
      <c r="H1296" s="22">
        <v>1</v>
      </c>
      <c r="I1296" s="19"/>
      <c r="J1296" s="7" t="s">
        <v>27</v>
      </c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V1296" s="11">
        <v>60</v>
      </c>
    </row>
    <row r="1297" spans="1:22" x14ac:dyDescent="0.2">
      <c r="A1297">
        <v>448</v>
      </c>
      <c r="B1297" s="8">
        <v>46200</v>
      </c>
      <c r="C1297" s="9">
        <v>0.7866319444444444</v>
      </c>
      <c r="D1297" s="7" t="s">
        <v>25</v>
      </c>
      <c r="E1297" s="13" t="s">
        <v>37</v>
      </c>
      <c r="F1297" s="16">
        <v>73.047961599999994</v>
      </c>
      <c r="G1297" s="129">
        <v>1599.4782700000001</v>
      </c>
      <c r="H1297" s="22">
        <v>0</v>
      </c>
      <c r="I1297" s="19"/>
      <c r="J1297" s="7" t="s">
        <v>27</v>
      </c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</row>
    <row r="1298" spans="1:22" x14ac:dyDescent="0.2">
      <c r="A1298">
        <v>449</v>
      </c>
      <c r="B1298" s="8">
        <v>46200</v>
      </c>
      <c r="C1298" s="9">
        <v>0.78687499999999999</v>
      </c>
      <c r="D1298" s="7" t="s">
        <v>25</v>
      </c>
      <c r="E1298" s="13" t="s">
        <v>37</v>
      </c>
      <c r="F1298" s="16">
        <v>70.808879399999995</v>
      </c>
      <c r="G1298" s="129">
        <v>2152.10034</v>
      </c>
      <c r="H1298" s="22">
        <v>0</v>
      </c>
      <c r="I1298" s="19"/>
      <c r="J1298" s="7" t="s">
        <v>27</v>
      </c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</row>
    <row r="1299" spans="1:22" x14ac:dyDescent="0.2">
      <c r="A1299">
        <v>450</v>
      </c>
      <c r="B1299" s="8">
        <v>46200</v>
      </c>
      <c r="C1299" s="9">
        <v>0.78712962962962962</v>
      </c>
      <c r="D1299" s="7" t="s">
        <v>25</v>
      </c>
      <c r="E1299" s="13" t="s">
        <v>33</v>
      </c>
      <c r="F1299" s="16">
        <v>84.672111599999994</v>
      </c>
      <c r="G1299" s="129">
        <v>2059.2810100000002</v>
      </c>
      <c r="H1299" s="22">
        <v>1</v>
      </c>
      <c r="I1299" s="19" t="s">
        <v>39</v>
      </c>
      <c r="J1299" s="7" t="s">
        <v>27</v>
      </c>
      <c r="K1299" s="16"/>
      <c r="L1299" s="16"/>
      <c r="M1299" s="16"/>
      <c r="N1299" s="16">
        <v>71.252048700000003</v>
      </c>
      <c r="O1299" s="16"/>
      <c r="P1299" s="16"/>
      <c r="Q1299" s="16"/>
      <c r="R1299" s="16"/>
      <c r="S1299" s="16"/>
      <c r="T1299" s="16"/>
      <c r="V1299" s="14">
        <v>95</v>
      </c>
    </row>
    <row r="1300" spans="1:22" x14ac:dyDescent="0.2">
      <c r="A1300">
        <v>451</v>
      </c>
      <c r="B1300" s="8">
        <v>46200</v>
      </c>
      <c r="C1300" s="9">
        <v>0.78753472222222221</v>
      </c>
      <c r="D1300" s="7" t="s">
        <v>25</v>
      </c>
      <c r="E1300" s="13" t="s">
        <v>33</v>
      </c>
      <c r="F1300" s="16">
        <v>88.991472400000006</v>
      </c>
      <c r="G1300" s="129">
        <v>2068.3466800000001</v>
      </c>
      <c r="H1300" s="22">
        <v>1</v>
      </c>
      <c r="I1300" s="19" t="s">
        <v>38</v>
      </c>
      <c r="J1300" s="7" t="s">
        <v>27</v>
      </c>
      <c r="K1300" s="16"/>
      <c r="L1300" s="16"/>
      <c r="M1300" s="16"/>
      <c r="N1300" s="16">
        <v>63.722259299999997</v>
      </c>
      <c r="O1300" s="16"/>
      <c r="P1300" s="16"/>
      <c r="Q1300" s="16"/>
      <c r="R1300" s="16"/>
      <c r="S1300" s="16"/>
      <c r="T1300" s="16"/>
    </row>
    <row r="1301" spans="1:22" x14ac:dyDescent="0.2">
      <c r="A1301">
        <v>452</v>
      </c>
      <c r="B1301" s="8">
        <v>46200</v>
      </c>
      <c r="C1301" s="9">
        <v>0.78788194444444448</v>
      </c>
      <c r="D1301" s="7" t="s">
        <v>25</v>
      </c>
      <c r="E1301" s="13" t="s">
        <v>37</v>
      </c>
      <c r="F1301" s="16">
        <v>76.144560999999996</v>
      </c>
      <c r="G1301" s="129">
        <v>2283.49487</v>
      </c>
      <c r="H1301" s="22">
        <v>1</v>
      </c>
      <c r="I1301" s="19" t="s">
        <v>40</v>
      </c>
      <c r="J1301" s="7" t="s">
        <v>27</v>
      </c>
      <c r="K1301" s="16"/>
      <c r="L1301" s="16"/>
      <c r="M1301" s="16"/>
      <c r="N1301" s="16">
        <v>61.896002099999997</v>
      </c>
      <c r="O1301" s="16"/>
      <c r="P1301" s="16"/>
      <c r="Q1301" s="16"/>
      <c r="R1301" s="16"/>
      <c r="S1301" s="16"/>
      <c r="T1301" s="16"/>
    </row>
    <row r="1302" spans="1:22" x14ac:dyDescent="0.2">
      <c r="A1302">
        <v>484</v>
      </c>
      <c r="B1302" s="8">
        <v>46203</v>
      </c>
      <c r="C1302" s="9">
        <v>0.77984953703703708</v>
      </c>
      <c r="D1302" s="7" t="s">
        <v>24</v>
      </c>
      <c r="E1302" s="13" t="s">
        <v>33</v>
      </c>
      <c r="F1302" s="16">
        <v>82.734751900000006</v>
      </c>
      <c r="G1302" s="129">
        <v>2151.36841</v>
      </c>
      <c r="H1302" s="22">
        <v>0</v>
      </c>
      <c r="I1302" s="19"/>
      <c r="J1302" s="7" t="s">
        <v>27</v>
      </c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</row>
    <row r="1303" spans="1:22" x14ac:dyDescent="0.2">
      <c r="A1303">
        <v>485</v>
      </c>
      <c r="B1303" s="8">
        <v>46203</v>
      </c>
      <c r="C1303" s="9">
        <v>0.78008101851851852</v>
      </c>
      <c r="D1303" s="7" t="s">
        <v>24</v>
      </c>
      <c r="E1303" s="13" t="s">
        <v>33</v>
      </c>
      <c r="F1303" s="16">
        <v>82.830033900000004</v>
      </c>
      <c r="G1303" s="129">
        <v>2111.7058099999999</v>
      </c>
      <c r="H1303" s="22">
        <v>1</v>
      </c>
      <c r="I1303" s="19" t="s">
        <v>40</v>
      </c>
      <c r="J1303" s="7" t="s">
        <v>27</v>
      </c>
      <c r="K1303" s="16">
        <v>90.159245299999995</v>
      </c>
      <c r="L1303" s="16">
        <v>-25.232268999999999</v>
      </c>
      <c r="M1303" s="16">
        <v>-41.822555999999999</v>
      </c>
      <c r="N1303" s="16">
        <v>71.420626900000002</v>
      </c>
      <c r="O1303" s="16"/>
      <c r="P1303" s="16">
        <v>7</v>
      </c>
      <c r="Q1303" s="16">
        <v>1.2623698699999999</v>
      </c>
      <c r="R1303" s="16">
        <v>1.4770009500000001</v>
      </c>
      <c r="S1303" s="16">
        <v>105.48832899999999</v>
      </c>
      <c r="T1303" s="16">
        <v>0.85468453</v>
      </c>
      <c r="V1303" s="14">
        <v>65</v>
      </c>
    </row>
    <row r="1304" spans="1:22" x14ac:dyDescent="0.2">
      <c r="A1304">
        <v>518</v>
      </c>
      <c r="B1304" s="8">
        <v>46203</v>
      </c>
      <c r="C1304" s="9">
        <v>0.7946064814814815</v>
      </c>
      <c r="D1304" s="7" t="s">
        <v>24</v>
      </c>
      <c r="E1304" s="13" t="s">
        <v>33</v>
      </c>
      <c r="F1304" s="16">
        <v>82.877675100000005</v>
      </c>
      <c r="G1304" s="129">
        <v>2199.0908199999999</v>
      </c>
      <c r="H1304" s="22">
        <v>1</v>
      </c>
      <c r="I1304" s="19"/>
      <c r="J1304" s="7" t="s">
        <v>27</v>
      </c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</row>
    <row r="1305" spans="1:22" x14ac:dyDescent="0.2">
      <c r="A1305">
        <v>519</v>
      </c>
      <c r="B1305" s="8">
        <v>46203</v>
      </c>
      <c r="C1305" s="9">
        <v>0.79493055555555558</v>
      </c>
      <c r="D1305" s="7" t="s">
        <v>24</v>
      </c>
      <c r="E1305" s="13" t="s">
        <v>33</v>
      </c>
      <c r="F1305" s="16">
        <v>83.004717799999995</v>
      </c>
      <c r="G1305" s="129">
        <v>1084.05627</v>
      </c>
      <c r="H1305" s="22">
        <v>1</v>
      </c>
      <c r="I1305" s="19"/>
      <c r="J1305" s="7" t="s">
        <v>27</v>
      </c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</row>
    <row r="1306" spans="1:22" x14ac:dyDescent="0.2">
      <c r="A1306">
        <v>520</v>
      </c>
      <c r="B1306" s="8">
        <v>46203</v>
      </c>
      <c r="C1306" s="9">
        <v>0.79515046296296299</v>
      </c>
      <c r="D1306" s="7" t="s">
        <v>24</v>
      </c>
      <c r="E1306" s="13" t="s">
        <v>37</v>
      </c>
      <c r="F1306" s="16">
        <v>69.617883300000003</v>
      </c>
      <c r="G1306" s="129">
        <v>2216.0825199999999</v>
      </c>
      <c r="H1306" s="22">
        <v>1</v>
      </c>
      <c r="I1306" s="19" t="s">
        <v>45</v>
      </c>
      <c r="J1306" s="7" t="s">
        <v>27</v>
      </c>
      <c r="K1306" s="16"/>
      <c r="L1306" s="16"/>
      <c r="M1306" s="16"/>
      <c r="N1306" s="16">
        <v>66.981421100000006</v>
      </c>
      <c r="O1306" s="16"/>
      <c r="P1306" s="16"/>
      <c r="Q1306" s="16"/>
      <c r="R1306" s="16"/>
      <c r="S1306" s="16"/>
      <c r="T1306" s="16"/>
    </row>
    <row r="1307" spans="1:22" x14ac:dyDescent="0.2">
      <c r="A1307">
        <v>572</v>
      </c>
      <c r="B1307" s="8">
        <v>46203</v>
      </c>
      <c r="C1307" s="9">
        <v>0.81473379629629628</v>
      </c>
      <c r="D1307" s="7" t="s">
        <v>25</v>
      </c>
      <c r="E1307" s="13" t="s">
        <v>33</v>
      </c>
      <c r="F1307" s="16">
        <v>81.924873000000005</v>
      </c>
      <c r="G1307" s="129">
        <v>1921.7962600000001</v>
      </c>
      <c r="H1307" s="22">
        <v>1</v>
      </c>
      <c r="I1307" s="19" t="s">
        <v>40</v>
      </c>
      <c r="J1307" s="7" t="s">
        <v>27</v>
      </c>
      <c r="K1307" s="16">
        <v>96.433075099999996</v>
      </c>
      <c r="L1307" s="16">
        <v>-2.9676689999999999</v>
      </c>
      <c r="M1307" s="16">
        <v>1.6481438900000001</v>
      </c>
      <c r="N1307" s="16">
        <v>66.110438299999998</v>
      </c>
      <c r="O1307" s="16"/>
      <c r="P1307" s="16">
        <v>31</v>
      </c>
      <c r="Q1307" s="16">
        <v>1.45866644</v>
      </c>
      <c r="R1307" s="16">
        <v>1.4961271300000001</v>
      </c>
      <c r="S1307" s="16">
        <v>98.909624300000004</v>
      </c>
      <c r="T1307" s="16">
        <v>0.97496154999999995</v>
      </c>
    </row>
    <row r="1308" spans="1:22" x14ac:dyDescent="0.2">
      <c r="A1308">
        <v>607</v>
      </c>
      <c r="B1308" s="8">
        <v>46214</v>
      </c>
      <c r="C1308" s="9">
        <v>0.46486111111111111</v>
      </c>
      <c r="D1308" s="7" t="s">
        <v>18</v>
      </c>
      <c r="E1308" s="13" t="s">
        <v>36</v>
      </c>
      <c r="F1308" s="16">
        <v>77.811954999999998</v>
      </c>
      <c r="G1308" s="129">
        <v>2225.5505400000002</v>
      </c>
      <c r="H1308" s="22">
        <v>1</v>
      </c>
      <c r="I1308" s="19" t="s">
        <v>39</v>
      </c>
      <c r="J1308" s="7" t="s">
        <v>27</v>
      </c>
      <c r="K1308" s="16"/>
      <c r="L1308" s="16"/>
      <c r="M1308" s="16"/>
      <c r="N1308" s="16">
        <v>68.011254500000007</v>
      </c>
      <c r="O1308" s="16"/>
      <c r="P1308" s="16"/>
      <c r="Q1308" s="16"/>
      <c r="R1308" s="16"/>
      <c r="S1308" s="16"/>
      <c r="T1308" s="16"/>
    </row>
    <row r="1309" spans="1:22" x14ac:dyDescent="0.2">
      <c r="A1309">
        <v>608</v>
      </c>
      <c r="B1309" s="8">
        <v>46214</v>
      </c>
      <c r="C1309" s="9">
        <v>0.46512731481481484</v>
      </c>
      <c r="D1309" s="7" t="s">
        <v>18</v>
      </c>
      <c r="E1309" s="13" t="s">
        <v>33</v>
      </c>
      <c r="F1309" s="16">
        <v>84.3545132</v>
      </c>
      <c r="G1309" s="129">
        <v>1121.42542</v>
      </c>
      <c r="H1309" s="22">
        <v>0</v>
      </c>
      <c r="I1309" s="19" t="s">
        <v>39</v>
      </c>
      <c r="J1309" s="7" t="s">
        <v>27</v>
      </c>
      <c r="K1309" s="16"/>
      <c r="L1309" s="16"/>
      <c r="M1309" s="16"/>
      <c r="N1309" s="16">
        <v>68.292292200000006</v>
      </c>
      <c r="O1309" s="16"/>
      <c r="P1309" s="16"/>
      <c r="Q1309" s="16"/>
      <c r="R1309" s="16"/>
      <c r="S1309" s="16"/>
      <c r="T1309" s="16"/>
    </row>
    <row r="1310" spans="1:22" x14ac:dyDescent="0.2">
      <c r="A1310">
        <v>609</v>
      </c>
      <c r="B1310" s="8">
        <v>46214</v>
      </c>
      <c r="C1310" s="9">
        <v>0.46540509259259261</v>
      </c>
      <c r="D1310" s="7" t="s">
        <v>18</v>
      </c>
      <c r="E1310" s="13" t="s">
        <v>37</v>
      </c>
      <c r="F1310" s="16">
        <v>72.777995599999997</v>
      </c>
      <c r="G1310" s="129">
        <v>2253.3789099999999</v>
      </c>
      <c r="H1310" s="22">
        <v>0</v>
      </c>
      <c r="I1310" s="19"/>
      <c r="J1310" s="7" t="s">
        <v>27</v>
      </c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</row>
    <row r="1311" spans="1:22" x14ac:dyDescent="0.2">
      <c r="A1311">
        <v>610</v>
      </c>
      <c r="B1311" s="8">
        <v>46214</v>
      </c>
      <c r="C1311" s="9">
        <v>0.46569444444444447</v>
      </c>
      <c r="D1311" s="7" t="s">
        <v>18</v>
      </c>
      <c r="E1311" s="13" t="s">
        <v>36</v>
      </c>
      <c r="F1311" s="16">
        <v>79.781075400000006</v>
      </c>
      <c r="G1311" s="129">
        <v>2126.5671400000001</v>
      </c>
      <c r="H1311" s="22">
        <v>0</v>
      </c>
      <c r="I1311" s="19"/>
      <c r="J1311" s="7" t="s">
        <v>27</v>
      </c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</row>
    <row r="1312" spans="1:22" x14ac:dyDescent="0.2">
      <c r="A1312">
        <v>611</v>
      </c>
      <c r="B1312" s="8">
        <v>46214</v>
      </c>
      <c r="C1312" s="9">
        <v>0.46607638888888892</v>
      </c>
      <c r="D1312" s="7" t="s">
        <v>18</v>
      </c>
      <c r="E1312" s="13" t="s">
        <v>37</v>
      </c>
      <c r="F1312" s="16">
        <v>72.793876100000006</v>
      </c>
      <c r="G1312" s="129">
        <v>2072.1674800000001</v>
      </c>
      <c r="H1312" s="22">
        <v>1</v>
      </c>
      <c r="I1312" s="19"/>
      <c r="J1312" s="7" t="s">
        <v>27</v>
      </c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</row>
    <row r="1313" spans="1:22" x14ac:dyDescent="0.2">
      <c r="A1313">
        <v>612</v>
      </c>
      <c r="B1313" s="8">
        <v>46214</v>
      </c>
      <c r="C1313" s="9">
        <v>0.46635416666666668</v>
      </c>
      <c r="D1313" s="7" t="s">
        <v>18</v>
      </c>
      <c r="E1313" s="13" t="s">
        <v>33</v>
      </c>
      <c r="F1313" s="16">
        <v>84.846795499999999</v>
      </c>
      <c r="G1313" s="129">
        <v>2182.83374</v>
      </c>
      <c r="H1313" s="22">
        <v>1</v>
      </c>
      <c r="I1313" s="19" t="s">
        <v>38</v>
      </c>
      <c r="J1313" s="7" t="s">
        <v>27</v>
      </c>
      <c r="K1313" s="16">
        <v>82.145762399999995</v>
      </c>
      <c r="L1313" s="16">
        <v>59.802589400000002</v>
      </c>
      <c r="M1313" s="16">
        <v>23.813457499999998</v>
      </c>
      <c r="N1313" s="16">
        <v>66.662269800000004</v>
      </c>
      <c r="O1313" s="16"/>
      <c r="P1313" s="16"/>
      <c r="Q1313" s="16">
        <v>1.2322677399999999</v>
      </c>
      <c r="R1313" s="16">
        <v>1.6207581799999999</v>
      </c>
      <c r="S1313" s="16">
        <v>108.043418</v>
      </c>
      <c r="T1313" s="16">
        <v>0.76030326999999998</v>
      </c>
      <c r="V1313" s="14">
        <v>70</v>
      </c>
    </row>
    <row r="1314" spans="1:22" x14ac:dyDescent="0.2">
      <c r="A1314">
        <v>613</v>
      </c>
      <c r="B1314" s="8">
        <v>46214</v>
      </c>
      <c r="C1314" s="9">
        <v>0.46667824074074077</v>
      </c>
      <c r="D1314" s="7" t="s">
        <v>18</v>
      </c>
      <c r="E1314" s="13" t="s">
        <v>37</v>
      </c>
      <c r="F1314" s="16">
        <v>73.349679699999996</v>
      </c>
      <c r="G1314" s="129">
        <v>2123.1535600000002</v>
      </c>
      <c r="H1314" s="22">
        <v>1</v>
      </c>
      <c r="I1314" s="19" t="s">
        <v>45</v>
      </c>
      <c r="J1314" s="7" t="s">
        <v>27</v>
      </c>
      <c r="K1314" s="16"/>
      <c r="L1314" s="16"/>
      <c r="M1314" s="16"/>
      <c r="N1314" s="16">
        <v>68.629538499999995</v>
      </c>
      <c r="O1314" s="16"/>
      <c r="P1314" s="16"/>
      <c r="Q1314" s="16"/>
      <c r="R1314" s="16"/>
      <c r="S1314" s="16"/>
      <c r="T1314" s="16"/>
    </row>
    <row r="1315" spans="1:22" x14ac:dyDescent="0.2">
      <c r="A1315">
        <v>666</v>
      </c>
      <c r="B1315" s="8">
        <v>46214</v>
      </c>
      <c r="C1315" s="9">
        <v>0.48652777777777778</v>
      </c>
      <c r="D1315" s="7" t="s">
        <v>21</v>
      </c>
      <c r="E1315" s="13" t="s">
        <v>33</v>
      </c>
      <c r="F1315" s="16">
        <v>81.623153000000002</v>
      </c>
      <c r="G1315" s="129">
        <v>2073.6333</v>
      </c>
      <c r="H1315" s="22">
        <v>0</v>
      </c>
      <c r="I1315" s="19"/>
      <c r="J1315" s="7" t="s">
        <v>27</v>
      </c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</row>
    <row r="1316" spans="1:22" x14ac:dyDescent="0.2">
      <c r="A1316">
        <v>667</v>
      </c>
      <c r="B1316" s="8">
        <v>46214</v>
      </c>
      <c r="C1316" s="9">
        <v>0.48672453703703705</v>
      </c>
      <c r="D1316" s="7" t="s">
        <v>21</v>
      </c>
      <c r="E1316" s="13" t="s">
        <v>33</v>
      </c>
      <c r="F1316" s="16">
        <v>83.465227100000007</v>
      </c>
      <c r="G1316" s="129">
        <v>1055.29358</v>
      </c>
      <c r="H1316" s="22">
        <v>1</v>
      </c>
      <c r="I1316" s="19" t="s">
        <v>40</v>
      </c>
      <c r="J1316" s="7" t="s">
        <v>27</v>
      </c>
      <c r="K1316" s="16">
        <v>91.0002894</v>
      </c>
      <c r="L1316" s="16">
        <v>11.415533099999999</v>
      </c>
      <c r="M1316" s="16">
        <v>-6.9275159999999998</v>
      </c>
      <c r="N1316" s="16">
        <v>70.877840800000001</v>
      </c>
      <c r="O1316" s="16">
        <v>951.652649</v>
      </c>
      <c r="P1316" s="16">
        <v>186</v>
      </c>
      <c r="Q1316" s="16">
        <v>1.2839032399999999</v>
      </c>
      <c r="R1316" s="16">
        <v>1.57881951</v>
      </c>
      <c r="S1316" s="16">
        <v>111.903316</v>
      </c>
      <c r="T1316" s="16">
        <v>0.81320457999999995</v>
      </c>
    </row>
    <row r="1317" spans="1:22" x14ac:dyDescent="0.2">
      <c r="A1317">
        <v>695</v>
      </c>
      <c r="B1317" s="8">
        <v>46214</v>
      </c>
      <c r="C1317" s="9">
        <v>0.49736111111111109</v>
      </c>
      <c r="D1317" s="7" t="s">
        <v>18</v>
      </c>
      <c r="E1317" s="13" t="s">
        <v>37</v>
      </c>
      <c r="F1317" s="16">
        <v>74.111919200000003</v>
      </c>
      <c r="G1317" s="129">
        <v>2323.9794900000002</v>
      </c>
      <c r="H1317" s="22">
        <v>0</v>
      </c>
      <c r="I1317" s="19"/>
      <c r="J1317" s="7" t="s">
        <v>27</v>
      </c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</row>
    <row r="1318" spans="1:22" x14ac:dyDescent="0.2">
      <c r="A1318">
        <v>696</v>
      </c>
      <c r="B1318" s="8">
        <v>46214</v>
      </c>
      <c r="C1318" s="9">
        <v>0.49758101851851849</v>
      </c>
      <c r="D1318" s="7" t="s">
        <v>18</v>
      </c>
      <c r="E1318" s="13" t="s">
        <v>37</v>
      </c>
      <c r="F1318" s="16">
        <v>73.032081099999999</v>
      </c>
      <c r="G1318" s="129">
        <v>2209.1945799999999</v>
      </c>
      <c r="H1318" s="22">
        <v>1</v>
      </c>
      <c r="I1318" s="19" t="s">
        <v>39</v>
      </c>
      <c r="J1318" s="7" t="s">
        <v>27</v>
      </c>
      <c r="K1318" s="16"/>
      <c r="L1318" s="16"/>
      <c r="M1318" s="16"/>
      <c r="N1318" s="16">
        <v>66.325023599999994</v>
      </c>
      <c r="O1318" s="16"/>
      <c r="P1318" s="16"/>
      <c r="Q1318" s="16"/>
      <c r="R1318" s="16"/>
      <c r="S1318" s="16"/>
      <c r="T1318" s="16"/>
    </row>
    <row r="1319" spans="1:22" x14ac:dyDescent="0.2">
      <c r="A1319">
        <v>697</v>
      </c>
      <c r="B1319" s="8">
        <v>46214</v>
      </c>
      <c r="C1319" s="9">
        <v>0.49784722222222222</v>
      </c>
      <c r="D1319" s="7" t="s">
        <v>18</v>
      </c>
      <c r="E1319" s="13" t="s">
        <v>33</v>
      </c>
      <c r="F1319" s="16">
        <v>82.830033900000004</v>
      </c>
      <c r="G1319" s="129">
        <v>1152.94714</v>
      </c>
      <c r="H1319" s="22">
        <v>1</v>
      </c>
      <c r="I1319" s="19" t="s">
        <v>39</v>
      </c>
      <c r="J1319" s="7" t="s">
        <v>27</v>
      </c>
      <c r="K1319" s="16"/>
      <c r="L1319" s="16"/>
      <c r="M1319" s="16"/>
      <c r="N1319" s="16">
        <v>69.809898099999998</v>
      </c>
      <c r="O1319" s="16"/>
      <c r="P1319" s="16"/>
      <c r="Q1319" s="16"/>
      <c r="R1319" s="16"/>
      <c r="S1319" s="16"/>
      <c r="T1319" s="16"/>
    </row>
    <row r="1320" spans="1:22" x14ac:dyDescent="0.2">
      <c r="A1320">
        <v>698</v>
      </c>
      <c r="B1320" s="8">
        <v>46214</v>
      </c>
      <c r="C1320" s="9">
        <v>0.49820601851851853</v>
      </c>
      <c r="D1320" s="7" t="s">
        <v>18</v>
      </c>
      <c r="E1320" s="13" t="s">
        <v>36</v>
      </c>
      <c r="F1320" s="16">
        <v>79.272912899999994</v>
      </c>
      <c r="G1320" s="129">
        <v>2194.3049299999998</v>
      </c>
      <c r="H1320" s="22">
        <v>0</v>
      </c>
      <c r="I1320" s="19"/>
      <c r="J1320" s="7" t="s">
        <v>27</v>
      </c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V1320" s="14">
        <v>100</v>
      </c>
    </row>
    <row r="1321" spans="1:22" x14ac:dyDescent="0.2">
      <c r="A1321">
        <v>699</v>
      </c>
      <c r="B1321" s="8">
        <v>46214</v>
      </c>
      <c r="C1321" s="9">
        <v>0.49856481481481479</v>
      </c>
      <c r="D1321" s="7" t="s">
        <v>18</v>
      </c>
      <c r="E1321" s="13" t="s">
        <v>37</v>
      </c>
      <c r="F1321" s="16">
        <v>74.191321099999996</v>
      </c>
      <c r="G1321" s="129">
        <v>2208.17139</v>
      </c>
      <c r="H1321" s="22">
        <v>0</v>
      </c>
      <c r="I1321" s="19"/>
      <c r="J1321" s="7" t="s">
        <v>27</v>
      </c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</row>
    <row r="1322" spans="1:22" x14ac:dyDescent="0.2">
      <c r="A1322">
        <v>700</v>
      </c>
      <c r="B1322" s="8">
        <v>46214</v>
      </c>
      <c r="C1322" s="9">
        <v>0.49880787037037039</v>
      </c>
      <c r="D1322" s="7" t="s">
        <v>18</v>
      </c>
      <c r="E1322" s="13" t="s">
        <v>33</v>
      </c>
      <c r="F1322" s="16">
        <v>84.735633000000007</v>
      </c>
      <c r="G1322" s="129">
        <v>2354.5661599999999</v>
      </c>
      <c r="H1322" s="22">
        <v>1</v>
      </c>
      <c r="I1322" s="19" t="s">
        <v>38</v>
      </c>
      <c r="J1322" s="7" t="s">
        <v>27</v>
      </c>
      <c r="K1322" s="16"/>
      <c r="L1322" s="16"/>
      <c r="M1322" s="16"/>
      <c r="N1322" s="16">
        <v>67.786420800000002</v>
      </c>
      <c r="O1322" s="16"/>
      <c r="P1322" s="16"/>
      <c r="Q1322" s="16"/>
      <c r="R1322" s="16"/>
      <c r="S1322" s="16"/>
      <c r="T1322" s="16"/>
      <c r="V1322" s="11">
        <v>75</v>
      </c>
    </row>
    <row r="1323" spans="1:22" x14ac:dyDescent="0.2">
      <c r="A1323">
        <v>701</v>
      </c>
      <c r="B1323" s="8">
        <v>46214</v>
      </c>
      <c r="C1323" s="9">
        <v>0.49930555555555556</v>
      </c>
      <c r="D1323" s="7" t="s">
        <v>18</v>
      </c>
      <c r="E1323" s="13" t="s">
        <v>37</v>
      </c>
      <c r="F1323" s="16">
        <v>73.8102011</v>
      </c>
      <c r="G1323" s="129">
        <v>1088.0056199999999</v>
      </c>
      <c r="H1323" s="22">
        <v>1</v>
      </c>
      <c r="I1323" s="19" t="s">
        <v>40</v>
      </c>
      <c r="J1323" s="7" t="s">
        <v>27</v>
      </c>
      <c r="K1323" s="16">
        <v>77.293475700000002</v>
      </c>
      <c r="L1323" s="16">
        <v>30.348320000000001</v>
      </c>
      <c r="M1323" s="16">
        <v>36.040187799999998</v>
      </c>
      <c r="N1323" s="16">
        <v>65.819152099999997</v>
      </c>
      <c r="O1323" s="16">
        <v>3742.0964399999998</v>
      </c>
      <c r="P1323" s="16">
        <v>257</v>
      </c>
      <c r="Q1323" s="16">
        <v>1.17433107</v>
      </c>
      <c r="R1323" s="16">
        <v>1.5728931399999999</v>
      </c>
      <c r="S1323" s="16">
        <v>103.52649599999999</v>
      </c>
      <c r="T1323" s="16">
        <v>0.74660576000000001</v>
      </c>
      <c r="V1323" s="14">
        <v>80</v>
      </c>
    </row>
    <row r="1324" spans="1:22" x14ac:dyDescent="0.2">
      <c r="A1324">
        <v>738</v>
      </c>
      <c r="B1324" s="8">
        <v>46214</v>
      </c>
      <c r="C1324" s="9">
        <v>0.51442129629629629</v>
      </c>
      <c r="D1324" s="7" t="s">
        <v>22</v>
      </c>
      <c r="E1324" s="13" t="s">
        <v>54</v>
      </c>
      <c r="F1324" s="16">
        <v>82.560076499999994</v>
      </c>
      <c r="G1324" s="129">
        <v>1058.14905</v>
      </c>
      <c r="H1324" s="22">
        <v>0</v>
      </c>
      <c r="I1324" s="19"/>
      <c r="J1324" s="7" t="s">
        <v>27</v>
      </c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</row>
    <row r="1325" spans="1:22" x14ac:dyDescent="0.2">
      <c r="A1325">
        <v>739</v>
      </c>
      <c r="B1325" s="8">
        <v>46214</v>
      </c>
      <c r="C1325" s="9">
        <v>0.51469907407407411</v>
      </c>
      <c r="D1325" s="7" t="s">
        <v>22</v>
      </c>
      <c r="E1325" s="13" t="s">
        <v>56</v>
      </c>
      <c r="F1325" s="16">
        <v>69.871960299999998</v>
      </c>
      <c r="G1325" s="129">
        <v>2032.70679</v>
      </c>
      <c r="H1325" s="22">
        <v>1</v>
      </c>
      <c r="I1325" s="19"/>
      <c r="J1325" s="7" t="s">
        <v>27</v>
      </c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</row>
    <row r="1326" spans="1:22" x14ac:dyDescent="0.2">
      <c r="A1326">
        <v>740</v>
      </c>
      <c r="B1326" s="8">
        <v>46214</v>
      </c>
      <c r="C1326" s="9">
        <v>0.51497685185185182</v>
      </c>
      <c r="D1326" s="7" t="s">
        <v>22</v>
      </c>
      <c r="E1326" s="13" t="s">
        <v>54</v>
      </c>
      <c r="F1326" s="16">
        <v>83.068230700000001</v>
      </c>
      <c r="G1326" s="129">
        <v>2112.22876</v>
      </c>
      <c r="H1326" s="22">
        <v>0</v>
      </c>
      <c r="I1326" s="19"/>
      <c r="J1326" s="7" t="s">
        <v>27</v>
      </c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</row>
    <row r="1327" spans="1:22" x14ac:dyDescent="0.2">
      <c r="A1327">
        <v>741</v>
      </c>
      <c r="B1327" s="8">
        <v>46214</v>
      </c>
      <c r="C1327" s="9">
        <v>0.51530092592592591</v>
      </c>
      <c r="D1327" s="7" t="s">
        <v>22</v>
      </c>
      <c r="E1327" s="13" t="s">
        <v>54</v>
      </c>
      <c r="F1327" s="16">
        <v>80.797392099999996</v>
      </c>
      <c r="G1327" s="129">
        <v>2012.5072</v>
      </c>
      <c r="H1327" s="22">
        <v>1</v>
      </c>
      <c r="I1327" s="19" t="s">
        <v>38</v>
      </c>
      <c r="J1327" s="7" t="s">
        <v>27</v>
      </c>
      <c r="K1327" s="16"/>
      <c r="L1327" s="16"/>
      <c r="M1327" s="16"/>
      <c r="N1327" s="16">
        <v>69.022988900000001</v>
      </c>
      <c r="O1327" s="16"/>
      <c r="P1327" s="16"/>
      <c r="Q1327" s="16"/>
      <c r="R1327" s="16"/>
      <c r="S1327" s="16"/>
      <c r="T1327" s="16"/>
    </row>
    <row r="1328" spans="1:22" x14ac:dyDescent="0.2">
      <c r="A1328">
        <v>742</v>
      </c>
      <c r="B1328" s="8">
        <v>46214</v>
      </c>
      <c r="C1328" s="9">
        <v>0.5158449074074074</v>
      </c>
      <c r="D1328" s="7" t="s">
        <v>22</v>
      </c>
      <c r="E1328" s="13" t="s">
        <v>55</v>
      </c>
      <c r="F1328" s="16">
        <v>76.065159399999999</v>
      </c>
      <c r="G1328" s="129">
        <v>1277.96</v>
      </c>
      <c r="H1328" s="22">
        <v>0</v>
      </c>
      <c r="I1328" s="19"/>
      <c r="J1328" s="7" t="s">
        <v>27</v>
      </c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</row>
    <row r="1329" spans="1:22" x14ac:dyDescent="0.2">
      <c r="A1329">
        <v>743</v>
      </c>
      <c r="B1329" s="8">
        <v>46214</v>
      </c>
      <c r="C1329" s="9">
        <v>0.51620370370370372</v>
      </c>
      <c r="D1329" s="7" t="s">
        <v>22</v>
      </c>
      <c r="E1329" s="13" t="s">
        <v>57</v>
      </c>
      <c r="F1329" s="16">
        <v>71.841080700000006</v>
      </c>
      <c r="G1329" s="129">
        <v>2081.5102499999998</v>
      </c>
      <c r="H1329" s="22">
        <v>0</v>
      </c>
      <c r="I1329" s="19" t="s">
        <v>48</v>
      </c>
      <c r="J1329" s="7" t="s">
        <v>27</v>
      </c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</row>
    <row r="1330" spans="1:22" x14ac:dyDescent="0.2">
      <c r="A1330">
        <v>744</v>
      </c>
      <c r="B1330" s="8">
        <v>46214</v>
      </c>
      <c r="C1330" s="9">
        <v>0.51646990740740739</v>
      </c>
      <c r="D1330" s="7" t="s">
        <v>22</v>
      </c>
      <c r="E1330" s="13" t="s">
        <v>58</v>
      </c>
      <c r="F1330" s="16">
        <v>80.5909561</v>
      </c>
      <c r="G1330" s="129">
        <v>1960.67688</v>
      </c>
      <c r="H1330" s="22">
        <v>1</v>
      </c>
      <c r="I1330" s="19" t="s">
        <v>39</v>
      </c>
      <c r="J1330" s="7" t="s">
        <v>27</v>
      </c>
      <c r="K1330" s="16"/>
      <c r="L1330" s="16"/>
      <c r="M1330" s="16"/>
      <c r="N1330" s="16">
        <v>67.730212399999999</v>
      </c>
      <c r="O1330" s="16"/>
      <c r="P1330" s="16"/>
      <c r="Q1330" s="16"/>
      <c r="R1330" s="16"/>
      <c r="S1330" s="16"/>
      <c r="T1330" s="16"/>
    </row>
    <row r="1331" spans="1:22" x14ac:dyDescent="0.2">
      <c r="A1331">
        <v>765</v>
      </c>
      <c r="B1331" s="8">
        <v>46214</v>
      </c>
      <c r="C1331" s="9">
        <v>0.52836805555555555</v>
      </c>
      <c r="D1331" s="7" t="s">
        <v>25</v>
      </c>
      <c r="E1331" s="13" t="s">
        <v>33</v>
      </c>
      <c r="F1331" s="16">
        <v>84.227470400000001</v>
      </c>
      <c r="G1331" s="129">
        <v>1885.98279</v>
      </c>
      <c r="H1331" s="22">
        <v>1</v>
      </c>
      <c r="I1331" s="19" t="s">
        <v>40</v>
      </c>
      <c r="J1331" s="7" t="s">
        <v>27</v>
      </c>
      <c r="K1331" s="16">
        <v>46.824439099999999</v>
      </c>
      <c r="L1331" s="16">
        <v>20.058111199999999</v>
      </c>
      <c r="M1331" s="16"/>
      <c r="N1331" s="16">
        <v>69.079197300000004</v>
      </c>
      <c r="O1331" s="16">
        <v>4625.7290000000003</v>
      </c>
      <c r="P1331" s="16"/>
      <c r="Q1331" s="16">
        <v>0.67783700000000002</v>
      </c>
      <c r="R1331" s="16">
        <v>1.6000559299999999</v>
      </c>
      <c r="S1331" s="16">
        <v>110.530574</v>
      </c>
      <c r="T1331" s="16">
        <v>0.42363335000000002</v>
      </c>
    </row>
    <row r="1332" spans="1:22" x14ac:dyDescent="0.2">
      <c r="A1332">
        <v>783</v>
      </c>
      <c r="B1332" s="8">
        <v>46214</v>
      </c>
      <c r="C1332" s="9">
        <v>0.53946759259259258</v>
      </c>
      <c r="D1332" s="7" t="s">
        <v>25</v>
      </c>
      <c r="E1332" s="13" t="s">
        <v>37</v>
      </c>
      <c r="F1332" s="16">
        <v>71.634644800000004</v>
      </c>
      <c r="G1332" s="129">
        <v>2235.6945799999999</v>
      </c>
      <c r="H1332" s="22">
        <v>1</v>
      </c>
      <c r="I1332" s="19"/>
      <c r="J1332" s="7" t="s">
        <v>27</v>
      </c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</row>
    <row r="1333" spans="1:22" x14ac:dyDescent="0.2">
      <c r="A1333">
        <v>784</v>
      </c>
      <c r="B1333" s="8">
        <v>46214</v>
      </c>
      <c r="C1333" s="9">
        <v>0.5396643518518518</v>
      </c>
      <c r="D1333" s="7" t="s">
        <v>25</v>
      </c>
      <c r="E1333" s="13" t="s">
        <v>33</v>
      </c>
      <c r="F1333" s="16">
        <v>84.084555699999996</v>
      </c>
      <c r="G1333" s="129">
        <v>1977.8692599999999</v>
      </c>
      <c r="H1333" s="22">
        <v>1</v>
      </c>
      <c r="I1333" s="19" t="s">
        <v>38</v>
      </c>
      <c r="J1333" s="7" t="s">
        <v>27</v>
      </c>
      <c r="K1333" s="16"/>
      <c r="L1333" s="16"/>
      <c r="M1333" s="16"/>
      <c r="N1333" s="16">
        <v>70.821636699999999</v>
      </c>
      <c r="O1333" s="16"/>
      <c r="P1333" s="16"/>
      <c r="Q1333" s="16"/>
      <c r="R1333" s="16"/>
      <c r="S1333" s="16"/>
      <c r="T1333" s="16"/>
    </row>
    <row r="1334" spans="1:22" x14ac:dyDescent="0.2">
      <c r="A1334">
        <v>785</v>
      </c>
      <c r="B1334" s="8">
        <v>46214</v>
      </c>
      <c r="C1334" s="9">
        <v>0.54</v>
      </c>
      <c r="D1334" s="7" t="s">
        <v>25</v>
      </c>
      <c r="E1334" s="13" t="s">
        <v>33</v>
      </c>
      <c r="F1334" s="16">
        <v>86.8953092</v>
      </c>
      <c r="G1334" s="129">
        <v>2024.1652799999999</v>
      </c>
      <c r="H1334" s="22">
        <v>0</v>
      </c>
      <c r="I1334" s="19"/>
      <c r="J1334" s="7" t="s">
        <v>27</v>
      </c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</row>
    <row r="1335" spans="1:22" x14ac:dyDescent="0.2">
      <c r="A1335">
        <v>786</v>
      </c>
      <c r="B1335" s="8">
        <v>46214</v>
      </c>
      <c r="C1335" s="9">
        <v>0.54018518518518521</v>
      </c>
      <c r="D1335" s="7" t="s">
        <v>25</v>
      </c>
      <c r="E1335" s="13" t="s">
        <v>37</v>
      </c>
      <c r="F1335" s="16">
        <v>76.4145185</v>
      </c>
      <c r="G1335" s="129">
        <v>2225.9868200000001</v>
      </c>
      <c r="H1335" s="22">
        <v>1</v>
      </c>
      <c r="I1335" s="19" t="s">
        <v>45</v>
      </c>
      <c r="J1335" s="7" t="s">
        <v>27</v>
      </c>
      <c r="K1335" s="16"/>
      <c r="L1335" s="16"/>
      <c r="M1335" s="16"/>
      <c r="N1335" s="16">
        <v>68.011254500000007</v>
      </c>
      <c r="O1335" s="16"/>
      <c r="P1335" s="16"/>
      <c r="Q1335" s="16"/>
      <c r="R1335" s="16"/>
      <c r="S1335" s="16"/>
      <c r="T1335" s="16"/>
    </row>
    <row r="1336" spans="1:22" x14ac:dyDescent="0.2">
      <c r="A1336">
        <v>809</v>
      </c>
      <c r="B1336" s="8">
        <v>46218</v>
      </c>
      <c r="C1336" s="9">
        <v>0.45343749999999999</v>
      </c>
      <c r="D1336" s="7" t="s">
        <v>25</v>
      </c>
      <c r="E1336" s="13" t="s">
        <v>35</v>
      </c>
      <c r="F1336" s="16">
        <v>72.920918799999995</v>
      </c>
      <c r="G1336" s="129">
        <v>1429.7625700000001</v>
      </c>
      <c r="H1336" s="22">
        <v>0</v>
      </c>
      <c r="I1336" s="19"/>
      <c r="J1336" s="7" t="s">
        <v>27</v>
      </c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</row>
    <row r="1337" spans="1:22" x14ac:dyDescent="0.2">
      <c r="A1337">
        <v>810</v>
      </c>
      <c r="B1337" s="8">
        <v>46218</v>
      </c>
      <c r="C1337" s="9">
        <v>0.45364583333333336</v>
      </c>
      <c r="D1337" s="7" t="s">
        <v>25</v>
      </c>
      <c r="E1337" s="13" t="s">
        <v>33</v>
      </c>
      <c r="F1337" s="16">
        <v>84.418034599999999</v>
      </c>
      <c r="G1337" s="129">
        <v>1901.76331</v>
      </c>
      <c r="H1337" s="22">
        <v>0</v>
      </c>
      <c r="I1337" s="19"/>
      <c r="J1337" s="7" t="s">
        <v>27</v>
      </c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</row>
    <row r="1338" spans="1:22" x14ac:dyDescent="0.2">
      <c r="A1338">
        <v>811</v>
      </c>
      <c r="B1338" s="8">
        <v>46218</v>
      </c>
      <c r="C1338" s="9">
        <v>0.45385416666666667</v>
      </c>
      <c r="D1338" s="7" t="s">
        <v>25</v>
      </c>
      <c r="E1338" s="13" t="s">
        <v>37</v>
      </c>
      <c r="F1338" s="16">
        <v>73.492602700000006</v>
      </c>
      <c r="G1338" s="129">
        <v>2268.5891099999999</v>
      </c>
      <c r="H1338" s="22">
        <v>0</v>
      </c>
      <c r="I1338" s="19"/>
      <c r="J1338" s="7" t="s">
        <v>27</v>
      </c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</row>
    <row r="1339" spans="1:22" x14ac:dyDescent="0.2">
      <c r="A1339">
        <v>812</v>
      </c>
      <c r="B1339" s="8">
        <v>46218</v>
      </c>
      <c r="C1339" s="9">
        <v>0.45405092592592594</v>
      </c>
      <c r="D1339" s="7" t="s">
        <v>25</v>
      </c>
      <c r="E1339" s="13" t="s">
        <v>33</v>
      </c>
      <c r="F1339" s="16">
        <v>85.164393899999993</v>
      </c>
      <c r="G1339" s="129">
        <v>1717.15894</v>
      </c>
      <c r="H1339" s="22">
        <v>1</v>
      </c>
      <c r="I1339" s="19" t="s">
        <v>40</v>
      </c>
      <c r="J1339" s="7" t="s">
        <v>27</v>
      </c>
      <c r="K1339" s="16">
        <v>97.314558000000005</v>
      </c>
      <c r="L1339" s="16">
        <v>-10.350002999999999</v>
      </c>
      <c r="M1339" s="16"/>
      <c r="N1339" s="16">
        <v>71.500826599999996</v>
      </c>
      <c r="O1339" s="16"/>
      <c r="P1339" s="16">
        <v>16</v>
      </c>
      <c r="Q1339" s="16">
        <v>1.361027</v>
      </c>
      <c r="R1339" s="16">
        <v>1.58752286</v>
      </c>
      <c r="S1339" s="16">
        <v>113.509193</v>
      </c>
      <c r="T1339" s="16">
        <v>0.85732750000000002</v>
      </c>
    </row>
    <row r="1340" spans="1:22" x14ac:dyDescent="0.2">
      <c r="A1340">
        <v>868</v>
      </c>
      <c r="B1340" s="8">
        <v>46218</v>
      </c>
      <c r="C1340" s="9">
        <v>0.47635416666666669</v>
      </c>
      <c r="D1340" s="7" t="s">
        <v>28</v>
      </c>
      <c r="E1340" s="13" t="s">
        <v>33</v>
      </c>
      <c r="F1340" s="16">
        <v>75.382321500000003</v>
      </c>
      <c r="G1340" s="129">
        <v>1990.08618</v>
      </c>
      <c r="H1340" s="22">
        <v>1</v>
      </c>
      <c r="I1340" s="19" t="s">
        <v>40</v>
      </c>
      <c r="J1340" s="7" t="s">
        <v>27</v>
      </c>
      <c r="K1340" s="16">
        <v>86.130449799999994</v>
      </c>
      <c r="L1340" s="16">
        <v>50.8304367</v>
      </c>
      <c r="M1340" s="16">
        <v>-15.714869</v>
      </c>
      <c r="N1340" s="16">
        <v>64.779974999999993</v>
      </c>
      <c r="O1340" s="16"/>
      <c r="P1340" s="16">
        <v>309</v>
      </c>
      <c r="Q1340" s="16">
        <v>1.3295844800000001</v>
      </c>
      <c r="R1340" s="16">
        <v>1.5945680099999999</v>
      </c>
      <c r="S1340" s="16">
        <v>103.29607300000001</v>
      </c>
      <c r="T1340" s="16">
        <v>0.83382111000000003</v>
      </c>
    </row>
    <row r="1341" spans="1:22" x14ac:dyDescent="0.2">
      <c r="A1341">
        <v>901</v>
      </c>
      <c r="B1341" s="8">
        <v>46221</v>
      </c>
      <c r="C1341" s="9">
        <v>0.43026620370370372</v>
      </c>
      <c r="D1341" s="7" t="s">
        <v>18</v>
      </c>
      <c r="E1341" s="13" t="s">
        <v>37</v>
      </c>
      <c r="F1341" s="16">
        <v>73.683158300000002</v>
      </c>
      <c r="G1341" s="129">
        <v>2241.7048300000001</v>
      </c>
      <c r="H1341" s="22">
        <v>1</v>
      </c>
      <c r="I1341" s="19" t="s">
        <v>38</v>
      </c>
      <c r="J1341" s="7" t="s">
        <v>27</v>
      </c>
      <c r="K1341" s="16"/>
      <c r="L1341" s="16"/>
      <c r="M1341" s="16"/>
      <c r="N1341" s="16">
        <v>63.772178699999998</v>
      </c>
      <c r="O1341" s="16"/>
      <c r="P1341" s="16"/>
      <c r="Q1341" s="16"/>
      <c r="R1341" s="16"/>
      <c r="S1341" s="16"/>
      <c r="T1341" s="16"/>
    </row>
    <row r="1342" spans="1:22" x14ac:dyDescent="0.2">
      <c r="A1342">
        <v>902</v>
      </c>
      <c r="B1342" s="8">
        <v>46221</v>
      </c>
      <c r="C1342" s="9">
        <v>0.43063657407407407</v>
      </c>
      <c r="D1342" s="7" t="s">
        <v>18</v>
      </c>
      <c r="E1342" s="13" t="s">
        <v>36</v>
      </c>
      <c r="F1342" s="16">
        <v>75.842834600000003</v>
      </c>
      <c r="G1342" s="129">
        <v>426.37286399999999</v>
      </c>
      <c r="H1342" s="22">
        <v>0</v>
      </c>
      <c r="I1342" s="19"/>
      <c r="J1342" s="7" t="s">
        <v>27</v>
      </c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</row>
    <row r="1343" spans="1:22" x14ac:dyDescent="0.2">
      <c r="A1343">
        <v>903</v>
      </c>
      <c r="B1343" s="8">
        <v>46221</v>
      </c>
      <c r="C1343" s="9">
        <v>0.43087962962962961</v>
      </c>
      <c r="D1343" s="7" t="s">
        <v>18</v>
      </c>
      <c r="E1343" s="13" t="s">
        <v>36</v>
      </c>
      <c r="F1343" s="16">
        <v>77.938997700000002</v>
      </c>
      <c r="G1343" s="129">
        <v>726.58947799999999</v>
      </c>
      <c r="H1343" s="22">
        <v>0</v>
      </c>
      <c r="I1343" s="19"/>
      <c r="J1343" s="7" t="s">
        <v>27</v>
      </c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</row>
    <row r="1344" spans="1:22" x14ac:dyDescent="0.2">
      <c r="A1344">
        <v>904</v>
      </c>
      <c r="B1344" s="8">
        <v>46221</v>
      </c>
      <c r="C1344" s="9">
        <v>0.43113425925925924</v>
      </c>
      <c r="D1344" s="7" t="s">
        <v>18</v>
      </c>
      <c r="E1344" s="13" t="s">
        <v>33</v>
      </c>
      <c r="F1344" s="16">
        <v>83.814589999999995</v>
      </c>
      <c r="G1344" s="129">
        <v>2272.1106</v>
      </c>
      <c r="H1344" s="22">
        <v>1</v>
      </c>
      <c r="I1344" s="19" t="s">
        <v>38</v>
      </c>
      <c r="J1344" s="7" t="s">
        <v>27</v>
      </c>
      <c r="K1344" s="16"/>
      <c r="L1344" s="16"/>
      <c r="M1344" s="16"/>
      <c r="N1344" s="16">
        <v>67.470738100000005</v>
      </c>
      <c r="O1344" s="16"/>
      <c r="P1344" s="16"/>
      <c r="Q1344" s="16"/>
      <c r="R1344" s="16"/>
      <c r="S1344" s="16"/>
      <c r="T1344" s="16"/>
      <c r="V1344" s="11">
        <v>90</v>
      </c>
    </row>
    <row r="1345" spans="1:22" x14ac:dyDescent="0.2">
      <c r="A1345">
        <v>905</v>
      </c>
      <c r="B1345" s="8">
        <v>46221</v>
      </c>
      <c r="C1345" s="9">
        <v>0.4314351851851852</v>
      </c>
      <c r="D1345" s="7" t="s">
        <v>18</v>
      </c>
      <c r="E1345" s="13" t="s">
        <v>33</v>
      </c>
      <c r="F1345" s="16">
        <v>84.338632700000005</v>
      </c>
      <c r="G1345" s="129">
        <v>2262.3395999999998</v>
      </c>
      <c r="H1345" s="22">
        <v>1</v>
      </c>
      <c r="I1345" s="19" t="s">
        <v>38</v>
      </c>
      <c r="J1345" s="7" t="s">
        <v>27</v>
      </c>
      <c r="K1345" s="16"/>
      <c r="L1345" s="16"/>
      <c r="M1345" s="16"/>
      <c r="N1345" s="16">
        <v>65.901651400000006</v>
      </c>
      <c r="O1345" s="16"/>
      <c r="P1345" s="16"/>
      <c r="Q1345" s="16"/>
      <c r="R1345" s="16"/>
      <c r="S1345" s="16"/>
      <c r="T1345" s="16"/>
    </row>
    <row r="1346" spans="1:22" x14ac:dyDescent="0.2">
      <c r="A1346">
        <v>906</v>
      </c>
      <c r="B1346" s="8">
        <v>46221</v>
      </c>
      <c r="C1346" s="9">
        <v>0.43175925925925923</v>
      </c>
      <c r="D1346" s="7" t="s">
        <v>18</v>
      </c>
      <c r="E1346" s="13" t="s">
        <v>36</v>
      </c>
      <c r="F1346" s="16">
        <v>78.574194500000004</v>
      </c>
      <c r="G1346" s="129">
        <v>2068.3710900000001</v>
      </c>
      <c r="H1346" s="22">
        <v>0</v>
      </c>
      <c r="I1346" s="19"/>
      <c r="J1346" s="7" t="s">
        <v>27</v>
      </c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</row>
    <row r="1347" spans="1:22" x14ac:dyDescent="0.2">
      <c r="A1347">
        <v>907</v>
      </c>
      <c r="B1347" s="8">
        <v>46221</v>
      </c>
      <c r="C1347" s="9">
        <v>0.43197916666666669</v>
      </c>
      <c r="D1347" s="7" t="s">
        <v>18</v>
      </c>
      <c r="E1347" s="13" t="s">
        <v>33</v>
      </c>
      <c r="F1347" s="16">
        <v>85.434351300000003</v>
      </c>
      <c r="G1347" s="129">
        <v>2137.2272899999998</v>
      </c>
      <c r="H1347" s="22">
        <v>1</v>
      </c>
      <c r="I1347" s="19" t="s">
        <v>40</v>
      </c>
      <c r="J1347" s="7" t="s">
        <v>27</v>
      </c>
      <c r="K1347" s="16">
        <v>81.603833699999996</v>
      </c>
      <c r="L1347" s="16">
        <v>54.345897700000002</v>
      </c>
      <c r="M1347" s="16">
        <v>5.0955190699999999</v>
      </c>
      <c r="N1347" s="16">
        <v>68.871711700000006</v>
      </c>
      <c r="O1347" s="16">
        <v>4687.5053699999999</v>
      </c>
      <c r="P1347" s="16">
        <v>276</v>
      </c>
      <c r="Q1347" s="16">
        <v>1.1848672600000001</v>
      </c>
      <c r="R1347" s="16">
        <v>1.60828185</v>
      </c>
      <c r="S1347" s="16">
        <v>110.76512700000001</v>
      </c>
      <c r="T1347" s="16">
        <v>0.73672859000000002</v>
      </c>
    </row>
    <row r="1348" spans="1:22" x14ac:dyDescent="0.2">
      <c r="A1348">
        <v>929</v>
      </c>
      <c r="B1348" s="8">
        <v>46221</v>
      </c>
      <c r="C1348" s="9">
        <v>0.43989583333333332</v>
      </c>
      <c r="D1348" s="7" t="s">
        <v>24</v>
      </c>
      <c r="E1348" s="13" t="s">
        <v>37</v>
      </c>
      <c r="F1348" s="16">
        <v>71.0153198</v>
      </c>
      <c r="G1348" s="129">
        <v>1184.7165500000001</v>
      </c>
      <c r="H1348" s="22">
        <v>1</v>
      </c>
      <c r="I1348" s="19"/>
      <c r="J1348" s="7" t="s">
        <v>27</v>
      </c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</row>
    <row r="1349" spans="1:22" x14ac:dyDescent="0.2">
      <c r="A1349">
        <v>930</v>
      </c>
      <c r="B1349" s="8">
        <v>46221</v>
      </c>
      <c r="C1349" s="9">
        <v>0.4400810185185185</v>
      </c>
      <c r="D1349" s="7" t="s">
        <v>24</v>
      </c>
      <c r="E1349" s="13" t="s">
        <v>37</v>
      </c>
      <c r="F1349" s="16">
        <v>69.713161099999994</v>
      </c>
      <c r="G1349" s="129">
        <v>1131.2040999999999</v>
      </c>
      <c r="H1349" s="22">
        <v>0</v>
      </c>
      <c r="I1349" s="19"/>
      <c r="J1349" s="7" t="s">
        <v>27</v>
      </c>
      <c r="K1349" s="16"/>
      <c r="L1349" s="16"/>
      <c r="M1349" s="16"/>
      <c r="N1349" s="16"/>
      <c r="O1349" s="16"/>
      <c r="P1349" s="16"/>
      <c r="Q1349" s="16"/>
      <c r="R1349" s="16"/>
      <c r="S1349" s="16"/>
      <c r="T1349" s="16"/>
    </row>
    <row r="1350" spans="1:22" x14ac:dyDescent="0.2">
      <c r="A1350">
        <v>931</v>
      </c>
      <c r="B1350" s="8">
        <v>46221</v>
      </c>
      <c r="C1350" s="9">
        <v>0.4403125</v>
      </c>
      <c r="D1350" s="7" t="s">
        <v>24</v>
      </c>
      <c r="E1350" s="13" t="s">
        <v>33</v>
      </c>
      <c r="F1350" s="16">
        <v>81.877238599999998</v>
      </c>
      <c r="G1350" s="129">
        <v>2253.0451699999999</v>
      </c>
      <c r="H1350" s="22">
        <v>0</v>
      </c>
      <c r="I1350" s="19"/>
      <c r="J1350" s="7" t="s">
        <v>27</v>
      </c>
      <c r="K1350" s="16"/>
      <c r="L1350" s="16"/>
      <c r="M1350" s="16"/>
      <c r="N1350" s="16"/>
      <c r="O1350" s="16"/>
      <c r="P1350" s="16"/>
      <c r="Q1350" s="16"/>
      <c r="R1350" s="16"/>
      <c r="S1350" s="16"/>
      <c r="T1350" s="16"/>
    </row>
    <row r="1351" spans="1:22" x14ac:dyDescent="0.2">
      <c r="A1351">
        <v>932</v>
      </c>
      <c r="B1351" s="8">
        <v>46221</v>
      </c>
      <c r="C1351" s="9">
        <v>0.44084490740740739</v>
      </c>
      <c r="D1351" s="7" t="s">
        <v>24</v>
      </c>
      <c r="E1351" s="13" t="s">
        <v>33</v>
      </c>
      <c r="F1351" s="16">
        <v>82.687110700000005</v>
      </c>
      <c r="G1351" s="129">
        <v>2198.9834000000001</v>
      </c>
      <c r="H1351" s="22">
        <v>0</v>
      </c>
      <c r="I1351" s="19"/>
      <c r="J1351" s="7" t="s">
        <v>27</v>
      </c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</row>
    <row r="1352" spans="1:22" x14ac:dyDescent="0.2">
      <c r="A1352">
        <v>933</v>
      </c>
      <c r="B1352" s="8">
        <v>46221</v>
      </c>
      <c r="C1352" s="9">
        <v>0.44107638888888889</v>
      </c>
      <c r="D1352" s="7" t="s">
        <v>24</v>
      </c>
      <c r="E1352" s="13" t="s">
        <v>37</v>
      </c>
      <c r="F1352" s="16">
        <v>68.7921221</v>
      </c>
      <c r="G1352" s="129">
        <v>2267.3151899999998</v>
      </c>
      <c r="H1352" s="22">
        <v>1</v>
      </c>
      <c r="I1352" s="19" t="s">
        <v>40</v>
      </c>
      <c r="J1352" s="7" t="s">
        <v>27</v>
      </c>
      <c r="K1352" s="16">
        <v>89.887598299999993</v>
      </c>
      <c r="L1352" s="16">
        <v>2.3313961000000001</v>
      </c>
      <c r="M1352" s="16">
        <v>-25.945564000000001</v>
      </c>
      <c r="N1352" s="16">
        <v>65.565420700000004</v>
      </c>
      <c r="O1352" s="16"/>
      <c r="P1352" s="16">
        <v>78</v>
      </c>
      <c r="Q1352" s="16">
        <v>1.37096047</v>
      </c>
      <c r="R1352" s="16">
        <v>1.56730938</v>
      </c>
      <c r="S1352" s="16">
        <v>102.761304</v>
      </c>
      <c r="T1352" s="16">
        <v>0.87472229000000001</v>
      </c>
    </row>
    <row r="1353" spans="1:22" x14ac:dyDescent="0.2">
      <c r="A1353">
        <v>952</v>
      </c>
      <c r="B1353" s="8">
        <v>46221</v>
      </c>
      <c r="C1353" s="9">
        <v>0.44809027777777777</v>
      </c>
      <c r="D1353" s="7" t="s">
        <v>18</v>
      </c>
      <c r="E1353" s="13" t="s">
        <v>37</v>
      </c>
      <c r="F1353" s="16">
        <v>74.556560399999995</v>
      </c>
      <c r="G1353" s="129">
        <v>2366.9052700000002</v>
      </c>
      <c r="H1353" s="22">
        <v>0</v>
      </c>
      <c r="I1353" s="19"/>
      <c r="J1353" s="7" t="s">
        <v>27</v>
      </c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V1353" s="14">
        <v>85</v>
      </c>
    </row>
    <row r="1354" spans="1:22" x14ac:dyDescent="0.2">
      <c r="A1354">
        <v>953</v>
      </c>
      <c r="B1354" s="8">
        <v>46221</v>
      </c>
      <c r="C1354" s="9">
        <v>0.44828703703703704</v>
      </c>
      <c r="D1354" s="7" t="s">
        <v>18</v>
      </c>
      <c r="E1354" s="13" t="s">
        <v>33</v>
      </c>
      <c r="F1354" s="16">
        <v>85.116757000000007</v>
      </c>
      <c r="G1354" s="129">
        <v>2418.4580099999998</v>
      </c>
      <c r="H1354" s="22">
        <v>1</v>
      </c>
      <c r="I1354" s="19" t="s">
        <v>40</v>
      </c>
      <c r="J1354" s="7" t="s">
        <v>27</v>
      </c>
      <c r="K1354" s="16">
        <v>80.586885699999996</v>
      </c>
      <c r="L1354" s="16">
        <v>32.307323500000003</v>
      </c>
      <c r="M1354" s="16">
        <v>-0.97855150000000002</v>
      </c>
      <c r="N1354" s="16">
        <v>71.505532700000003</v>
      </c>
      <c r="O1354" s="16"/>
      <c r="P1354" s="16">
        <v>275</v>
      </c>
      <c r="Q1354" s="16">
        <v>1.12700212</v>
      </c>
      <c r="R1354" s="16">
        <v>1.5939569499999999</v>
      </c>
      <c r="S1354" s="16">
        <v>113.976738</v>
      </c>
      <c r="T1354" s="16">
        <v>0.70704681000000003</v>
      </c>
    </row>
    <row r="1355" spans="1:22" x14ac:dyDescent="0.2">
      <c r="A1355">
        <v>988</v>
      </c>
      <c r="B1355" s="8">
        <v>46221</v>
      </c>
      <c r="C1355" s="9">
        <v>0.46311342592592591</v>
      </c>
      <c r="D1355" s="7" t="s">
        <v>18</v>
      </c>
      <c r="E1355" s="13" t="s">
        <v>36</v>
      </c>
      <c r="F1355" s="16">
        <v>78.320117499999995</v>
      </c>
      <c r="G1355" s="129">
        <v>2143.91113</v>
      </c>
      <c r="H1355" s="22">
        <v>1</v>
      </c>
      <c r="I1355" s="19" t="s">
        <v>40</v>
      </c>
      <c r="J1355" s="7" t="s">
        <v>27</v>
      </c>
      <c r="K1355" s="16">
        <v>92.828508999999997</v>
      </c>
      <c r="L1355" s="16">
        <v>28.918966300000001</v>
      </c>
      <c r="M1355" s="16">
        <v>-20.799765000000001</v>
      </c>
      <c r="N1355" s="16">
        <v>66.069768999999994</v>
      </c>
      <c r="O1355" s="16">
        <v>2592.7282700000001</v>
      </c>
      <c r="P1355" s="16">
        <v>325</v>
      </c>
      <c r="Q1355" s="16">
        <v>1.4050073599999999</v>
      </c>
      <c r="R1355" s="16">
        <v>1.59920704</v>
      </c>
      <c r="S1355" s="16">
        <v>105.65924099999999</v>
      </c>
      <c r="T1355" s="16">
        <v>0.87856500000000004</v>
      </c>
    </row>
    <row r="1356" spans="1:22" x14ac:dyDescent="0.2">
      <c r="A1356">
        <v>1059</v>
      </c>
      <c r="B1356" s="8">
        <v>46221</v>
      </c>
      <c r="C1356" s="9">
        <v>0.48930555555555555</v>
      </c>
      <c r="D1356" s="7" t="s">
        <v>21</v>
      </c>
      <c r="E1356" s="13" t="s">
        <v>37</v>
      </c>
      <c r="F1356" s="16">
        <v>70.999439300000006</v>
      </c>
      <c r="G1356" s="129">
        <v>2090.33032</v>
      </c>
      <c r="H1356" s="22">
        <v>1</v>
      </c>
      <c r="I1356" s="19" t="s">
        <v>40</v>
      </c>
      <c r="J1356" s="7" t="s">
        <v>27</v>
      </c>
      <c r="K1356" s="16">
        <v>79.766423900000007</v>
      </c>
      <c r="L1356" s="16">
        <v>38.171100000000003</v>
      </c>
      <c r="M1356" s="16">
        <v>-22.393163999999999</v>
      </c>
      <c r="N1356" s="16">
        <v>68.535476700000004</v>
      </c>
      <c r="O1356" s="16">
        <v>3784.5603000000001</v>
      </c>
      <c r="P1356" s="16">
        <v>283</v>
      </c>
      <c r="Q1356" s="16">
        <v>1.16387057</v>
      </c>
      <c r="R1356" s="16">
        <v>1.5566848499999999</v>
      </c>
      <c r="S1356" s="16">
        <v>106.68814500000001</v>
      </c>
      <c r="T1356" s="16">
        <v>0.74765968000000005</v>
      </c>
    </row>
    <row r="1357" spans="1:22" x14ac:dyDescent="0.2">
      <c r="A1357">
        <v>1072</v>
      </c>
      <c r="B1357" s="8">
        <v>46221</v>
      </c>
      <c r="C1357" s="9">
        <v>0.49265046296296294</v>
      </c>
      <c r="D1357" s="7" t="s">
        <v>21</v>
      </c>
      <c r="E1357" s="13" t="s">
        <v>35</v>
      </c>
      <c r="F1357" s="16">
        <v>73.937235299999998</v>
      </c>
      <c r="G1357" s="129">
        <v>1760.03748</v>
      </c>
      <c r="H1357" s="22">
        <v>1</v>
      </c>
      <c r="I1357" s="19" t="s">
        <v>40</v>
      </c>
      <c r="J1357" s="7" t="s">
        <v>27</v>
      </c>
      <c r="K1357" s="16"/>
      <c r="L1357" s="16"/>
      <c r="M1357" s="16"/>
      <c r="N1357" s="16">
        <v>69.4320977</v>
      </c>
      <c r="O1357" s="16"/>
      <c r="P1357" s="16"/>
      <c r="Q1357" s="16"/>
      <c r="R1357" s="16"/>
      <c r="S1357" s="16"/>
      <c r="T1357" s="16"/>
    </row>
    <row r="1358" spans="1:22" x14ac:dyDescent="0.2">
      <c r="A1358">
        <v>1081</v>
      </c>
      <c r="B1358" s="1">
        <v>46224</v>
      </c>
      <c r="C1358" s="2">
        <v>0.74048611111111107</v>
      </c>
      <c r="D1358" t="s">
        <v>25</v>
      </c>
      <c r="E1358" s="10" t="s">
        <v>33</v>
      </c>
      <c r="F1358" s="11">
        <v>86.303017319999995</v>
      </c>
      <c r="G1358" s="4">
        <v>1823.58716</v>
      </c>
      <c r="H1358" s="20">
        <v>1</v>
      </c>
      <c r="I1358" s="17" t="s">
        <v>40</v>
      </c>
      <c r="J1358" t="s">
        <v>27</v>
      </c>
      <c r="K1358" s="11">
        <v>90.499687316000006</v>
      </c>
      <c r="L1358" s="11">
        <v>7.3195271499999999</v>
      </c>
      <c r="M1358" s="11">
        <v>20.1638527</v>
      </c>
      <c r="N1358" s="11">
        <v>66.734648587999999</v>
      </c>
      <c r="O1358" s="11">
        <v>3206.6933600000002</v>
      </c>
      <c r="P1358" s="11">
        <v>137</v>
      </c>
      <c r="Q1358" s="11">
        <v>1.35611248</v>
      </c>
      <c r="R1358" s="11">
        <v>1.6222351800000001</v>
      </c>
      <c r="S1358" s="11">
        <v>108.259291968</v>
      </c>
      <c r="T1358" s="11">
        <v>0.83595306400000002</v>
      </c>
    </row>
    <row r="1359" spans="1:22" x14ac:dyDescent="0.2">
      <c r="A1359">
        <v>1113</v>
      </c>
      <c r="B1359" s="1">
        <v>46224</v>
      </c>
      <c r="C1359" s="2">
        <v>0.75450231481481478</v>
      </c>
      <c r="D1359" t="s">
        <v>25</v>
      </c>
      <c r="E1359" s="10" t="s">
        <v>37</v>
      </c>
      <c r="F1359" s="11">
        <v>70.732886703000005</v>
      </c>
      <c r="G1359" s="4">
        <v>1786.87988</v>
      </c>
      <c r="H1359" s="20">
        <v>0</v>
      </c>
      <c r="J1359" t="s">
        <v>27</v>
      </c>
    </row>
    <row r="1360" spans="1:22" x14ac:dyDescent="0.2">
      <c r="A1360">
        <v>1114</v>
      </c>
      <c r="B1360" s="1">
        <v>46224</v>
      </c>
      <c r="C1360" s="2">
        <v>0.75472222222222218</v>
      </c>
      <c r="D1360" t="s">
        <v>25</v>
      </c>
      <c r="E1360" s="10" t="s">
        <v>35</v>
      </c>
      <c r="F1360" s="11">
        <v>72.830090929999997</v>
      </c>
      <c r="G1360" s="4">
        <v>1677.85706</v>
      </c>
      <c r="H1360" s="20">
        <v>1</v>
      </c>
      <c r="I1360" s="17" t="s">
        <v>39</v>
      </c>
      <c r="J1360" t="s">
        <v>27</v>
      </c>
      <c r="N1360" s="11">
        <v>67.356226441999993</v>
      </c>
    </row>
    <row r="1361" spans="1:22" x14ac:dyDescent="0.2">
      <c r="A1361">
        <v>1115</v>
      </c>
      <c r="B1361" s="1">
        <v>46224</v>
      </c>
      <c r="C1361" s="2">
        <v>0.75497685185185182</v>
      </c>
      <c r="D1361" t="s">
        <v>25</v>
      </c>
      <c r="E1361" s="10" t="s">
        <v>33</v>
      </c>
      <c r="F1361" s="11">
        <v>85.603961622</v>
      </c>
      <c r="G1361" s="4">
        <v>2022.36841</v>
      </c>
      <c r="H1361" s="20">
        <v>0</v>
      </c>
      <c r="J1361" t="s">
        <v>27</v>
      </c>
    </row>
    <row r="1362" spans="1:22" x14ac:dyDescent="0.2">
      <c r="A1362">
        <v>1116</v>
      </c>
      <c r="B1362" s="1">
        <v>46224</v>
      </c>
      <c r="C1362" s="2">
        <v>0.75523148148148145</v>
      </c>
      <c r="D1362" t="s">
        <v>25</v>
      </c>
      <c r="E1362" s="10" t="s">
        <v>33</v>
      </c>
      <c r="F1362" s="11">
        <v>81.028241703000006</v>
      </c>
      <c r="G1362" s="4">
        <v>1994.8275100000001</v>
      </c>
      <c r="H1362" s="20">
        <v>1</v>
      </c>
      <c r="I1362" s="17" t="s">
        <v>40</v>
      </c>
      <c r="J1362" t="s">
        <v>27</v>
      </c>
      <c r="K1362" s="11">
        <v>97.208106044999994</v>
      </c>
      <c r="L1362" s="11">
        <v>14.6346788</v>
      </c>
      <c r="M1362" s="11">
        <v>-25.214904799999999</v>
      </c>
      <c r="N1362" s="11">
        <v>64.417867170999997</v>
      </c>
      <c r="O1362" s="11">
        <v>1022.36493</v>
      </c>
      <c r="P1362" s="11">
        <v>246</v>
      </c>
      <c r="Q1362" s="11">
        <v>1.50902402</v>
      </c>
      <c r="R1362" s="11">
        <v>1.61911023</v>
      </c>
      <c r="S1362" s="11">
        <v>104.299632723</v>
      </c>
      <c r="T1362" s="11">
        <v>0.93200813299999996</v>
      </c>
    </row>
    <row r="1363" spans="1:22" x14ac:dyDescent="0.2">
      <c r="A1363">
        <v>1153</v>
      </c>
      <c r="B1363" s="1">
        <v>46224</v>
      </c>
      <c r="C1363" s="2">
        <v>0.76971064814814816</v>
      </c>
      <c r="D1363" t="s">
        <v>25</v>
      </c>
      <c r="E1363" s="10" t="s">
        <v>37</v>
      </c>
      <c r="F1363" s="11">
        <v>72.194578531000005</v>
      </c>
      <c r="G1363" s="4">
        <v>2060.6345200000001</v>
      </c>
      <c r="H1363" s="20">
        <v>0</v>
      </c>
      <c r="J1363" t="s">
        <v>27</v>
      </c>
    </row>
    <row r="1364" spans="1:22" x14ac:dyDescent="0.2">
      <c r="A1364">
        <v>1154</v>
      </c>
      <c r="B1364" s="1">
        <v>46224</v>
      </c>
      <c r="C1364" s="2">
        <v>0.76989583333333333</v>
      </c>
      <c r="D1364" t="s">
        <v>25</v>
      </c>
      <c r="E1364" s="10" t="s">
        <v>35</v>
      </c>
      <c r="F1364" s="11">
        <v>72.814202197</v>
      </c>
      <c r="G1364" s="4">
        <v>1733.93091</v>
      </c>
      <c r="H1364" s="20">
        <v>1</v>
      </c>
      <c r="I1364" s="17" t="s">
        <v>39</v>
      </c>
      <c r="J1364" t="s">
        <v>27</v>
      </c>
      <c r="N1364" s="11">
        <v>67.582254731999996</v>
      </c>
      <c r="V1364" s="14">
        <v>55</v>
      </c>
    </row>
    <row r="1365" spans="1:22" x14ac:dyDescent="0.2">
      <c r="A1365">
        <v>1155</v>
      </c>
      <c r="B1365" s="1">
        <v>46224</v>
      </c>
      <c r="C1365" s="2">
        <v>0.77015046296296297</v>
      </c>
      <c r="D1365" t="s">
        <v>25</v>
      </c>
      <c r="E1365" s="10" t="s">
        <v>33</v>
      </c>
      <c r="F1365" s="11">
        <v>82.918899115000002</v>
      </c>
      <c r="G1365" s="4">
        <v>2011.83618</v>
      </c>
      <c r="H1365" s="20">
        <v>1</v>
      </c>
      <c r="I1365" s="17" t="s">
        <v>38</v>
      </c>
      <c r="J1365" t="s">
        <v>27</v>
      </c>
      <c r="N1365" s="11">
        <v>64.474374187999999</v>
      </c>
    </row>
    <row r="1366" spans="1:22" x14ac:dyDescent="0.2">
      <c r="A1366">
        <v>1156</v>
      </c>
      <c r="B1366" s="1">
        <v>46224</v>
      </c>
      <c r="C1366" s="2">
        <v>0.77069444444444446</v>
      </c>
      <c r="D1366" t="s">
        <v>25</v>
      </c>
      <c r="E1366" s="10" t="s">
        <v>35</v>
      </c>
      <c r="F1366" s="11">
        <v>72.575885970000002</v>
      </c>
      <c r="G1366" s="4">
        <v>1647.4006300000001</v>
      </c>
      <c r="H1366" s="20">
        <v>1</v>
      </c>
      <c r="I1366" s="17" t="s">
        <v>45</v>
      </c>
      <c r="J1366" t="s">
        <v>27</v>
      </c>
      <c r="N1366" s="11">
        <v>66.960676879000005</v>
      </c>
      <c r="V1366" s="11">
        <v>45</v>
      </c>
    </row>
    <row r="1367" spans="1:22" x14ac:dyDescent="0.2">
      <c r="A1367">
        <v>1187</v>
      </c>
      <c r="B1367" s="1">
        <v>46224</v>
      </c>
      <c r="C1367" s="2">
        <v>0.78280092592592587</v>
      </c>
      <c r="D1367" t="s">
        <v>28</v>
      </c>
      <c r="E1367" s="10" t="s">
        <v>37</v>
      </c>
      <c r="F1367" s="11">
        <v>71.050647264000006</v>
      </c>
      <c r="G1367" s="4">
        <v>2366.0236799999998</v>
      </c>
      <c r="H1367" s="20">
        <v>1</v>
      </c>
      <c r="I1367" s="17" t="s">
        <v>40</v>
      </c>
      <c r="J1367" t="s">
        <v>27</v>
      </c>
      <c r="K1367" s="11">
        <v>92.198474899000004</v>
      </c>
      <c r="L1367" s="11">
        <v>-3.2495381800000001</v>
      </c>
      <c r="M1367" s="11">
        <v>-17.813762700000002</v>
      </c>
      <c r="N1367" s="11">
        <v>66.960676879000005</v>
      </c>
      <c r="O1367" s="11">
        <v>3709.1601599999999</v>
      </c>
      <c r="P1367" s="11">
        <v>28</v>
      </c>
      <c r="Q1367" s="11">
        <v>1.3769047299999999</v>
      </c>
      <c r="R1367" s="11">
        <v>1.5685967199999999</v>
      </c>
      <c r="S1367" s="11">
        <v>105.03430156100001</v>
      </c>
      <c r="T1367" s="11">
        <v>0.87779396099999996</v>
      </c>
      <c r="V1367" s="14">
        <v>50</v>
      </c>
    </row>
    <row r="1368" spans="1:22" x14ac:dyDescent="0.2">
      <c r="A1368">
        <v>1188</v>
      </c>
      <c r="B1368" s="1">
        <v>46224</v>
      </c>
      <c r="C1368" s="2">
        <v>0.78481481481481485</v>
      </c>
      <c r="D1368" t="s">
        <v>26</v>
      </c>
      <c r="E1368" s="10" t="s">
        <v>33</v>
      </c>
      <c r="F1368" s="11">
        <v>85.095539176000003</v>
      </c>
      <c r="G1368" s="4">
        <v>1995.9559300000001</v>
      </c>
      <c r="J1368" t="s">
        <v>198</v>
      </c>
    </row>
    <row r="1369" spans="1:22" x14ac:dyDescent="0.2">
      <c r="A1369">
        <v>1189</v>
      </c>
      <c r="B1369" s="1">
        <v>46224</v>
      </c>
      <c r="C1369" s="2">
        <v>0.78506944444444449</v>
      </c>
      <c r="D1369" t="s">
        <v>26</v>
      </c>
      <c r="E1369" s="10" t="s">
        <v>33</v>
      </c>
      <c r="F1369" s="11">
        <v>83.824513930999998</v>
      </c>
      <c r="G1369" s="4">
        <v>1946.04529</v>
      </c>
      <c r="J1369" t="s">
        <v>198</v>
      </c>
    </row>
    <row r="1370" spans="1:22" x14ac:dyDescent="0.2">
      <c r="A1370">
        <v>1190</v>
      </c>
      <c r="B1370" s="1">
        <v>46224</v>
      </c>
      <c r="C1370" s="2">
        <v>0.78533564814814816</v>
      </c>
      <c r="D1370" t="s">
        <v>26</v>
      </c>
      <c r="E1370" s="10" t="s">
        <v>33</v>
      </c>
      <c r="F1370" s="11">
        <v>83.697411450999994</v>
      </c>
      <c r="G1370" s="4">
        <v>1915.3508300000001</v>
      </c>
      <c r="J1370" t="s">
        <v>198</v>
      </c>
    </row>
    <row r="1371" spans="1:22" x14ac:dyDescent="0.2">
      <c r="A1371">
        <v>1191</v>
      </c>
      <c r="B1371" s="1">
        <v>46224</v>
      </c>
      <c r="C1371" s="2">
        <v>0.7855092592592593</v>
      </c>
      <c r="D1371" t="s">
        <v>26</v>
      </c>
      <c r="E1371" s="10" t="s">
        <v>33</v>
      </c>
      <c r="F1371" s="11">
        <v>84.444137820999998</v>
      </c>
      <c r="G1371" s="4">
        <v>1990.08276</v>
      </c>
      <c r="J1371" t="s">
        <v>198</v>
      </c>
    </row>
    <row r="1372" spans="1:22" x14ac:dyDescent="0.2">
      <c r="A1372">
        <v>1192</v>
      </c>
      <c r="B1372" s="1">
        <v>46224</v>
      </c>
      <c r="C1372" s="2">
        <v>0.78571759259259255</v>
      </c>
      <c r="D1372" t="s">
        <v>26</v>
      </c>
      <c r="E1372" s="10" t="s">
        <v>33</v>
      </c>
      <c r="F1372" s="11">
        <v>84.523573655000007</v>
      </c>
      <c r="G1372" s="4">
        <v>1976.73828</v>
      </c>
      <c r="J1372" t="s">
        <v>198</v>
      </c>
    </row>
    <row r="1373" spans="1:22" x14ac:dyDescent="0.2">
      <c r="A1373">
        <v>1193</v>
      </c>
      <c r="B1373" s="1">
        <v>46224</v>
      </c>
      <c r="C1373" s="2">
        <v>0.78597222222222218</v>
      </c>
      <c r="D1373" t="s">
        <v>26</v>
      </c>
      <c r="E1373" s="10" t="s">
        <v>33</v>
      </c>
      <c r="F1373" s="11">
        <v>83.872172075999998</v>
      </c>
      <c r="G1373" s="4">
        <v>1941.73694</v>
      </c>
      <c r="J1373" t="s">
        <v>198</v>
      </c>
    </row>
    <row r="1374" spans="1:22" x14ac:dyDescent="0.2">
      <c r="A1374">
        <v>1194</v>
      </c>
      <c r="B1374" s="1">
        <v>46224</v>
      </c>
      <c r="C1374" s="2">
        <v>0.78625</v>
      </c>
      <c r="D1374" t="s">
        <v>26</v>
      </c>
      <c r="E1374" s="10" t="s">
        <v>33</v>
      </c>
      <c r="F1374" s="11">
        <v>84.062830157999997</v>
      </c>
      <c r="G1374" s="4">
        <v>653.31152299999997</v>
      </c>
      <c r="J1374" t="s">
        <v>198</v>
      </c>
    </row>
    <row r="1375" spans="1:22" x14ac:dyDescent="0.2">
      <c r="A1375">
        <v>1195</v>
      </c>
      <c r="B1375" s="1">
        <v>46224</v>
      </c>
      <c r="C1375" s="2">
        <v>0.78650462962962964</v>
      </c>
      <c r="D1375" t="s">
        <v>26</v>
      </c>
      <c r="E1375" s="10" t="s">
        <v>33</v>
      </c>
      <c r="F1375" s="11">
        <v>82.934787847999999</v>
      </c>
      <c r="G1375" s="4">
        <v>1868.1574700000001</v>
      </c>
      <c r="J1375" t="s">
        <v>198</v>
      </c>
    </row>
    <row r="1376" spans="1:22" x14ac:dyDescent="0.2">
      <c r="A1376">
        <v>1196</v>
      </c>
      <c r="B1376" s="1">
        <v>46224</v>
      </c>
      <c r="C1376" s="2">
        <v>0.78668981481481481</v>
      </c>
      <c r="D1376" t="s">
        <v>26</v>
      </c>
      <c r="E1376" s="10" t="s">
        <v>33</v>
      </c>
      <c r="F1376" s="11">
        <v>83.061890328000004</v>
      </c>
      <c r="G1376" s="4">
        <v>1875.2447500000001</v>
      </c>
      <c r="J1376" t="s">
        <v>198</v>
      </c>
    </row>
    <row r="1377" spans="1:10" x14ac:dyDescent="0.2">
      <c r="A1377">
        <v>1197</v>
      </c>
      <c r="B1377" s="1">
        <v>46224</v>
      </c>
      <c r="C1377" s="2">
        <v>0.78695601851851849</v>
      </c>
      <c r="D1377" t="s">
        <v>26</v>
      </c>
      <c r="E1377" s="10" t="s">
        <v>33</v>
      </c>
      <c r="F1377" s="11">
        <v>82.664693932000006</v>
      </c>
      <c r="G1377" s="4">
        <v>1942.3330100000001</v>
      </c>
      <c r="J1377" t="s">
        <v>198</v>
      </c>
    </row>
    <row r="1378" spans="1:10" x14ac:dyDescent="0.2">
      <c r="A1378">
        <v>1198</v>
      </c>
      <c r="B1378" s="1">
        <v>46224</v>
      </c>
      <c r="C1378" s="2">
        <v>0.78716435185185185</v>
      </c>
      <c r="D1378" t="s">
        <v>26</v>
      </c>
      <c r="E1378" s="10" t="s">
        <v>33</v>
      </c>
      <c r="F1378" s="11">
        <v>84.015163512000001</v>
      </c>
      <c r="G1378" s="4">
        <v>1963.1366</v>
      </c>
      <c r="J1378" t="s">
        <v>198</v>
      </c>
    </row>
    <row r="1379" spans="1:10" x14ac:dyDescent="0.2">
      <c r="A1379">
        <v>1199</v>
      </c>
      <c r="B1379" s="1">
        <v>46224</v>
      </c>
      <c r="C1379" s="2">
        <v>0.78736111111111107</v>
      </c>
      <c r="D1379" t="s">
        <v>26</v>
      </c>
      <c r="F1379" s="11">
        <v>71.543172701000003</v>
      </c>
      <c r="G1379" s="4">
        <v>2052.0754400000001</v>
      </c>
      <c r="J1379" t="s">
        <v>198</v>
      </c>
    </row>
    <row r="1380" spans="1:10" x14ac:dyDescent="0.2">
      <c r="A1380">
        <v>1200</v>
      </c>
      <c r="B1380" s="1">
        <v>46224</v>
      </c>
      <c r="C1380" s="2">
        <v>0.78755787037037039</v>
      </c>
      <c r="D1380" t="s">
        <v>26</v>
      </c>
      <c r="F1380" s="11">
        <v>71.416065970999995</v>
      </c>
      <c r="G1380" s="4">
        <v>1998.52673</v>
      </c>
      <c r="J1380" t="s">
        <v>198</v>
      </c>
    </row>
    <row r="1381" spans="1:10" x14ac:dyDescent="0.2">
      <c r="A1381">
        <v>1201</v>
      </c>
      <c r="B1381" s="1">
        <v>46224</v>
      </c>
      <c r="C1381" s="2">
        <v>0.78771990740740738</v>
      </c>
      <c r="D1381" t="s">
        <v>26</v>
      </c>
      <c r="F1381" s="11">
        <v>68.508584245999998</v>
      </c>
      <c r="G1381" s="4">
        <v>1911.43542</v>
      </c>
      <c r="J1381" t="s">
        <v>198</v>
      </c>
    </row>
    <row r="1382" spans="1:10" x14ac:dyDescent="0.2">
      <c r="A1382">
        <v>1202</v>
      </c>
      <c r="B1382" s="1">
        <v>46224</v>
      </c>
      <c r="C1382" s="2">
        <v>0.78795138888888894</v>
      </c>
      <c r="D1382" t="s">
        <v>26</v>
      </c>
      <c r="F1382" s="11">
        <v>73.322612116000002</v>
      </c>
      <c r="G1382" s="4">
        <v>1561.05493</v>
      </c>
      <c r="J1382" t="s">
        <v>198</v>
      </c>
    </row>
    <row r="1383" spans="1:10" x14ac:dyDescent="0.2">
      <c r="A1383">
        <v>1203</v>
      </c>
      <c r="B1383" s="1">
        <v>46224</v>
      </c>
      <c r="C1383" s="2">
        <v>0.78814814814814815</v>
      </c>
      <c r="D1383" t="s">
        <v>26</v>
      </c>
      <c r="F1383" s="11">
        <v>71.622612786000005</v>
      </c>
      <c r="G1383" s="4">
        <v>1521.95508</v>
      </c>
      <c r="J1383" t="s">
        <v>198</v>
      </c>
    </row>
    <row r="1384" spans="1:10" x14ac:dyDescent="0.2">
      <c r="A1384">
        <v>1204</v>
      </c>
      <c r="B1384" s="1">
        <v>46224</v>
      </c>
      <c r="C1384" s="2">
        <v>0.78841435185185182</v>
      </c>
      <c r="D1384" t="s">
        <v>26</v>
      </c>
      <c r="F1384" s="11">
        <v>74.863739777999996</v>
      </c>
      <c r="G1384" s="4">
        <v>2173.8854999999999</v>
      </c>
      <c r="J1384" t="s">
        <v>198</v>
      </c>
    </row>
    <row r="1385" spans="1:10" x14ac:dyDescent="0.2">
      <c r="A1385">
        <v>1205</v>
      </c>
      <c r="B1385" s="1">
        <v>46224</v>
      </c>
      <c r="C1385" s="2">
        <v>0.7887615740740741</v>
      </c>
      <c r="D1385" t="s">
        <v>26</v>
      </c>
      <c r="F1385" s="11">
        <v>75.372149921000002</v>
      </c>
      <c r="G1385" s="4">
        <v>2231.58032</v>
      </c>
      <c r="J1385" t="s">
        <v>198</v>
      </c>
    </row>
    <row r="1386" spans="1:10" x14ac:dyDescent="0.2">
      <c r="A1386">
        <v>1206</v>
      </c>
      <c r="B1386" s="1">
        <v>46224</v>
      </c>
      <c r="C1386" s="2">
        <v>0.78916666666666668</v>
      </c>
      <c r="D1386" t="s">
        <v>26</v>
      </c>
      <c r="F1386" s="11">
        <v>74.927295380000004</v>
      </c>
      <c r="G1386" s="4">
        <v>2141.5039099999999</v>
      </c>
      <c r="J1386" t="s">
        <v>198</v>
      </c>
    </row>
    <row r="1387" spans="1:10" x14ac:dyDescent="0.2">
      <c r="A1387">
        <v>1207</v>
      </c>
      <c r="B1387" s="1">
        <v>46224</v>
      </c>
      <c r="C1387" s="2">
        <v>0.79032407407407412</v>
      </c>
      <c r="D1387" t="s">
        <v>26</v>
      </c>
      <c r="F1387" s="11">
        <v>71.495506055999996</v>
      </c>
      <c r="G1387" s="4">
        <v>1955.6669899999999</v>
      </c>
      <c r="J1387" t="s">
        <v>198</v>
      </c>
    </row>
    <row r="1388" spans="1:10" x14ac:dyDescent="0.2">
      <c r="A1388">
        <v>1208</v>
      </c>
      <c r="B1388" s="1">
        <v>46224</v>
      </c>
      <c r="C1388" s="2">
        <v>0.79048611111111111</v>
      </c>
      <c r="D1388" t="s">
        <v>26</v>
      </c>
      <c r="E1388" s="10" t="s">
        <v>33</v>
      </c>
      <c r="F1388" s="11">
        <v>84.968436695999998</v>
      </c>
      <c r="G1388" s="4">
        <v>2011.4070999999999</v>
      </c>
      <c r="J1388" t="s">
        <v>198</v>
      </c>
    </row>
    <row r="1389" spans="1:10" x14ac:dyDescent="0.2">
      <c r="A1389">
        <v>1209</v>
      </c>
      <c r="B1389" s="1">
        <v>46224</v>
      </c>
      <c r="C1389" s="2">
        <v>0.79199074074074072</v>
      </c>
      <c r="D1389" t="s">
        <v>18</v>
      </c>
      <c r="E1389" s="10" t="s">
        <v>33</v>
      </c>
      <c r="F1389" s="11">
        <v>85.413299738000006</v>
      </c>
      <c r="G1389" s="4">
        <v>2025.58862</v>
      </c>
      <c r="J1389" t="s">
        <v>198</v>
      </c>
    </row>
    <row r="1390" spans="1:10" x14ac:dyDescent="0.2">
      <c r="A1390">
        <v>1210</v>
      </c>
      <c r="B1390" s="1">
        <v>46224</v>
      </c>
      <c r="C1390" s="2">
        <v>0.79230324074074077</v>
      </c>
      <c r="D1390" t="s">
        <v>18</v>
      </c>
      <c r="E1390" s="10" t="s">
        <v>33</v>
      </c>
      <c r="F1390" s="11">
        <v>83.570300470999996</v>
      </c>
      <c r="G1390" s="4">
        <v>2103.4780300000002</v>
      </c>
      <c r="J1390" t="s">
        <v>198</v>
      </c>
    </row>
    <row r="1391" spans="1:10" x14ac:dyDescent="0.2">
      <c r="A1391">
        <v>1211</v>
      </c>
      <c r="B1391" s="1">
        <v>46224</v>
      </c>
      <c r="C1391" s="2">
        <v>0.79302083333333329</v>
      </c>
      <c r="D1391" t="s">
        <v>18</v>
      </c>
      <c r="E1391" s="10" t="s">
        <v>33</v>
      </c>
      <c r="F1391" s="11">
        <v>84.841334216999996</v>
      </c>
      <c r="G1391" s="4">
        <v>2167.2145999999998</v>
      </c>
      <c r="J1391" t="s">
        <v>198</v>
      </c>
    </row>
    <row r="1392" spans="1:10" x14ac:dyDescent="0.2">
      <c r="A1392">
        <v>1212</v>
      </c>
      <c r="B1392" s="1">
        <v>46224</v>
      </c>
      <c r="C1392" s="2">
        <v>0.79320601851851846</v>
      </c>
      <c r="D1392" t="s">
        <v>18</v>
      </c>
      <c r="E1392" s="10" t="s">
        <v>33</v>
      </c>
      <c r="F1392" s="11">
        <v>86.112367739000007</v>
      </c>
      <c r="G1392" s="4">
        <v>2098.54468</v>
      </c>
      <c r="J1392" t="s">
        <v>198</v>
      </c>
    </row>
    <row r="1393" spans="1:10" x14ac:dyDescent="0.2">
      <c r="A1393">
        <v>1213</v>
      </c>
      <c r="B1393" s="1">
        <v>46224</v>
      </c>
      <c r="C1393" s="2">
        <v>0.79341435185185183</v>
      </c>
      <c r="D1393" t="s">
        <v>18</v>
      </c>
      <c r="E1393" s="10" t="s">
        <v>33</v>
      </c>
      <c r="F1393" s="11">
        <v>85.794607400999993</v>
      </c>
      <c r="G1393" s="4">
        <v>2100.03784</v>
      </c>
      <c r="J1393" t="s">
        <v>198</v>
      </c>
    </row>
    <row r="1394" spans="1:10" x14ac:dyDescent="0.2">
      <c r="A1394">
        <v>1214</v>
      </c>
      <c r="B1394" s="1">
        <v>46224</v>
      </c>
      <c r="C1394" s="2">
        <v>0.7936805555555555</v>
      </c>
      <c r="D1394" t="s">
        <v>18</v>
      </c>
      <c r="E1394" s="10" t="s">
        <v>33</v>
      </c>
      <c r="F1394" s="11">
        <v>87.240410049000005</v>
      </c>
      <c r="G1394" s="4">
        <v>2066.4841299999998</v>
      </c>
      <c r="J1394" t="s">
        <v>198</v>
      </c>
    </row>
    <row r="1395" spans="1:10" x14ac:dyDescent="0.2">
      <c r="A1395">
        <v>1215</v>
      </c>
      <c r="B1395" s="1">
        <v>46224</v>
      </c>
      <c r="C1395" s="2">
        <v>0.79405092592592597</v>
      </c>
      <c r="D1395" t="s">
        <v>18</v>
      </c>
      <c r="E1395" s="10" t="s">
        <v>33</v>
      </c>
      <c r="F1395" s="11">
        <v>85.333863903999998</v>
      </c>
      <c r="G1395" s="4">
        <v>1959.43884</v>
      </c>
      <c r="J1395" t="s">
        <v>198</v>
      </c>
    </row>
    <row r="1396" spans="1:10" x14ac:dyDescent="0.2">
      <c r="A1396">
        <v>1216</v>
      </c>
      <c r="B1396" s="1">
        <v>46224</v>
      </c>
      <c r="C1396" s="2">
        <v>0.7944444444444444</v>
      </c>
      <c r="D1396" t="s">
        <v>18</v>
      </c>
      <c r="E1396" s="10" t="s">
        <v>33</v>
      </c>
      <c r="F1396" s="11">
        <v>87.446948586999994</v>
      </c>
      <c r="G1396" s="4">
        <v>2120.1472199999998</v>
      </c>
      <c r="J1396" t="s">
        <v>198</v>
      </c>
    </row>
    <row r="1397" spans="1:10" x14ac:dyDescent="0.2">
      <c r="A1397">
        <v>1217</v>
      </c>
      <c r="B1397" s="1">
        <v>46224</v>
      </c>
      <c r="C1397" s="2">
        <v>0.79479166666666667</v>
      </c>
      <c r="D1397" t="s">
        <v>18</v>
      </c>
      <c r="E1397" s="10" t="s">
        <v>33</v>
      </c>
      <c r="F1397" s="11">
        <v>87.637606668000004</v>
      </c>
      <c r="G1397" s="4">
        <v>2255.6044900000002</v>
      </c>
      <c r="J1397" t="s">
        <v>198</v>
      </c>
    </row>
    <row r="1398" spans="1:10" x14ac:dyDescent="0.2">
      <c r="A1398">
        <v>1218</v>
      </c>
      <c r="B1398" s="1">
        <v>46224</v>
      </c>
      <c r="C1398" s="2">
        <v>0.79505787037037035</v>
      </c>
      <c r="D1398" t="s">
        <v>18</v>
      </c>
      <c r="E1398" s="10" t="s">
        <v>33</v>
      </c>
      <c r="F1398" s="11">
        <v>88.908631690000007</v>
      </c>
      <c r="G1398" s="4">
        <v>2269.89</v>
      </c>
      <c r="J1398" t="s">
        <v>198</v>
      </c>
    </row>
    <row r="1399" spans="1:10" x14ac:dyDescent="0.2">
      <c r="A1399">
        <v>1219</v>
      </c>
      <c r="B1399" s="1">
        <v>46224</v>
      </c>
      <c r="C1399" s="2">
        <v>0.79537037037037039</v>
      </c>
      <c r="D1399" t="s">
        <v>18</v>
      </c>
      <c r="E1399" s="10" t="s">
        <v>33</v>
      </c>
      <c r="F1399" s="11">
        <v>86.811435963999998</v>
      </c>
      <c r="G1399" s="4">
        <v>2208.8671899999999</v>
      </c>
      <c r="J1399" t="s">
        <v>198</v>
      </c>
    </row>
    <row r="1400" spans="1:10" x14ac:dyDescent="0.2">
      <c r="A1400">
        <v>1220</v>
      </c>
      <c r="B1400" s="1">
        <v>46224</v>
      </c>
      <c r="C1400" s="2">
        <v>0.79568287037037033</v>
      </c>
      <c r="D1400" t="s">
        <v>18</v>
      </c>
      <c r="E1400" s="10" t="s">
        <v>33</v>
      </c>
      <c r="F1400" s="11">
        <v>87.256299005000002</v>
      </c>
      <c r="G1400" s="4">
        <v>2128.0383299999999</v>
      </c>
      <c r="J1400" t="s">
        <v>198</v>
      </c>
    </row>
    <row r="1401" spans="1:10" x14ac:dyDescent="0.2">
      <c r="A1401">
        <v>1221</v>
      </c>
      <c r="B1401" s="1">
        <v>46224</v>
      </c>
      <c r="C1401" s="2">
        <v>0.7961111111111111</v>
      </c>
      <c r="D1401" t="s">
        <v>18</v>
      </c>
      <c r="E1401" s="10" t="s">
        <v>33</v>
      </c>
      <c r="F1401" s="11">
        <v>87.002085545</v>
      </c>
      <c r="G1401" s="4">
        <v>2323.6635700000002</v>
      </c>
      <c r="J1401" t="s">
        <v>198</v>
      </c>
    </row>
    <row r="1402" spans="1:10" x14ac:dyDescent="0.2">
      <c r="A1402">
        <v>1222</v>
      </c>
      <c r="B1402" s="1">
        <v>46224</v>
      </c>
      <c r="C1402" s="2">
        <v>0.79636574074074074</v>
      </c>
      <c r="D1402" t="s">
        <v>18</v>
      </c>
      <c r="E1402" s="10" t="s">
        <v>33</v>
      </c>
      <c r="F1402" s="11">
        <v>86.986196589000002</v>
      </c>
      <c r="G1402" s="4">
        <v>1842.7384</v>
      </c>
      <c r="J1402" t="s">
        <v>198</v>
      </c>
    </row>
    <row r="1403" spans="1:10" x14ac:dyDescent="0.2">
      <c r="A1403">
        <v>1223</v>
      </c>
      <c r="B1403" s="1">
        <v>46224</v>
      </c>
      <c r="C1403" s="2">
        <v>0.79673611111111109</v>
      </c>
      <c r="D1403" t="s">
        <v>18</v>
      </c>
      <c r="E1403" s="10" t="s">
        <v>33</v>
      </c>
      <c r="F1403" s="11">
        <v>86.986196589000002</v>
      </c>
      <c r="G1403" s="4">
        <v>2267.1044900000002</v>
      </c>
      <c r="J1403" t="s">
        <v>198</v>
      </c>
    </row>
    <row r="1404" spans="1:10" x14ac:dyDescent="0.2">
      <c r="A1404">
        <v>1224</v>
      </c>
      <c r="B1404" s="1">
        <v>46224</v>
      </c>
      <c r="C1404" s="2">
        <v>0.79710648148148144</v>
      </c>
      <c r="D1404" t="s">
        <v>18</v>
      </c>
      <c r="E1404" s="10" t="s">
        <v>33</v>
      </c>
      <c r="F1404" s="11">
        <v>85.667504696999998</v>
      </c>
      <c r="G1404" s="4">
        <v>2213.60889</v>
      </c>
      <c r="J1404" t="s">
        <v>198</v>
      </c>
    </row>
    <row r="1405" spans="1:10" x14ac:dyDescent="0.2">
      <c r="A1405">
        <v>1225</v>
      </c>
      <c r="B1405" s="1">
        <v>46224</v>
      </c>
      <c r="C1405" s="2">
        <v>0.79753472222222221</v>
      </c>
      <c r="D1405" t="s">
        <v>18</v>
      </c>
      <c r="E1405" s="10" t="s">
        <v>33</v>
      </c>
      <c r="F1405" s="11">
        <v>85.524513485</v>
      </c>
      <c r="G1405" s="4">
        <v>2172.01953</v>
      </c>
      <c r="J1405" t="s">
        <v>198</v>
      </c>
    </row>
    <row r="1406" spans="1:10" x14ac:dyDescent="0.2">
      <c r="A1406">
        <v>1226</v>
      </c>
      <c r="B1406" s="1">
        <v>46224</v>
      </c>
      <c r="C1406" s="2">
        <v>0.79796296296296299</v>
      </c>
      <c r="D1406" t="s">
        <v>18</v>
      </c>
      <c r="E1406" s="10" t="s">
        <v>33</v>
      </c>
      <c r="F1406" s="11">
        <v>85.333863903999998</v>
      </c>
      <c r="G1406" s="4">
        <v>2207.8496100000002</v>
      </c>
      <c r="J1406" t="s">
        <v>198</v>
      </c>
    </row>
    <row r="1407" spans="1:10" x14ac:dyDescent="0.2">
      <c r="A1407">
        <v>1227</v>
      </c>
      <c r="B1407" s="1">
        <v>46224</v>
      </c>
      <c r="C1407" s="2">
        <v>0.79835648148148153</v>
      </c>
      <c r="D1407" t="s">
        <v>18</v>
      </c>
      <c r="E1407" s="10" t="s">
        <v>33</v>
      </c>
      <c r="F1407" s="11">
        <v>86.223581486</v>
      </c>
      <c r="G1407" s="4">
        <v>2206.6452599999998</v>
      </c>
      <c r="J1407" t="s">
        <v>198</v>
      </c>
    </row>
    <row r="1408" spans="1:10" x14ac:dyDescent="0.2">
      <c r="A1408">
        <v>1228</v>
      </c>
      <c r="B1408" s="1">
        <v>46224</v>
      </c>
      <c r="C1408" s="2">
        <v>0.79945601851851855</v>
      </c>
      <c r="D1408" t="s">
        <v>25</v>
      </c>
      <c r="E1408" s="10" t="s">
        <v>33</v>
      </c>
      <c r="F1408" s="11">
        <v>88.860973544999993</v>
      </c>
      <c r="G1408" s="4">
        <v>1726.0015900000001</v>
      </c>
      <c r="H1408" s="20">
        <v>0</v>
      </c>
      <c r="J1408" t="s">
        <v>198</v>
      </c>
    </row>
    <row r="1409" spans="1:10" x14ac:dyDescent="0.2">
      <c r="A1409">
        <v>1229</v>
      </c>
      <c r="B1409" s="1">
        <v>46224</v>
      </c>
      <c r="C1409" s="2">
        <v>0.79966435185185181</v>
      </c>
      <c r="D1409" t="s">
        <v>25</v>
      </c>
      <c r="E1409" s="10" t="s">
        <v>33</v>
      </c>
      <c r="F1409" s="11">
        <v>89.528263856999999</v>
      </c>
      <c r="G1409" s="4">
        <v>1936.05457</v>
      </c>
      <c r="H1409" s="20">
        <v>0</v>
      </c>
      <c r="J1409" t="s">
        <v>198</v>
      </c>
    </row>
    <row r="1410" spans="1:10" x14ac:dyDescent="0.2">
      <c r="A1410">
        <v>1230</v>
      </c>
      <c r="B1410" s="1">
        <v>46224</v>
      </c>
      <c r="C1410" s="2">
        <v>0.79995370370370367</v>
      </c>
      <c r="D1410" t="s">
        <v>25</v>
      </c>
      <c r="E1410" s="10" t="s">
        <v>33</v>
      </c>
      <c r="F1410" s="11">
        <v>89.607699914999998</v>
      </c>
      <c r="G1410" s="4">
        <v>2077.41284</v>
      </c>
      <c r="H1410" s="20">
        <v>0</v>
      </c>
      <c r="J1410" t="s">
        <v>198</v>
      </c>
    </row>
    <row r="1411" spans="1:10" x14ac:dyDescent="0.2">
      <c r="A1411">
        <v>1231</v>
      </c>
      <c r="B1411" s="1">
        <v>46224</v>
      </c>
      <c r="C1411" s="2">
        <v>0.80023148148148149</v>
      </c>
      <c r="D1411" t="s">
        <v>25</v>
      </c>
      <c r="E1411" s="10" t="s">
        <v>33</v>
      </c>
      <c r="F1411" s="11">
        <v>90.052562956000003</v>
      </c>
      <c r="G1411" s="4">
        <v>1729.89771</v>
      </c>
      <c r="H1411" s="20">
        <v>0</v>
      </c>
      <c r="J1411" t="s">
        <v>198</v>
      </c>
    </row>
  </sheetData>
  <sortState xmlns:xlrd2="http://schemas.microsoft.com/office/spreadsheetml/2017/richdata2" ref="A2:T1411">
    <sortCondition ref="J2:J1411"/>
    <sortCondition ref="B2:B1411"/>
    <sortCondition ref="C2:C1411"/>
  </sortState>
  <conditionalFormatting sqref="D1:D1048576">
    <cfRule type="containsText" dxfId="387" priority="23" operator="containsText" text="Sebastian Garcia">
      <formula>NOT(ISERROR(SEARCH("Sebastian Garcia",D1)))</formula>
    </cfRule>
    <cfRule type="containsText" dxfId="386" priority="22" operator="containsText" text="Drew Craig">
      <formula>NOT(ISERROR(SEARCH("Drew Craig",D1)))</formula>
    </cfRule>
    <cfRule type="containsText" dxfId="385" priority="21" operator="containsText" text="Gabriel Esteban">
      <formula>NOT(ISERROR(SEARCH("Gabriel Esteban",D1)))</formula>
    </cfRule>
    <cfRule type="containsText" dxfId="384" priority="20" operator="containsText" text="Reagan Samples">
      <formula>NOT(ISERROR(SEARCH("Reagan Samples",D1)))</formula>
    </cfRule>
    <cfRule type="containsText" dxfId="383" priority="19" operator="containsText" text="Jonathon Van Ness">
      <formula>NOT(ISERROR(SEARCH("Jonathon Van Ness",D1)))</formula>
    </cfRule>
  </conditionalFormatting>
  <conditionalFormatting sqref="E1:E1048576">
    <cfRule type="cellIs" dxfId="382" priority="8" operator="equal">
      <formula>"FB"</formula>
    </cfRule>
    <cfRule type="cellIs" dxfId="381" priority="9" operator="equal">
      <formula>"SL"</formula>
    </cfRule>
    <cfRule type="cellIs" dxfId="380" priority="10" operator="equal">
      <formula>"CH"</formula>
    </cfRule>
    <cfRule type="cellIs" dxfId="379" priority="11" operator="equal">
      <formula>"SP"</formula>
    </cfRule>
    <cfRule type="cellIs" dxfId="378" priority="12" operator="equal">
      <formula>"CB"</formula>
    </cfRule>
    <cfRule type="cellIs" dxfId="377" priority="13" operator="equal">
      <formula>"CT"</formula>
    </cfRule>
  </conditionalFormatting>
  <conditionalFormatting sqref="I1:I1048576">
    <cfRule type="containsText" dxfId="376" priority="16" operator="containsText" text="K">
      <formula>NOT(ISERROR(SEARCH("K",I1)))</formula>
    </cfRule>
    <cfRule type="containsText" dxfId="375" priority="17" operator="containsText" text="BB">
      <formula>NOT(ISERROR(SEARCH("BB",I1)))</formula>
    </cfRule>
    <cfRule type="containsText" dxfId="374" priority="14" operator="containsText" text="In Play">
      <formula>NOT(ISERROR(SEARCH("In Play",I1)))</formula>
    </cfRule>
    <cfRule type="containsText" dxfId="373" priority="15" operator="containsText" text="bK">
      <formula>NOT(ISERROR(SEARCH("bK",I1)))</formula>
    </cfRule>
  </conditionalFormatting>
  <conditionalFormatting sqref="J1:J1048576">
    <cfRule type="containsText" dxfId="372" priority="32" operator="containsText" text="Aidan Young">
      <formula>NOT(ISERROR(SEARCH("Aidan Young",J1)))</formula>
    </cfRule>
    <cfRule type="containsText" dxfId="371" priority="24" operator="containsText" text="Caleb Koontz">
      <formula>NOT(ISERROR(SEARCH("Caleb Koontz",J1)))</formula>
    </cfRule>
    <cfRule type="containsText" dxfId="370" priority="25" operator="containsText" text="Ryan Han">
      <formula>NOT(ISERROR(SEARCH("Ryan Han",J1)))</formula>
    </cfRule>
    <cfRule type="containsText" dxfId="369" priority="26" operator="containsText" text="Reagan Samples">
      <formula>NOT(ISERROR(SEARCH("Reagan Samples",J1)))</formula>
    </cfRule>
    <cfRule type="containsText" dxfId="368" priority="27" operator="containsText" text="Jackson Orr">
      <formula>NOT(ISERROR(SEARCH("Jackson Orr",J1)))</formula>
    </cfRule>
    <cfRule type="containsText" dxfId="367" priority="28" operator="containsText" text="Carter Walsh">
      <formula>NOT(ISERROR(SEARCH("Carter Walsh",J1)))</formula>
    </cfRule>
    <cfRule type="containsText" dxfId="366" priority="29" operator="containsText" text="Easton Steck">
      <formula>NOT(ISERROR(SEARCH("Easton Steck",J1)))</formula>
    </cfRule>
    <cfRule type="containsText" dxfId="365" priority="30" operator="containsText" text="Michael Caranna">
      <formula>NOT(ISERROR(SEARCH("Michael Caranna",J1)))</formula>
    </cfRule>
    <cfRule type="containsText" dxfId="364" priority="31" operator="containsText" text="Michael Chang">
      <formula>NOT(ISERROR(SEARCH("Michael Chang",J1)))</formula>
    </cfRule>
  </conditionalFormatting>
  <conditionalFormatting sqref="K2:K25">
    <cfRule type="top10" dxfId="363" priority="5" percent="1" rank="10"/>
  </conditionalFormatting>
  <conditionalFormatting sqref="K177:K200">
    <cfRule type="top10" dxfId="362" priority="6" percent="1" rank="10"/>
  </conditionalFormatting>
  <conditionalFormatting sqref="K345:K372">
    <cfRule type="top10" dxfId="361" priority="7" percent="1" rank="10"/>
  </conditionalFormatting>
  <conditionalFormatting sqref="K522:K551">
    <cfRule type="top10" dxfId="360" priority="4" percent="1" rank="10"/>
  </conditionalFormatting>
  <conditionalFormatting sqref="K741:K765">
    <cfRule type="top10" dxfId="359" priority="3" percent="1" rank="10"/>
  </conditionalFormatting>
  <conditionalFormatting sqref="K865:K879">
    <cfRule type="top10" dxfId="358" priority="2" percent="1" rank="10"/>
  </conditionalFormatting>
  <conditionalFormatting sqref="K974:K994">
    <cfRule type="top10" dxfId="357" priority="1" percent="1" rank="10"/>
  </conditionalFormatting>
  <conditionalFormatting sqref="V1266:V1286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B9934-346A-0F40-BDD4-4156BD50937C}">
  <dimension ref="B1:CJ55"/>
  <sheetViews>
    <sheetView zoomScaleNormal="100" workbookViewId="0">
      <pane xSplit="3" topLeftCell="D1" activePane="topRight" state="frozen"/>
      <selection pane="topRight" activeCell="Z24" sqref="Z24"/>
    </sheetView>
  </sheetViews>
  <sheetFormatPr baseColWidth="10" defaultRowHeight="16" x14ac:dyDescent="0.2"/>
  <cols>
    <col min="1" max="1" width="3.33203125" customWidth="1"/>
    <col min="2" max="2" width="4.33203125" bestFit="1" customWidth="1"/>
    <col min="3" max="3" width="21.33203125" bestFit="1" customWidth="1"/>
    <col min="4" max="4" width="6.83203125" bestFit="1" customWidth="1"/>
    <col min="5" max="5" width="5.33203125" bestFit="1" customWidth="1"/>
    <col min="6" max="7" width="6" bestFit="1" customWidth="1"/>
    <col min="8" max="8" width="7.1640625" bestFit="1" customWidth="1"/>
    <col min="9" max="9" width="8.1640625" bestFit="1" customWidth="1"/>
    <col min="10" max="10" width="8.33203125" bestFit="1" customWidth="1"/>
    <col min="11" max="12" width="8.1640625" bestFit="1" customWidth="1"/>
    <col min="13" max="13" width="7.6640625" bestFit="1" customWidth="1"/>
    <col min="14" max="14" width="8.1640625" bestFit="1" customWidth="1"/>
    <col min="15" max="15" width="12.6640625" bestFit="1" customWidth="1"/>
    <col min="16" max="16" width="11.1640625" bestFit="1" customWidth="1"/>
    <col min="17" max="17" width="8.1640625" bestFit="1" customWidth="1"/>
    <col min="18" max="18" width="11.1640625" bestFit="1" customWidth="1"/>
    <col min="19" max="19" width="12.5" bestFit="1" customWidth="1"/>
    <col min="20" max="20" width="11.1640625" bestFit="1" customWidth="1"/>
    <col min="21" max="21" width="12.5" bestFit="1" customWidth="1"/>
    <col min="22" max="22" width="10.33203125" bestFit="1" customWidth="1"/>
    <col min="23" max="23" width="11.6640625" bestFit="1" customWidth="1"/>
    <col min="24" max="24" width="10.5" bestFit="1" customWidth="1"/>
    <col min="25" max="25" width="14.6640625" bestFit="1" customWidth="1"/>
    <col min="26" max="26" width="16" bestFit="1" customWidth="1"/>
    <col min="27" max="27" width="14.6640625" bestFit="1" customWidth="1"/>
    <col min="28" max="28" width="16" bestFit="1" customWidth="1"/>
    <col min="29" max="29" width="13.83203125" bestFit="1" customWidth="1"/>
    <col min="30" max="30" width="15.1640625" bestFit="1" customWidth="1"/>
    <col min="31" max="31" width="11" bestFit="1" customWidth="1"/>
    <col min="32" max="32" width="15.1640625" bestFit="1" customWidth="1"/>
    <col min="33" max="33" width="16.6640625" bestFit="1" customWidth="1"/>
    <col min="34" max="34" width="15.1640625" bestFit="1" customWidth="1"/>
    <col min="35" max="35" width="16.6640625" bestFit="1" customWidth="1"/>
    <col min="36" max="36" width="14.33203125" bestFit="1" customWidth="1"/>
    <col min="37" max="37" width="15.6640625" bestFit="1" customWidth="1"/>
    <col min="38" max="38" width="8.33203125" bestFit="1" customWidth="1"/>
    <col min="39" max="39" width="10.33203125" bestFit="1" customWidth="1"/>
    <col min="40" max="40" width="8.33203125" bestFit="1" customWidth="1"/>
    <col min="41" max="41" width="10.33203125" bestFit="1" customWidth="1"/>
    <col min="42" max="42" width="8.33203125" bestFit="1" customWidth="1"/>
    <col min="43" max="43" width="10.33203125" bestFit="1" customWidth="1"/>
    <col min="44" max="44" width="7.1640625" bestFit="1" customWidth="1"/>
    <col min="45" max="45" width="10.5" bestFit="1" customWidth="1"/>
    <col min="46" max="46" width="10.5" customWidth="1"/>
    <col min="47" max="47" width="7" bestFit="1" customWidth="1"/>
    <col min="48" max="48" width="10.1640625" bestFit="1" customWidth="1"/>
    <col min="49" max="49" width="8.6640625" bestFit="1" customWidth="1"/>
    <col min="50" max="50" width="8.1640625" bestFit="1" customWidth="1"/>
    <col min="51" max="51" width="8.83203125" bestFit="1" customWidth="1"/>
    <col min="52" max="52" width="10.83203125" bestFit="1" customWidth="1"/>
    <col min="53" max="53" width="9.83203125" bestFit="1" customWidth="1"/>
    <col min="54" max="54" width="8.1640625" bestFit="1" customWidth="1"/>
    <col min="55" max="55" width="10.1640625" bestFit="1" customWidth="1"/>
    <col min="56" max="56" width="11.1640625" bestFit="1" customWidth="1"/>
    <col min="57" max="57" width="10.33203125" bestFit="1" customWidth="1"/>
    <col min="58" max="58" width="8.1640625" bestFit="1" customWidth="1"/>
    <col min="59" max="59" width="8.83203125" bestFit="1" customWidth="1"/>
    <col min="60" max="60" width="9.6640625" bestFit="1" customWidth="1"/>
    <col min="61" max="61" width="8.83203125" bestFit="1" customWidth="1"/>
    <col min="62" max="62" width="9" bestFit="1" customWidth="1"/>
    <col min="63" max="63" width="9.83203125" bestFit="1" customWidth="1"/>
    <col min="64" max="65" width="10.5" bestFit="1" customWidth="1"/>
    <col min="66" max="66" width="9.83203125" bestFit="1" customWidth="1"/>
    <col min="67" max="67" width="10.33203125" bestFit="1" customWidth="1"/>
    <col min="68" max="68" width="9.83203125" bestFit="1" customWidth="1"/>
    <col min="69" max="69" width="10.5" bestFit="1" customWidth="1"/>
    <col min="70" max="75" width="9.83203125" bestFit="1" customWidth="1"/>
  </cols>
  <sheetData>
    <row r="1" spans="2:88" ht="20" customHeight="1" thickBot="1" x14ac:dyDescent="0.25"/>
    <row r="2" spans="2:88" ht="30" thickBot="1" x14ac:dyDescent="0.25">
      <c r="B2" s="186" t="s">
        <v>171</v>
      </c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7"/>
      <c r="AK2" s="187"/>
      <c r="AL2" s="187"/>
      <c r="AM2" s="187"/>
      <c r="AN2" s="187"/>
      <c r="AO2" s="187"/>
      <c r="AP2" s="187"/>
      <c r="AQ2" s="187"/>
      <c r="AR2" s="187"/>
      <c r="AS2" s="187"/>
      <c r="AT2" s="187"/>
      <c r="AU2" s="187"/>
      <c r="AV2" s="187"/>
      <c r="AW2" s="187"/>
      <c r="AX2" s="187"/>
      <c r="AY2" s="187"/>
      <c r="AZ2" s="187"/>
      <c r="BA2" s="187"/>
      <c r="BB2" s="187"/>
      <c r="BC2" s="187"/>
      <c r="BD2" s="187"/>
      <c r="BE2" s="187"/>
      <c r="BF2" s="187"/>
      <c r="BG2" s="187"/>
      <c r="BH2" s="187"/>
      <c r="BI2" s="187"/>
      <c r="BJ2" s="187"/>
      <c r="BK2" s="187"/>
      <c r="BL2" s="187"/>
      <c r="BM2" s="187"/>
      <c r="BN2" s="187"/>
      <c r="BO2" s="187"/>
      <c r="BP2" s="187"/>
      <c r="BQ2" s="187"/>
      <c r="BR2" s="187"/>
      <c r="BS2" s="187"/>
      <c r="BT2" s="187"/>
      <c r="BU2" s="187"/>
      <c r="BV2" s="187"/>
      <c r="BW2" s="188"/>
    </row>
    <row r="3" spans="2:88" ht="20" thickBot="1" x14ac:dyDescent="0.3">
      <c r="B3" s="101" t="s">
        <v>139</v>
      </c>
      <c r="C3" s="102" t="s">
        <v>140</v>
      </c>
      <c r="D3" s="98" t="s">
        <v>170</v>
      </c>
      <c r="E3" s="98" t="s">
        <v>63</v>
      </c>
      <c r="F3" s="98" t="s">
        <v>68</v>
      </c>
      <c r="G3" s="98" t="s">
        <v>69</v>
      </c>
      <c r="H3" s="98" t="s">
        <v>59</v>
      </c>
      <c r="I3" s="98" t="s">
        <v>141</v>
      </c>
      <c r="J3" s="98" t="s">
        <v>71</v>
      </c>
      <c r="K3" s="98" t="s">
        <v>72</v>
      </c>
      <c r="L3" s="98" t="s">
        <v>73</v>
      </c>
      <c r="M3" s="98" t="s">
        <v>74</v>
      </c>
      <c r="N3" s="98" t="s">
        <v>48</v>
      </c>
      <c r="O3" s="98" t="s">
        <v>75</v>
      </c>
      <c r="P3" s="98" t="s">
        <v>277</v>
      </c>
      <c r="Q3" s="98" t="s">
        <v>41</v>
      </c>
      <c r="R3" s="98" t="s">
        <v>79</v>
      </c>
      <c r="S3" s="98" t="s">
        <v>45</v>
      </c>
      <c r="T3" s="98" t="s">
        <v>272</v>
      </c>
      <c r="U3" s="98" t="s">
        <v>70</v>
      </c>
      <c r="V3" s="98" t="s">
        <v>84</v>
      </c>
      <c r="W3" s="98" t="s">
        <v>85</v>
      </c>
      <c r="X3" s="98" t="s">
        <v>86</v>
      </c>
      <c r="Y3" s="98" t="s">
        <v>89</v>
      </c>
      <c r="Z3" s="98" t="s">
        <v>90</v>
      </c>
      <c r="AA3" s="103">
        <v>0.66666666666666663</v>
      </c>
      <c r="AB3" s="98" t="s">
        <v>142</v>
      </c>
      <c r="AC3" s="103" t="s">
        <v>93</v>
      </c>
      <c r="AD3" s="98" t="s">
        <v>94</v>
      </c>
      <c r="AE3" s="103" t="s">
        <v>95</v>
      </c>
      <c r="AF3" s="98" t="s">
        <v>96</v>
      </c>
      <c r="AG3" s="98" t="s">
        <v>143</v>
      </c>
      <c r="AH3" s="98" t="s">
        <v>98</v>
      </c>
      <c r="AI3" s="98" t="s">
        <v>144</v>
      </c>
      <c r="AJ3" s="98" t="s">
        <v>145</v>
      </c>
      <c r="AK3" s="98" t="s">
        <v>146</v>
      </c>
      <c r="AL3" s="98" t="s">
        <v>102</v>
      </c>
      <c r="AM3" s="98" t="s">
        <v>147</v>
      </c>
      <c r="AN3" s="98" t="s">
        <v>145</v>
      </c>
      <c r="AO3" s="98" t="s">
        <v>146</v>
      </c>
      <c r="AP3" s="98" t="s">
        <v>106</v>
      </c>
      <c r="AQ3" s="98" t="s">
        <v>148</v>
      </c>
      <c r="AR3" s="98" t="s">
        <v>145</v>
      </c>
      <c r="AS3" s="98" t="s">
        <v>146</v>
      </c>
      <c r="AT3" s="98" t="s">
        <v>149</v>
      </c>
      <c r="AU3" s="98" t="s">
        <v>150</v>
      </c>
      <c r="AV3" s="98" t="s">
        <v>145</v>
      </c>
      <c r="AW3" s="98" t="s">
        <v>146</v>
      </c>
      <c r="AX3" s="98" t="s">
        <v>151</v>
      </c>
      <c r="AY3" s="98" t="s">
        <v>152</v>
      </c>
      <c r="AZ3" s="98" t="s">
        <v>153</v>
      </c>
      <c r="BA3" s="98" t="s">
        <v>154</v>
      </c>
      <c r="BB3" s="98" t="s">
        <v>155</v>
      </c>
      <c r="BC3" s="98" t="s">
        <v>156</v>
      </c>
      <c r="BD3" s="98" t="s">
        <v>157</v>
      </c>
      <c r="BE3" s="98" t="s">
        <v>158</v>
      </c>
      <c r="BF3" s="98" t="s">
        <v>159</v>
      </c>
      <c r="BG3" s="98" t="s">
        <v>160</v>
      </c>
      <c r="BH3" s="98" t="s">
        <v>161</v>
      </c>
      <c r="BI3" s="98" t="s">
        <v>162</v>
      </c>
      <c r="BJ3" s="99" t="s">
        <v>163</v>
      </c>
      <c r="BK3" s="10"/>
    </row>
    <row r="4" spans="2:88" ht="19" x14ac:dyDescent="0.2">
      <c r="B4" s="100"/>
      <c r="C4" s="66" t="s">
        <v>172</v>
      </c>
      <c r="D4" s="67">
        <v>6</v>
      </c>
      <c r="E4" s="68">
        <f>SUM(Craig!C5:M5)</f>
        <v>11</v>
      </c>
      <c r="F4" s="67">
        <f>SUM(Craig!C6:M6)</f>
        <v>221</v>
      </c>
      <c r="G4" s="67">
        <f>SUM(Craig!C7:M7)</f>
        <v>126</v>
      </c>
      <c r="H4" s="67">
        <f>SUM(Craig!C8:M8)</f>
        <v>95</v>
      </c>
      <c r="I4" s="70">
        <f t="shared" ref="I4:I11" si="0">H4/F4</f>
        <v>0.42986425339366519</v>
      </c>
      <c r="J4" s="71">
        <f t="shared" ref="J4:J11" si="1">F4/E4</f>
        <v>20.09090909090909</v>
      </c>
      <c r="K4" s="71">
        <f t="shared" ref="K4:K11" si="2">F4/L4</f>
        <v>4.25</v>
      </c>
      <c r="L4" s="67">
        <f>SUM(Craig!C12:M12)</f>
        <v>52</v>
      </c>
      <c r="M4" s="67">
        <f>SUM(Craig!C13:M13)</f>
        <v>8</v>
      </c>
      <c r="N4" s="67">
        <f>SUM(Craig!C14:M14)</f>
        <v>16</v>
      </c>
      <c r="O4" s="70">
        <f t="shared" ref="O4:O11" si="3">N4/L4</f>
        <v>0.30769230769230771</v>
      </c>
      <c r="P4" s="68">
        <f>(N4*9)/E4</f>
        <v>13.090909090909092</v>
      </c>
      <c r="Q4" s="69">
        <f>SUM(Craig!C17:M17)</f>
        <v>2</v>
      </c>
      <c r="R4" s="72">
        <f t="shared" ref="R4:R10" si="4">(M4+N4)/E4</f>
        <v>2.1818181818181817</v>
      </c>
      <c r="S4" s="67">
        <f>SUM(Craig!C19:M20)</f>
        <v>10</v>
      </c>
      <c r="T4" s="68">
        <f>(S4*9)/E4</f>
        <v>8.1818181818181817</v>
      </c>
      <c r="U4" s="70">
        <f t="shared" ref="U4:U11" si="5">S4/L4</f>
        <v>0.19230769230769232</v>
      </c>
      <c r="V4" s="72">
        <f t="shared" ref="V4:V11" si="6">S4/N4</f>
        <v>0.625</v>
      </c>
      <c r="W4" s="70">
        <f t="shared" ref="W4:W11" si="7">U4-O4</f>
        <v>-0.11538461538461539</v>
      </c>
      <c r="X4" s="73">
        <f t="shared" ref="X4:X11" si="8">M4/(L4-N4-Q4)</f>
        <v>0.23529411764705882</v>
      </c>
      <c r="Y4" s="69">
        <f>SUM(Craig!C26:M26)</f>
        <v>19</v>
      </c>
      <c r="Z4" s="70">
        <f t="shared" ref="Z4:Z11" si="9">Y4/L4</f>
        <v>0.36538461538461536</v>
      </c>
      <c r="AA4" s="67">
        <f>SUM(Craig!C28:M28)</f>
        <v>8</v>
      </c>
      <c r="AB4" s="70">
        <f t="shared" ref="AB4:AB11" si="10">AA4/L4</f>
        <v>0.15384615384615385</v>
      </c>
      <c r="AC4" s="67">
        <f>SUM(Craig!C30:M30)</f>
        <v>16</v>
      </c>
      <c r="AD4" s="70">
        <f t="shared" ref="AD4:AD11" si="11">AC4/L4</f>
        <v>0.30769230769230771</v>
      </c>
      <c r="AE4" s="67">
        <f>SUM(Craig!C32:M32)</f>
        <v>22</v>
      </c>
      <c r="AF4" s="70">
        <f t="shared" ref="AF4:AF11" si="12">AE4/L4</f>
        <v>0.42307692307692307</v>
      </c>
      <c r="AG4" s="70">
        <f t="shared" ref="AG4:AG11" si="13">N4/AE4</f>
        <v>0.72727272727272729</v>
      </c>
      <c r="AH4" s="67">
        <f>SUM(Craig!C34:M34)</f>
        <v>108</v>
      </c>
      <c r="AI4" s="67">
        <f>SUM(Craig!C35:M35)</f>
        <v>31</v>
      </c>
      <c r="AJ4" s="67">
        <f>SUM(Craig!C51:M51)</f>
        <v>6</v>
      </c>
      <c r="AK4" s="67">
        <f>SUM(Craig!C50:M50)</f>
        <v>38</v>
      </c>
      <c r="AL4" s="67">
        <f>SUM(Craig!C38:M38)</f>
        <v>0</v>
      </c>
      <c r="AM4" s="67">
        <f>SUM(Craig!C39:M39)</f>
        <v>0</v>
      </c>
      <c r="AN4" s="69">
        <f>SUM(Craig!C54:M54)</f>
        <v>0</v>
      </c>
      <c r="AO4" s="69">
        <f>SUM(Craig!C53:M53)</f>
        <v>0</v>
      </c>
      <c r="AP4" s="67">
        <f>SUM(Craig!C42:M42)</f>
        <v>12</v>
      </c>
      <c r="AQ4" s="67">
        <f>SUM(Craig!C43:M43)</f>
        <v>4</v>
      </c>
      <c r="AR4" s="67">
        <f>SUM(Craig!C57:M57)</f>
        <v>3</v>
      </c>
      <c r="AS4" s="67">
        <f>SUM(Craig!C56:M56)</f>
        <v>4</v>
      </c>
      <c r="AT4" s="67">
        <f>SUM(Craig!C46:M46)</f>
        <v>101</v>
      </c>
      <c r="AU4" s="67">
        <f>SUM(Craig!C47:M47)</f>
        <v>39</v>
      </c>
      <c r="AV4" s="67">
        <f>SUM(Craig!C60:M60)</f>
        <v>15</v>
      </c>
      <c r="AW4" s="67">
        <f>SUM(Craig!C59:M59)</f>
        <v>38</v>
      </c>
      <c r="AX4" s="251">
        <f>(SUM(AJ4+AN4+AR4+AV4)/SUM(AK4+AO4+AS4+AW4))</f>
        <v>0.3</v>
      </c>
      <c r="AY4" s="70">
        <f>AI4/AH4</f>
        <v>0.28703703703703703</v>
      </c>
      <c r="AZ4" s="70">
        <f>AJ4/AK4</f>
        <v>0.15789473684210525</v>
      </c>
      <c r="BA4" s="70" t="e">
        <f t="shared" ref="BA4:BA10" si="14">AM4/AL4</f>
        <v>#DIV/0!</v>
      </c>
      <c r="BB4" s="70" t="e">
        <f>AN4/AO4</f>
        <v>#DIV/0!</v>
      </c>
      <c r="BC4" s="70">
        <f>AQ4/AP4</f>
        <v>0.33333333333333331</v>
      </c>
      <c r="BD4" s="70">
        <f>AR4/AS4</f>
        <v>0.75</v>
      </c>
      <c r="BE4" s="70">
        <f>AU4/AT4</f>
        <v>0.38613861386138615</v>
      </c>
      <c r="BF4" s="70">
        <f>AV4/AW4</f>
        <v>0.39473684210526316</v>
      </c>
      <c r="BG4" s="70">
        <f t="shared" ref="BG4:BG11" si="15">AH4/F4</f>
        <v>0.48868778280542985</v>
      </c>
      <c r="BH4" s="70">
        <f t="shared" ref="BH4:BH11" si="16">AL4/F4</f>
        <v>0</v>
      </c>
      <c r="BI4" s="70">
        <f t="shared" ref="BI4:BI11" si="17">AP4/F4</f>
        <v>5.4298642533936653E-2</v>
      </c>
      <c r="BJ4" s="75">
        <f t="shared" ref="BJ4:BJ11" si="18">AT4/F4</f>
        <v>0.45701357466063347</v>
      </c>
      <c r="BK4" s="76">
        <f t="shared" ref="BK4:BK11" si="19">SUM(BG4:BJ4)</f>
        <v>1</v>
      </c>
    </row>
    <row r="5" spans="2:88" ht="19" x14ac:dyDescent="0.2">
      <c r="B5" s="100"/>
      <c r="C5" s="66" t="s">
        <v>18</v>
      </c>
      <c r="D5" s="67">
        <v>6</v>
      </c>
      <c r="E5" s="68">
        <f>SUM(Esteban!C5:M5)</f>
        <v>12.333333333333334</v>
      </c>
      <c r="F5" s="67">
        <f>SUM(Esteban!C6:M6)</f>
        <v>319</v>
      </c>
      <c r="G5" s="67">
        <f>SUM(Esteban!C7:M7)</f>
        <v>143</v>
      </c>
      <c r="H5" s="67">
        <f>SUM(Esteban!C8:M8)</f>
        <v>176</v>
      </c>
      <c r="I5" s="70">
        <f t="shared" si="0"/>
        <v>0.55172413793103448</v>
      </c>
      <c r="J5" s="71">
        <f t="shared" si="1"/>
        <v>25.864864864864863</v>
      </c>
      <c r="K5" s="71">
        <f t="shared" si="2"/>
        <v>4.7611940298507465</v>
      </c>
      <c r="L5" s="67">
        <f>SUM(Esteban!C12:M12)</f>
        <v>67</v>
      </c>
      <c r="M5" s="67">
        <f>SUM(Esteban!C13:M13)</f>
        <v>13</v>
      </c>
      <c r="N5" s="67">
        <f>SUM(Esteban!C14:M14)</f>
        <v>13</v>
      </c>
      <c r="O5" s="70">
        <f t="shared" si="3"/>
        <v>0.19402985074626866</v>
      </c>
      <c r="P5" s="68">
        <f t="shared" ref="P5:P11" si="20">(N5*9)/E5</f>
        <v>9.486486486486486</v>
      </c>
      <c r="Q5" s="69">
        <f>SUM(Esteban!C17:M17)</f>
        <v>2</v>
      </c>
      <c r="R5" s="72">
        <f t="shared" si="4"/>
        <v>2.1081081081081079</v>
      </c>
      <c r="S5" s="67">
        <f>SUM(Esteban!C19:M20)</f>
        <v>14</v>
      </c>
      <c r="T5" s="68">
        <f t="shared" ref="T5:T11" si="21">(S5*9)/E5</f>
        <v>10.216216216216216</v>
      </c>
      <c r="U5" s="70">
        <f t="shared" si="5"/>
        <v>0.20895522388059701</v>
      </c>
      <c r="V5" s="72">
        <f t="shared" si="6"/>
        <v>1.0769230769230769</v>
      </c>
      <c r="W5" s="70">
        <f t="shared" si="7"/>
        <v>1.4925373134328346E-2</v>
      </c>
      <c r="X5" s="73">
        <f t="shared" si="8"/>
        <v>0.25</v>
      </c>
      <c r="Y5" s="69">
        <f>SUM(Esteban!C26:M26)</f>
        <v>23</v>
      </c>
      <c r="Z5" s="70">
        <f t="shared" si="9"/>
        <v>0.34328358208955223</v>
      </c>
      <c r="AA5" s="67">
        <f>SUM(Esteban!C28:M28)</f>
        <v>23</v>
      </c>
      <c r="AB5" s="70">
        <f t="shared" si="10"/>
        <v>0.34328358208955223</v>
      </c>
      <c r="AC5" s="67">
        <f>SUM(Esteban!C30:M30)</f>
        <v>17</v>
      </c>
      <c r="AD5" s="70">
        <f t="shared" si="11"/>
        <v>0.2537313432835821</v>
      </c>
      <c r="AE5" s="67">
        <f>SUM(Esteban!C32:M32)</f>
        <v>29</v>
      </c>
      <c r="AF5" s="70">
        <f t="shared" si="12"/>
        <v>0.43283582089552236</v>
      </c>
      <c r="AG5" s="70">
        <f t="shared" si="13"/>
        <v>0.44827586206896552</v>
      </c>
      <c r="AH5" s="67">
        <f>SUM(Esteban!C34:M34)</f>
        <v>127</v>
      </c>
      <c r="AI5" s="67">
        <f>SUM(Esteban!C35:M35)</f>
        <v>76</v>
      </c>
      <c r="AJ5" s="67">
        <f>SUM(Esteban!C51:M51)</f>
        <v>19</v>
      </c>
      <c r="AK5" s="67">
        <f>SUM(Esteban!C50:M50)</f>
        <v>66</v>
      </c>
      <c r="AL5" s="67">
        <f>SUM(Esteban!C38:M38)</f>
        <v>103</v>
      </c>
      <c r="AM5" s="67">
        <f>SUM(Esteban!C39:M39)</f>
        <v>48</v>
      </c>
      <c r="AN5" s="69">
        <f>SUM(Esteban!C54:M54)</f>
        <v>12</v>
      </c>
      <c r="AO5" s="69">
        <f>SUM(Esteban!C53:M53)</f>
        <v>34</v>
      </c>
      <c r="AP5" s="67">
        <f>SUM(Esteban!C42:M42)</f>
        <v>14</v>
      </c>
      <c r="AQ5" s="67">
        <f>SUM(Esteban!C43:M43)</f>
        <v>7</v>
      </c>
      <c r="AR5" s="67">
        <f>SUM(Esteban!C57:M57)</f>
        <v>0</v>
      </c>
      <c r="AS5" s="67">
        <f>SUM(Esteban!C56:M56)</f>
        <v>6</v>
      </c>
      <c r="AT5" s="67">
        <f>SUM(Esteban!C46:M46)</f>
        <v>56</v>
      </c>
      <c r="AU5" s="67">
        <f>SUM(Esteban!C47:M47)</f>
        <v>26</v>
      </c>
      <c r="AV5" s="67">
        <f>SUM(Esteban!C60:M60)</f>
        <v>6</v>
      </c>
      <c r="AW5" s="67">
        <f>SUM(Esteban!C59:M59)</f>
        <v>23</v>
      </c>
      <c r="AX5" s="251">
        <f>(SUM(AJ5+AN5+AR5+AV5)/SUM(AK5+AO5+AS5+AW5))</f>
        <v>0.2868217054263566</v>
      </c>
      <c r="AY5" s="70">
        <f t="shared" ref="AY5:AY10" si="22">AI5/AH5</f>
        <v>0.59842519685039375</v>
      </c>
      <c r="AZ5" s="70">
        <f>AJ5/AK5</f>
        <v>0.2878787878787879</v>
      </c>
      <c r="BA5" s="70">
        <f t="shared" si="14"/>
        <v>0.46601941747572817</v>
      </c>
      <c r="BB5" s="70">
        <f>AN5/AO5</f>
        <v>0.35294117647058826</v>
      </c>
      <c r="BC5" s="70">
        <f t="shared" ref="BC5:BC10" si="23">AQ5/AP5</f>
        <v>0.5</v>
      </c>
      <c r="BD5" s="70">
        <f>AR5/AS5</f>
        <v>0</v>
      </c>
      <c r="BE5" s="70">
        <f t="shared" ref="BE5:BE10" si="24">AU5/AT5</f>
        <v>0.4642857142857143</v>
      </c>
      <c r="BF5" s="70">
        <f>AV5/AW5</f>
        <v>0.2608695652173913</v>
      </c>
      <c r="BG5" s="70">
        <f t="shared" si="15"/>
        <v>0.39811912225705332</v>
      </c>
      <c r="BH5" s="70">
        <f t="shared" si="16"/>
        <v>0.32288401253918497</v>
      </c>
      <c r="BI5" s="70">
        <f t="shared" si="17"/>
        <v>4.3887147335423198E-2</v>
      </c>
      <c r="BJ5" s="75">
        <f t="shared" si="18"/>
        <v>0.17554858934169279</v>
      </c>
      <c r="BK5" s="76">
        <f t="shared" si="19"/>
        <v>0.94043887147335425</v>
      </c>
    </row>
    <row r="6" spans="2:88" ht="19" x14ac:dyDescent="0.2">
      <c r="B6" s="100"/>
      <c r="C6" s="66" t="s">
        <v>25</v>
      </c>
      <c r="D6" s="67">
        <v>8</v>
      </c>
      <c r="E6" s="68">
        <f>SUM(Garcia!C5:M5)</f>
        <v>15.000000000000002</v>
      </c>
      <c r="F6" s="67">
        <f>SUM(Garcia!C6:M6)</f>
        <v>288</v>
      </c>
      <c r="G6" s="67">
        <f>SUM(Garcia!C7:M7)</f>
        <v>117</v>
      </c>
      <c r="H6" s="67">
        <f>SUM(Garcia!C8:M8)</f>
        <v>171</v>
      </c>
      <c r="I6" s="70">
        <f t="shared" si="0"/>
        <v>0.59375</v>
      </c>
      <c r="J6" s="71">
        <f t="shared" si="1"/>
        <v>19.2</v>
      </c>
      <c r="K6" s="71">
        <f t="shared" si="2"/>
        <v>4.2985074626865671</v>
      </c>
      <c r="L6" s="67">
        <f>SUM(Garcia!C12:M12)</f>
        <v>67</v>
      </c>
      <c r="M6" s="67">
        <f>SUM(Garcia!C13:M13)</f>
        <v>11</v>
      </c>
      <c r="N6" s="67">
        <f>SUM(Garcia!C14:M14)</f>
        <v>11</v>
      </c>
      <c r="O6" s="70">
        <f t="shared" si="3"/>
        <v>0.16417910447761194</v>
      </c>
      <c r="P6" s="68">
        <f t="shared" si="20"/>
        <v>6.6</v>
      </c>
      <c r="Q6" s="69">
        <f>SUM(Garcia!C17:M17)</f>
        <v>0</v>
      </c>
      <c r="R6" s="72">
        <f t="shared" si="4"/>
        <v>1.4666666666666666</v>
      </c>
      <c r="S6" s="67">
        <f>SUM(Garcia!C19:M20)</f>
        <v>22</v>
      </c>
      <c r="T6" s="68">
        <f t="shared" si="21"/>
        <v>13.2</v>
      </c>
      <c r="U6" s="70">
        <f t="shared" si="5"/>
        <v>0.32835820895522388</v>
      </c>
      <c r="V6" s="72">
        <f t="shared" si="6"/>
        <v>2</v>
      </c>
      <c r="W6" s="70">
        <f t="shared" si="7"/>
        <v>0.16417910447761194</v>
      </c>
      <c r="X6" s="73">
        <f t="shared" si="8"/>
        <v>0.19642857142857142</v>
      </c>
      <c r="Y6" s="69">
        <f>SUM(Garcia!C26:M26)</f>
        <v>36</v>
      </c>
      <c r="Z6" s="70">
        <f t="shared" si="9"/>
        <v>0.53731343283582089</v>
      </c>
      <c r="AA6" s="67">
        <f>SUM(Garcia!C28:M28)</f>
        <v>32</v>
      </c>
      <c r="AB6" s="70">
        <f t="shared" si="10"/>
        <v>0.47761194029850745</v>
      </c>
      <c r="AC6" s="67">
        <f>SUM(Garcia!C30:M30)</f>
        <v>26</v>
      </c>
      <c r="AD6" s="70">
        <f t="shared" si="11"/>
        <v>0.38805970149253732</v>
      </c>
      <c r="AE6" s="67">
        <f>SUM(Garcia!C32:M32)</f>
        <v>17</v>
      </c>
      <c r="AF6" s="70">
        <f t="shared" si="12"/>
        <v>0.2537313432835821</v>
      </c>
      <c r="AG6" s="70">
        <f t="shared" si="13"/>
        <v>0.6470588235294118</v>
      </c>
      <c r="AH6" s="67">
        <f>SUM(Garcia!C34:M34)</f>
        <v>156</v>
      </c>
      <c r="AI6" s="67">
        <f>SUM(Garcia!C35:M35)</f>
        <v>97</v>
      </c>
      <c r="AJ6" s="67">
        <f>SUM(Garcia!C51:M51)</f>
        <v>18</v>
      </c>
      <c r="AK6" s="67">
        <f>SUM(Garcia!C50:M50)</f>
        <v>77</v>
      </c>
      <c r="AL6" s="67">
        <f>SUM(Garcia!C38:M38)</f>
        <v>0</v>
      </c>
      <c r="AM6" s="67">
        <f>SUM(Garcia!C39:M39)</f>
        <v>0</v>
      </c>
      <c r="AN6" s="67">
        <f>SUM(Garcia!C54:M54)</f>
        <v>0</v>
      </c>
      <c r="AO6" s="69">
        <f>SUM(Garcia!C53:M53)</f>
        <v>0</v>
      </c>
      <c r="AP6" s="67">
        <f>SUM(Garcia!C42:M42)</f>
        <v>41</v>
      </c>
      <c r="AQ6" s="67">
        <f>SUM(Garcia!C43:M43)</f>
        <v>26</v>
      </c>
      <c r="AR6" s="67">
        <f>SUM(Garcia!C57:M57)</f>
        <v>8</v>
      </c>
      <c r="AS6" s="67">
        <f>SUM(Garcia!C56:M56)</f>
        <v>24</v>
      </c>
      <c r="AT6" s="67">
        <f>SUM(Garcia!C46:M46)</f>
        <v>91</v>
      </c>
      <c r="AU6" s="67">
        <f>SUM(Garcia!C47:M47)</f>
        <v>48</v>
      </c>
      <c r="AV6" s="67">
        <f>SUM(Garcia!C60:M60)</f>
        <v>18</v>
      </c>
      <c r="AW6" s="67">
        <f>SUM(Garcia!C59:M59)</f>
        <v>32</v>
      </c>
      <c r="AX6" s="74">
        <f t="shared" ref="AX6:AX11" si="25">(SUM(AJ6+AN6+AR6+AV6)/SUM(AK6+AO6+AS6+AW6))</f>
        <v>0.33082706766917291</v>
      </c>
      <c r="AY6" s="70">
        <f t="shared" si="22"/>
        <v>0.62179487179487181</v>
      </c>
      <c r="AZ6" s="70">
        <f t="shared" ref="AZ6:AZ10" si="26">AJ6/AK6</f>
        <v>0.23376623376623376</v>
      </c>
      <c r="BA6" s="70" t="e">
        <f t="shared" si="14"/>
        <v>#DIV/0!</v>
      </c>
      <c r="BB6" s="70" t="e">
        <f t="shared" ref="BB6:BB10" si="27">AN6/AO6</f>
        <v>#DIV/0!</v>
      </c>
      <c r="BC6" s="70">
        <f t="shared" si="23"/>
        <v>0.63414634146341464</v>
      </c>
      <c r="BD6" s="70">
        <f t="shared" ref="BD6:BD11" si="28">AR6/AS6</f>
        <v>0.33333333333333331</v>
      </c>
      <c r="BE6" s="70">
        <f t="shared" si="24"/>
        <v>0.52747252747252749</v>
      </c>
      <c r="BF6" s="70">
        <f t="shared" ref="BF6:BF11" si="29">AV6/AW6</f>
        <v>0.5625</v>
      </c>
      <c r="BG6" s="77">
        <f t="shared" si="15"/>
        <v>0.54166666666666663</v>
      </c>
      <c r="BH6" s="77">
        <f t="shared" si="16"/>
        <v>0</v>
      </c>
      <c r="BI6" s="77">
        <f t="shared" si="17"/>
        <v>0.1423611111111111</v>
      </c>
      <c r="BJ6" s="78">
        <f t="shared" si="18"/>
        <v>0.31597222222222221</v>
      </c>
      <c r="BK6" s="76">
        <f t="shared" si="19"/>
        <v>0.99999999999999989</v>
      </c>
    </row>
    <row r="7" spans="2:88" ht="19" x14ac:dyDescent="0.2">
      <c r="B7" s="100"/>
      <c r="C7" s="66" t="s">
        <v>24</v>
      </c>
      <c r="D7" s="67">
        <v>5</v>
      </c>
      <c r="E7" s="68">
        <f>SUM('Orr (P)'!C5:M5)</f>
        <v>6.6666666666666661</v>
      </c>
      <c r="F7" s="67">
        <f>SUM('Orr (P)'!C6:M6)</f>
        <v>172</v>
      </c>
      <c r="G7" s="67">
        <f>SUM('Orr (P)'!C7:M7)</f>
        <v>85</v>
      </c>
      <c r="H7" s="67">
        <f>SUM('Orr (P)'!C8:M8)</f>
        <v>84</v>
      </c>
      <c r="I7" s="70">
        <f t="shared" si="0"/>
        <v>0.48837209302325579</v>
      </c>
      <c r="J7" s="71">
        <f t="shared" si="1"/>
        <v>25.8</v>
      </c>
      <c r="K7" s="71">
        <f t="shared" si="2"/>
        <v>4.7777777777777777</v>
      </c>
      <c r="L7" s="67">
        <f>SUM('Orr (P)'!C12:M12)</f>
        <v>36</v>
      </c>
      <c r="M7" s="67">
        <f>SUM('Orr (P)'!C13:M13)</f>
        <v>7</v>
      </c>
      <c r="N7" s="67">
        <f>SUM('Orr (P)'!C14:M14)</f>
        <v>10</v>
      </c>
      <c r="O7" s="70">
        <f t="shared" si="3"/>
        <v>0.27777777777777779</v>
      </c>
      <c r="P7" s="68">
        <f t="shared" si="20"/>
        <v>13.500000000000002</v>
      </c>
      <c r="Q7" s="69">
        <f>SUM('Orr (P)'!C17:M17)</f>
        <v>1</v>
      </c>
      <c r="R7" s="72">
        <f t="shared" si="4"/>
        <v>2.5500000000000003</v>
      </c>
      <c r="S7" s="67">
        <f>SUM('Orr (P)'!C19:M20)</f>
        <v>10</v>
      </c>
      <c r="T7" s="68">
        <f t="shared" si="21"/>
        <v>13.500000000000002</v>
      </c>
      <c r="U7" s="70">
        <f t="shared" si="5"/>
        <v>0.27777777777777779</v>
      </c>
      <c r="V7" s="72">
        <f t="shared" si="6"/>
        <v>1</v>
      </c>
      <c r="W7" s="70">
        <f t="shared" si="7"/>
        <v>0</v>
      </c>
      <c r="X7" s="73">
        <f t="shared" si="8"/>
        <v>0.28000000000000003</v>
      </c>
      <c r="Y7" s="69">
        <f>SUM('Orr (P)'!C26:M26)</f>
        <v>16</v>
      </c>
      <c r="Z7" s="70">
        <f t="shared" si="9"/>
        <v>0.44444444444444442</v>
      </c>
      <c r="AA7" s="67">
        <f>SUM('Orr (P)'!C28:M28)</f>
        <v>12</v>
      </c>
      <c r="AB7" s="70">
        <f t="shared" si="10"/>
        <v>0.33333333333333331</v>
      </c>
      <c r="AC7" s="67">
        <f>SUM('Orr (P)'!C30:M30)</f>
        <v>9</v>
      </c>
      <c r="AD7" s="70">
        <f t="shared" si="11"/>
        <v>0.25</v>
      </c>
      <c r="AE7" s="67">
        <f>SUM('Orr (P)'!C32:M32)</f>
        <v>17</v>
      </c>
      <c r="AF7" s="70">
        <f t="shared" si="12"/>
        <v>0.47222222222222221</v>
      </c>
      <c r="AG7" s="70">
        <f t="shared" si="13"/>
        <v>0.58823529411764708</v>
      </c>
      <c r="AH7" s="67">
        <f>SUM('Orr (P)'!C34:M34)</f>
        <v>102</v>
      </c>
      <c r="AI7" s="67">
        <f>SUM('Orr (P)'!C35:M35)</f>
        <v>58</v>
      </c>
      <c r="AJ7" s="67">
        <f>SUM('Orr (P)'!C51:M51)</f>
        <v>11</v>
      </c>
      <c r="AK7" s="67">
        <f>SUM('Orr (P)'!C50:M50)</f>
        <v>40</v>
      </c>
      <c r="AL7" s="67">
        <f>SUM('Orr (P)'!C38:M38)</f>
        <v>18</v>
      </c>
      <c r="AM7" s="67">
        <f>SUM('Orr (P)'!C39:M39)</f>
        <v>6</v>
      </c>
      <c r="AN7" s="67">
        <f>SUM('Orr (P)'!C54:M54)</f>
        <v>1</v>
      </c>
      <c r="AO7" s="69">
        <f>SUM('Orr (P)'!C53:M53)</f>
        <v>2</v>
      </c>
      <c r="AP7" s="67">
        <f>SUM('Orr (P)'!C42:M42)</f>
        <v>11</v>
      </c>
      <c r="AQ7" s="67">
        <f>SUM('Orr (P)'!C43:M43)</f>
        <v>3</v>
      </c>
      <c r="AR7" s="67">
        <f>SUM('Orr (P)'!C57:M57)</f>
        <v>1</v>
      </c>
      <c r="AS7" s="67">
        <f>SUM('Orr (P)'!C56:M56)</f>
        <v>2</v>
      </c>
      <c r="AT7" s="67">
        <f>SUM('Orr (P)'!C46:M46)</f>
        <v>41</v>
      </c>
      <c r="AU7" s="67">
        <f>SUM('Orr (P)'!C47:M47)</f>
        <v>17</v>
      </c>
      <c r="AV7" s="67">
        <f>SUM('Orr (P)'!C60:M60)</f>
        <v>9</v>
      </c>
      <c r="AW7" s="67">
        <f>SUM('Orr (P)'!C59:M59)</f>
        <v>12</v>
      </c>
      <c r="AX7" s="251">
        <f t="shared" si="25"/>
        <v>0.39285714285714285</v>
      </c>
      <c r="AY7" s="70">
        <f t="shared" si="22"/>
        <v>0.56862745098039214</v>
      </c>
      <c r="AZ7" s="70">
        <f t="shared" si="26"/>
        <v>0.27500000000000002</v>
      </c>
      <c r="BA7" s="70">
        <f t="shared" si="14"/>
        <v>0.33333333333333331</v>
      </c>
      <c r="BB7" s="70">
        <f t="shared" si="27"/>
        <v>0.5</v>
      </c>
      <c r="BC7" s="70">
        <f t="shared" si="23"/>
        <v>0.27272727272727271</v>
      </c>
      <c r="BD7" s="70">
        <f t="shared" si="28"/>
        <v>0.5</v>
      </c>
      <c r="BE7" s="70">
        <f t="shared" si="24"/>
        <v>0.41463414634146339</v>
      </c>
      <c r="BF7" s="70">
        <f t="shared" si="29"/>
        <v>0.75</v>
      </c>
      <c r="BG7" s="70">
        <f t="shared" si="15"/>
        <v>0.59302325581395354</v>
      </c>
      <c r="BH7" s="70">
        <f t="shared" si="16"/>
        <v>0.10465116279069768</v>
      </c>
      <c r="BI7" s="70">
        <f t="shared" si="17"/>
        <v>6.3953488372093026E-2</v>
      </c>
      <c r="BJ7" s="75">
        <f t="shared" si="18"/>
        <v>0.23837209302325582</v>
      </c>
      <c r="BK7" s="76">
        <f t="shared" si="19"/>
        <v>1</v>
      </c>
    </row>
    <row r="8" spans="2:88" ht="19" x14ac:dyDescent="0.2">
      <c r="B8" s="100"/>
      <c r="C8" s="66" t="s">
        <v>21</v>
      </c>
      <c r="D8" s="67">
        <v>5</v>
      </c>
      <c r="E8" s="68">
        <f>SUM('Samples (P)'!C5:M5)</f>
        <v>15</v>
      </c>
      <c r="F8" s="67">
        <f>SUM('Samples (P)'!C6:M6)</f>
        <v>258</v>
      </c>
      <c r="G8" s="67">
        <f>SUM('Samples (P)'!C7:M7)</f>
        <v>105</v>
      </c>
      <c r="H8" s="67">
        <f>SUM('Samples (P)'!C8:M8)</f>
        <v>153</v>
      </c>
      <c r="I8" s="70">
        <f t="shared" si="0"/>
        <v>0.59302325581395354</v>
      </c>
      <c r="J8" s="71">
        <f t="shared" si="1"/>
        <v>17.2</v>
      </c>
      <c r="K8" s="71">
        <f t="shared" si="2"/>
        <v>4.0952380952380949</v>
      </c>
      <c r="L8" s="67">
        <f>SUM('Samples (P)'!C12:M12)</f>
        <v>63</v>
      </c>
      <c r="M8" s="67">
        <f>SUM('Samples (P)'!C13:M13)</f>
        <v>12</v>
      </c>
      <c r="N8" s="67">
        <f>SUM('Samples (P)'!C14:M14)</f>
        <v>8</v>
      </c>
      <c r="O8" s="70">
        <f t="shared" si="3"/>
        <v>0.12698412698412698</v>
      </c>
      <c r="P8" s="68">
        <f t="shared" si="20"/>
        <v>4.8</v>
      </c>
      <c r="Q8" s="69">
        <f>SUM('Samples (P)'!C17:M17)</f>
        <v>1</v>
      </c>
      <c r="R8" s="72">
        <f t="shared" si="4"/>
        <v>1.3333333333333333</v>
      </c>
      <c r="S8" s="67">
        <f>SUM('Samples (P)'!C19:M20)</f>
        <v>13</v>
      </c>
      <c r="T8" s="68">
        <f t="shared" si="21"/>
        <v>7.8</v>
      </c>
      <c r="U8" s="70">
        <f t="shared" si="5"/>
        <v>0.20634920634920634</v>
      </c>
      <c r="V8" s="72">
        <f t="shared" si="6"/>
        <v>1.625</v>
      </c>
      <c r="W8" s="70">
        <f t="shared" si="7"/>
        <v>7.9365079365079361E-2</v>
      </c>
      <c r="X8" s="73">
        <f t="shared" si="8"/>
        <v>0.22222222222222221</v>
      </c>
      <c r="Y8" s="69">
        <f>SUM('Samples (P)'!C26:M26)</f>
        <v>34</v>
      </c>
      <c r="Z8" s="70">
        <f t="shared" si="9"/>
        <v>0.53968253968253965</v>
      </c>
      <c r="AA8" s="67">
        <f>SUM('Samples (P)'!C28:M28)</f>
        <v>33</v>
      </c>
      <c r="AB8" s="70">
        <f t="shared" si="10"/>
        <v>0.52380952380952384</v>
      </c>
      <c r="AC8" s="67">
        <f>SUM('Samples (P)'!C30:M30)</f>
        <v>25</v>
      </c>
      <c r="AD8" s="70">
        <f t="shared" si="11"/>
        <v>0.3968253968253968</v>
      </c>
      <c r="AE8" s="67">
        <f>SUM('Samples (P)'!C32:M32)</f>
        <v>18</v>
      </c>
      <c r="AF8" s="70">
        <f t="shared" si="12"/>
        <v>0.2857142857142857</v>
      </c>
      <c r="AG8" s="70">
        <f t="shared" si="13"/>
        <v>0.44444444444444442</v>
      </c>
      <c r="AH8" s="67">
        <f>SUM('Samples (P)'!C34:M34)</f>
        <v>113</v>
      </c>
      <c r="AI8" s="67">
        <f>SUM('Samples (P)'!C35:M35)</f>
        <v>72</v>
      </c>
      <c r="AJ8" s="67">
        <f>SUM('Samples (P)'!C51:M51)</f>
        <v>10</v>
      </c>
      <c r="AK8" s="67">
        <f>SUM('Samples (P)'!C50:M50)</f>
        <v>52</v>
      </c>
      <c r="AL8" s="67">
        <f>SUM('Samples (P)'!C38:M38)</f>
        <v>95</v>
      </c>
      <c r="AM8" s="67">
        <f>SUM('Samples (P)'!C39:M39)</f>
        <v>52</v>
      </c>
      <c r="AN8" s="67">
        <f>SUM('Samples (P)'!C54:M54)</f>
        <v>17</v>
      </c>
      <c r="AO8" s="69">
        <f>SUM('Samples (P)'!C53:M53)</f>
        <v>43</v>
      </c>
      <c r="AP8" s="67">
        <f>SUM('Samples (P)'!C42:M42)</f>
        <v>16</v>
      </c>
      <c r="AQ8" s="67">
        <f>SUM('Samples (P)'!C43:M43)</f>
        <v>13</v>
      </c>
      <c r="AR8" s="67">
        <f>SUM('Samples (P)'!C57:M57)</f>
        <v>4</v>
      </c>
      <c r="AS8" s="67">
        <f>SUM('Samples (P)'!C56:M56)</f>
        <v>13</v>
      </c>
      <c r="AT8" s="67">
        <f>SUM('Samples (P)'!C46:M46)</f>
        <v>34</v>
      </c>
      <c r="AU8" s="67">
        <f>SUM('Samples (P)'!C47:M47)</f>
        <v>16</v>
      </c>
      <c r="AV8" s="67">
        <f>SUM('Samples (P)'!C60:M60)</f>
        <v>4</v>
      </c>
      <c r="AW8" s="67">
        <f>SUM('Samples (P)'!C59:M59)</f>
        <v>13</v>
      </c>
      <c r="AX8" s="251">
        <f t="shared" si="25"/>
        <v>0.28925619834710742</v>
      </c>
      <c r="AY8" s="70">
        <f t="shared" si="22"/>
        <v>0.63716814159292035</v>
      </c>
      <c r="AZ8" s="70">
        <f t="shared" si="26"/>
        <v>0.19230769230769232</v>
      </c>
      <c r="BA8" s="70">
        <f t="shared" si="14"/>
        <v>0.54736842105263162</v>
      </c>
      <c r="BB8" s="70">
        <f t="shared" si="27"/>
        <v>0.39534883720930231</v>
      </c>
      <c r="BC8" s="70">
        <f t="shared" si="23"/>
        <v>0.8125</v>
      </c>
      <c r="BD8" s="70">
        <f t="shared" si="28"/>
        <v>0.30769230769230771</v>
      </c>
      <c r="BE8" s="70">
        <f t="shared" si="24"/>
        <v>0.47058823529411764</v>
      </c>
      <c r="BF8" s="70">
        <f t="shared" si="29"/>
        <v>0.30769230769230771</v>
      </c>
      <c r="BG8" s="70">
        <f t="shared" si="15"/>
        <v>0.43798449612403101</v>
      </c>
      <c r="BH8" s="70">
        <f t="shared" si="16"/>
        <v>0.36821705426356588</v>
      </c>
      <c r="BI8" s="70">
        <f t="shared" si="17"/>
        <v>6.2015503875968991E-2</v>
      </c>
      <c r="BJ8" s="75">
        <f t="shared" si="18"/>
        <v>0.13178294573643412</v>
      </c>
      <c r="BK8" s="76">
        <f t="shared" si="19"/>
        <v>1</v>
      </c>
    </row>
    <row r="9" spans="2:88" ht="19" x14ac:dyDescent="0.2">
      <c r="B9" s="100"/>
      <c r="C9" s="66" t="s">
        <v>26</v>
      </c>
      <c r="D9" s="67">
        <v>0</v>
      </c>
      <c r="E9" s="68">
        <f>SUM('Van Ness'!C5:M5)</f>
        <v>0</v>
      </c>
      <c r="F9" s="67">
        <f>SUM(Craig!C6:M6)</f>
        <v>221</v>
      </c>
      <c r="G9" s="67">
        <f>SUM(Craig!C7:M7)</f>
        <v>126</v>
      </c>
      <c r="H9" s="67">
        <f>SUM(Craig!C8:M8)</f>
        <v>95</v>
      </c>
      <c r="I9" s="70">
        <f t="shared" si="0"/>
        <v>0.42986425339366519</v>
      </c>
      <c r="J9" s="71" t="e">
        <f t="shared" si="1"/>
        <v>#DIV/0!</v>
      </c>
      <c r="K9" s="71">
        <f t="shared" si="2"/>
        <v>4.25</v>
      </c>
      <c r="L9" s="67">
        <f>SUM(Craig!C12:M12)</f>
        <v>52</v>
      </c>
      <c r="M9" s="67">
        <f>SUM(Craig!C13:M13)</f>
        <v>8</v>
      </c>
      <c r="N9" s="67">
        <f>SUM(Craig!C14:M14)</f>
        <v>16</v>
      </c>
      <c r="O9" s="70">
        <f t="shared" si="3"/>
        <v>0.30769230769230771</v>
      </c>
      <c r="P9" s="68" t="e">
        <f t="shared" si="20"/>
        <v>#DIV/0!</v>
      </c>
      <c r="Q9" s="69">
        <f>SUM(Craig!C17:M17)</f>
        <v>2</v>
      </c>
      <c r="R9" s="72" t="e">
        <f t="shared" si="4"/>
        <v>#DIV/0!</v>
      </c>
      <c r="S9" s="67">
        <f>SUM(Craig!C19:M20)</f>
        <v>10</v>
      </c>
      <c r="T9" s="68" t="e">
        <f t="shared" si="21"/>
        <v>#DIV/0!</v>
      </c>
      <c r="U9" s="70">
        <f t="shared" si="5"/>
        <v>0.19230769230769232</v>
      </c>
      <c r="V9" s="72">
        <f t="shared" si="6"/>
        <v>0.625</v>
      </c>
      <c r="W9" s="70">
        <f t="shared" si="7"/>
        <v>-0.11538461538461539</v>
      </c>
      <c r="X9" s="73">
        <f t="shared" si="8"/>
        <v>0.23529411764705882</v>
      </c>
      <c r="Y9" s="69">
        <f>SUM(Craig!C26:M26)</f>
        <v>19</v>
      </c>
      <c r="Z9" s="70">
        <f t="shared" si="9"/>
        <v>0.36538461538461536</v>
      </c>
      <c r="AA9" s="67">
        <f>SUM(Craig!C28:M28)</f>
        <v>8</v>
      </c>
      <c r="AB9" s="70">
        <f t="shared" si="10"/>
        <v>0.15384615384615385</v>
      </c>
      <c r="AC9" s="67">
        <f>SUM(Craig!C30:M30)</f>
        <v>16</v>
      </c>
      <c r="AD9" s="70">
        <f t="shared" si="11"/>
        <v>0.30769230769230771</v>
      </c>
      <c r="AE9" s="67">
        <f>SUM(Craig!C32:M32)</f>
        <v>22</v>
      </c>
      <c r="AF9" s="70">
        <f t="shared" si="12"/>
        <v>0.42307692307692307</v>
      </c>
      <c r="AG9" s="70">
        <f t="shared" si="13"/>
        <v>0.72727272727272729</v>
      </c>
      <c r="AH9" s="67">
        <f>SUM(Craig!C34:M34)</f>
        <v>108</v>
      </c>
      <c r="AI9" s="67">
        <f>SUM(Craig!C35:M35)</f>
        <v>31</v>
      </c>
      <c r="AJ9" s="67">
        <f>SUM(Craig!C51:M51)</f>
        <v>6</v>
      </c>
      <c r="AK9" s="67">
        <f>SUM(Craig!C50:M50)</f>
        <v>38</v>
      </c>
      <c r="AL9" s="67">
        <f>SUM(Craig!C38:M38)</f>
        <v>0</v>
      </c>
      <c r="AM9" s="67">
        <f>SUM(Craig!C39:M39)</f>
        <v>0</v>
      </c>
      <c r="AN9" s="67">
        <f>SUM(Craig!C54:M54)</f>
        <v>0</v>
      </c>
      <c r="AO9" s="69">
        <f>SUM(Craig!C53:M53)</f>
        <v>0</v>
      </c>
      <c r="AP9" s="67">
        <f>SUM(Craig!C42:M42)</f>
        <v>12</v>
      </c>
      <c r="AQ9" s="67">
        <f>SUM(Craig!C43:M43)</f>
        <v>4</v>
      </c>
      <c r="AR9" s="67">
        <f>SUM(Craig!C57:M57)</f>
        <v>3</v>
      </c>
      <c r="AS9" s="67">
        <f>SUM(Craig!C56:M56)</f>
        <v>4</v>
      </c>
      <c r="AT9" s="67">
        <f>SUM(Craig!C46:M46)</f>
        <v>101</v>
      </c>
      <c r="AU9" s="67">
        <f>SUM(Craig!C47:M47)</f>
        <v>39</v>
      </c>
      <c r="AV9" s="67">
        <f>SUM(Craig!C60:M60)</f>
        <v>15</v>
      </c>
      <c r="AW9" s="67">
        <f>SUM(Craig!C59:M59)</f>
        <v>38</v>
      </c>
      <c r="AX9" s="74">
        <f t="shared" si="25"/>
        <v>0.3</v>
      </c>
      <c r="AY9" s="70">
        <f t="shared" si="22"/>
        <v>0.28703703703703703</v>
      </c>
      <c r="AZ9" s="70">
        <f t="shared" si="26"/>
        <v>0.15789473684210525</v>
      </c>
      <c r="BA9" s="70" t="e">
        <f t="shared" si="14"/>
        <v>#DIV/0!</v>
      </c>
      <c r="BB9" s="70" t="e">
        <f t="shared" si="27"/>
        <v>#DIV/0!</v>
      </c>
      <c r="BC9" s="70">
        <f t="shared" si="23"/>
        <v>0.33333333333333331</v>
      </c>
      <c r="BD9" s="70">
        <f t="shared" si="28"/>
        <v>0.75</v>
      </c>
      <c r="BE9" s="70">
        <f t="shared" si="24"/>
        <v>0.38613861386138615</v>
      </c>
      <c r="BF9" s="70">
        <f t="shared" si="29"/>
        <v>0.39473684210526316</v>
      </c>
      <c r="BG9" s="77">
        <f t="shared" si="15"/>
        <v>0.48868778280542985</v>
      </c>
      <c r="BH9" s="77">
        <f t="shared" si="16"/>
        <v>0</v>
      </c>
      <c r="BI9" s="77">
        <f t="shared" si="17"/>
        <v>5.4298642533936653E-2</v>
      </c>
      <c r="BJ9" s="78">
        <f t="shared" si="18"/>
        <v>0.45701357466063347</v>
      </c>
      <c r="BK9" s="76">
        <f t="shared" si="19"/>
        <v>1</v>
      </c>
    </row>
    <row r="10" spans="2:88" ht="19" x14ac:dyDescent="0.2">
      <c r="B10" s="100"/>
      <c r="C10" s="66" t="s">
        <v>22</v>
      </c>
      <c r="D10" s="67">
        <v>1</v>
      </c>
      <c r="E10" s="68">
        <f>SUM('Walsh (P)'!C5:M5)</f>
        <v>1</v>
      </c>
      <c r="F10" s="67">
        <f>SUM('Walsh (P)'!C6:M6)</f>
        <v>22</v>
      </c>
      <c r="G10" s="67">
        <f>SUM('Walsh (P)'!C7:M7)</f>
        <v>10</v>
      </c>
      <c r="H10" s="67">
        <f>SUM('Walsh (P)'!C8:M8)</f>
        <v>12</v>
      </c>
      <c r="I10" s="70">
        <f t="shared" si="0"/>
        <v>0.54545454545454541</v>
      </c>
      <c r="J10" s="71">
        <f t="shared" si="1"/>
        <v>22</v>
      </c>
      <c r="K10" s="71">
        <f t="shared" si="2"/>
        <v>4.4000000000000004</v>
      </c>
      <c r="L10" s="67">
        <f>SUM('Walsh (P)'!C12:M12)</f>
        <v>5</v>
      </c>
      <c r="M10" s="67">
        <f>SUM('Walsh (P)'!C13:M13)</f>
        <v>1</v>
      </c>
      <c r="N10" s="67">
        <f>SUM('Walsh (P)'!C14:M14)</f>
        <v>1</v>
      </c>
      <c r="O10" s="70">
        <f t="shared" si="3"/>
        <v>0.2</v>
      </c>
      <c r="P10" s="68">
        <f t="shared" si="20"/>
        <v>9</v>
      </c>
      <c r="Q10" s="69">
        <f>SUM('Walsh (P)'!C17:M17)</f>
        <v>0</v>
      </c>
      <c r="R10" s="72">
        <f t="shared" si="4"/>
        <v>2</v>
      </c>
      <c r="S10" s="67">
        <f>SUM('Walsh (P)'!C19:M20)</f>
        <v>2</v>
      </c>
      <c r="T10" s="68">
        <f t="shared" si="21"/>
        <v>18</v>
      </c>
      <c r="U10" s="70">
        <f t="shared" si="5"/>
        <v>0.4</v>
      </c>
      <c r="V10" s="72">
        <f t="shared" si="6"/>
        <v>2</v>
      </c>
      <c r="W10" s="70">
        <f t="shared" si="7"/>
        <v>0.2</v>
      </c>
      <c r="X10" s="73">
        <f t="shared" si="8"/>
        <v>0.25</v>
      </c>
      <c r="Y10" s="69">
        <f>SUM('Walsh (P)'!C26:M26)</f>
        <v>2</v>
      </c>
      <c r="Z10" s="70">
        <f t="shared" si="9"/>
        <v>0.4</v>
      </c>
      <c r="AA10" s="67">
        <f>SUM('Walsh (P)'!C28:M28)</f>
        <v>2</v>
      </c>
      <c r="AB10" s="70">
        <f t="shared" si="10"/>
        <v>0.4</v>
      </c>
      <c r="AC10" s="67">
        <f>SUM('Walsh (P)'!C30:M30)</f>
        <v>1</v>
      </c>
      <c r="AD10" s="70">
        <f t="shared" si="11"/>
        <v>0.2</v>
      </c>
      <c r="AE10" s="67">
        <f>SUM('Walsh (P)'!C32:M32)</f>
        <v>2</v>
      </c>
      <c r="AF10" s="70">
        <f t="shared" si="12"/>
        <v>0.4</v>
      </c>
      <c r="AG10" s="70">
        <f t="shared" si="13"/>
        <v>0.5</v>
      </c>
      <c r="AH10" s="67">
        <f>SUM('Walsh (P)'!C34:M34)</f>
        <v>12</v>
      </c>
      <c r="AI10" s="67">
        <f>SUM('Walsh (P)'!C35:M35)</f>
        <v>6</v>
      </c>
      <c r="AJ10" s="67">
        <f>SUM('Walsh (P)'!C51:M51)</f>
        <v>2</v>
      </c>
      <c r="AK10" s="67">
        <f>SUM('Walsh (P)'!C50:M50)</f>
        <v>4</v>
      </c>
      <c r="AL10" s="67">
        <f>SUM('Walsh (P)'!C38:M38)</f>
        <v>3</v>
      </c>
      <c r="AM10" s="67">
        <f>SUM('Walsh (P)'!C39:M39)</f>
        <v>3</v>
      </c>
      <c r="AN10" s="67">
        <f>SUM('Walsh (P)'!C54:M54)</f>
        <v>0</v>
      </c>
      <c r="AO10" s="69">
        <f>SUM('Walsh (P)'!C53:M53)</f>
        <v>1</v>
      </c>
      <c r="AP10" s="67">
        <f>SUM('Walsh (P)'!C42:M42)</f>
        <v>3</v>
      </c>
      <c r="AQ10" s="67">
        <f>SUM('Walsh (P)'!C43:M43)</f>
        <v>1</v>
      </c>
      <c r="AR10" s="67">
        <f>SUM('Walsh (P)'!C57:M57)</f>
        <v>0</v>
      </c>
      <c r="AS10" s="67">
        <f>SUM('Walsh (P)'!C56:M56)</f>
        <v>1</v>
      </c>
      <c r="AT10" s="67">
        <f>SUM('Walsh (P)'!C46:M46)</f>
        <v>4</v>
      </c>
      <c r="AU10" s="67">
        <f>SUM('Walsh (P)'!C47:M47)</f>
        <v>2</v>
      </c>
      <c r="AV10" s="67">
        <f>SUM('Walsh (P)'!C60:M60)</f>
        <v>1</v>
      </c>
      <c r="AW10" s="67">
        <f>SUM('Walsh (P)'!C59:M59)</f>
        <v>1</v>
      </c>
      <c r="AX10" s="74">
        <f t="shared" si="25"/>
        <v>0.42857142857142855</v>
      </c>
      <c r="AY10" s="70">
        <f t="shared" si="22"/>
        <v>0.5</v>
      </c>
      <c r="AZ10" s="70">
        <f t="shared" si="26"/>
        <v>0.5</v>
      </c>
      <c r="BA10" s="70">
        <f t="shared" si="14"/>
        <v>1</v>
      </c>
      <c r="BB10" s="70">
        <f t="shared" si="27"/>
        <v>0</v>
      </c>
      <c r="BC10" s="70">
        <f t="shared" si="23"/>
        <v>0.33333333333333331</v>
      </c>
      <c r="BD10" s="70">
        <f t="shared" si="28"/>
        <v>0</v>
      </c>
      <c r="BE10" s="70">
        <f t="shared" si="24"/>
        <v>0.5</v>
      </c>
      <c r="BF10" s="70">
        <f t="shared" si="29"/>
        <v>1</v>
      </c>
      <c r="BG10" s="77">
        <f t="shared" si="15"/>
        <v>0.54545454545454541</v>
      </c>
      <c r="BH10" s="77">
        <f t="shared" si="16"/>
        <v>0.13636363636363635</v>
      </c>
      <c r="BI10" s="77">
        <f t="shared" si="17"/>
        <v>0.13636363636363635</v>
      </c>
      <c r="BJ10" s="78">
        <f t="shared" si="18"/>
        <v>0.18181818181818182</v>
      </c>
      <c r="BK10" s="76">
        <f t="shared" si="19"/>
        <v>1</v>
      </c>
    </row>
    <row r="11" spans="2:88" s="92" customFormat="1" ht="23" thickBot="1" x14ac:dyDescent="0.25">
      <c r="B11" s="273" t="s">
        <v>164</v>
      </c>
      <c r="C11" s="274"/>
      <c r="D11" s="83">
        <f>SUM(D4:D10)</f>
        <v>31</v>
      </c>
      <c r="E11" s="84">
        <f>SUM(E4:E10)</f>
        <v>61</v>
      </c>
      <c r="F11" s="83">
        <f>SUM(F4:F10)</f>
        <v>1501</v>
      </c>
      <c r="G11" s="83">
        <f>SUM(G4:G10)</f>
        <v>712</v>
      </c>
      <c r="H11" s="83">
        <f>SUM(H4:H10)</f>
        <v>786</v>
      </c>
      <c r="I11" s="86">
        <f t="shared" si="0"/>
        <v>0.52365089940039977</v>
      </c>
      <c r="J11" s="87">
        <f t="shared" si="1"/>
        <v>24.606557377049182</v>
      </c>
      <c r="K11" s="87">
        <f t="shared" si="2"/>
        <v>4.3888888888888893</v>
      </c>
      <c r="L11" s="83">
        <f>SUM(L4:L10)</f>
        <v>342</v>
      </c>
      <c r="M11" s="83">
        <f>SUM(M4:M10)</f>
        <v>60</v>
      </c>
      <c r="N11" s="83">
        <f>SUM(N4:N10)</f>
        <v>75</v>
      </c>
      <c r="O11" s="88">
        <f t="shared" si="3"/>
        <v>0.21929824561403508</v>
      </c>
      <c r="P11" s="250">
        <f t="shared" si="20"/>
        <v>11.065573770491802</v>
      </c>
      <c r="Q11" s="85">
        <f>SUM(Q4:Q10)</f>
        <v>8</v>
      </c>
      <c r="R11" s="89">
        <f>(N11+M11)/E11</f>
        <v>2.2131147540983607</v>
      </c>
      <c r="S11" s="83">
        <f>SUM(S4:S10)</f>
        <v>81</v>
      </c>
      <c r="T11" s="250">
        <f t="shared" si="21"/>
        <v>11.950819672131148</v>
      </c>
      <c r="U11" s="88">
        <f t="shared" si="5"/>
        <v>0.23684210526315788</v>
      </c>
      <c r="V11" s="89">
        <f t="shared" si="6"/>
        <v>1.08</v>
      </c>
      <c r="W11" s="88">
        <f t="shared" si="7"/>
        <v>1.7543859649122806E-2</v>
      </c>
      <c r="X11" s="90">
        <f t="shared" si="8"/>
        <v>0.23166023166023167</v>
      </c>
      <c r="Y11" s="83">
        <f>SUM(Y4:Y10)</f>
        <v>149</v>
      </c>
      <c r="Z11" s="88">
        <f t="shared" si="9"/>
        <v>0.43567251461988304</v>
      </c>
      <c r="AA11" s="85">
        <f>SUM(AA4:AA10)</f>
        <v>118</v>
      </c>
      <c r="AB11" s="88">
        <f t="shared" si="10"/>
        <v>0.34502923976608185</v>
      </c>
      <c r="AC11" s="85">
        <f>SUM(AC4:AC10)</f>
        <v>110</v>
      </c>
      <c r="AD11" s="88">
        <f t="shared" si="11"/>
        <v>0.32163742690058478</v>
      </c>
      <c r="AE11" s="85">
        <f>SUM(AE4:AE10)</f>
        <v>127</v>
      </c>
      <c r="AF11" s="88">
        <f t="shared" si="12"/>
        <v>0.37134502923976609</v>
      </c>
      <c r="AG11" s="88">
        <f t="shared" si="13"/>
        <v>0.59055118110236215</v>
      </c>
      <c r="AH11" s="83">
        <f t="shared" ref="AH11:AW11" si="30">SUM(AH4:AH10)</f>
        <v>726</v>
      </c>
      <c r="AI11" s="83">
        <f t="shared" si="30"/>
        <v>371</v>
      </c>
      <c r="AJ11" s="83">
        <f t="shared" si="30"/>
        <v>72</v>
      </c>
      <c r="AK11" s="83">
        <f t="shared" si="30"/>
        <v>315</v>
      </c>
      <c r="AL11" s="83">
        <f t="shared" si="30"/>
        <v>219</v>
      </c>
      <c r="AM11" s="83">
        <f t="shared" si="30"/>
        <v>109</v>
      </c>
      <c r="AN11" s="85">
        <f t="shared" si="30"/>
        <v>30</v>
      </c>
      <c r="AO11" s="85">
        <f t="shared" si="30"/>
        <v>80</v>
      </c>
      <c r="AP11" s="83">
        <f t="shared" si="30"/>
        <v>109</v>
      </c>
      <c r="AQ11" s="83">
        <f t="shared" si="30"/>
        <v>58</v>
      </c>
      <c r="AR11" s="83">
        <f t="shared" si="30"/>
        <v>19</v>
      </c>
      <c r="AS11" s="83">
        <f t="shared" si="30"/>
        <v>54</v>
      </c>
      <c r="AT11" s="83">
        <f t="shared" si="30"/>
        <v>428</v>
      </c>
      <c r="AU11" s="83">
        <f t="shared" si="30"/>
        <v>187</v>
      </c>
      <c r="AV11" s="83">
        <f t="shared" si="30"/>
        <v>68</v>
      </c>
      <c r="AW11" s="83">
        <f t="shared" si="30"/>
        <v>157</v>
      </c>
      <c r="AX11" s="86">
        <f t="shared" si="25"/>
        <v>0.31188118811881188</v>
      </c>
      <c r="AY11" s="88">
        <f t="shared" ref="AY11" si="31">AI11/AH11</f>
        <v>0.51101928374655647</v>
      </c>
      <c r="AZ11" s="88">
        <f>AJ11/AI11</f>
        <v>0.19407008086253369</v>
      </c>
      <c r="BA11" s="88">
        <f t="shared" ref="BA11:BB11" si="32">AM11/AL11</f>
        <v>0.49771689497716892</v>
      </c>
      <c r="BB11" s="88">
        <f t="shared" si="32"/>
        <v>0.27522935779816515</v>
      </c>
      <c r="BC11" s="88">
        <f t="shared" ref="BC11" si="33">AQ11/AP11</f>
        <v>0.5321100917431193</v>
      </c>
      <c r="BD11" s="252">
        <f t="shared" si="28"/>
        <v>0.35185185185185186</v>
      </c>
      <c r="BE11" s="88">
        <f t="shared" ref="BE11" si="34">AU11/AT11</f>
        <v>0.43691588785046731</v>
      </c>
      <c r="BF11" s="252">
        <f t="shared" si="29"/>
        <v>0.43312101910828027</v>
      </c>
      <c r="BG11" s="86">
        <f t="shared" si="15"/>
        <v>0.48367754830113258</v>
      </c>
      <c r="BH11" s="86">
        <f t="shared" si="16"/>
        <v>0.14590273151232511</v>
      </c>
      <c r="BI11" s="86">
        <f t="shared" si="17"/>
        <v>7.2618254497002002E-2</v>
      </c>
      <c r="BJ11" s="91">
        <f t="shared" si="18"/>
        <v>0.28514323784143902</v>
      </c>
      <c r="BK11" s="76">
        <f t="shared" si="19"/>
        <v>0.98734177215189867</v>
      </c>
    </row>
    <row r="12" spans="2:88" ht="20" customHeight="1" x14ac:dyDescent="0.2">
      <c r="B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Z12" s="35"/>
      <c r="AA12" s="35"/>
      <c r="AE12" s="10"/>
      <c r="AF12" s="10"/>
    </row>
    <row r="13" spans="2:88" ht="20" customHeight="1" x14ac:dyDescent="0.3">
      <c r="B13" s="10"/>
      <c r="C13" s="93" t="s">
        <v>165</v>
      </c>
      <c r="D13" s="275">
        <v>46252</v>
      </c>
      <c r="E13" s="275"/>
      <c r="F13" s="275"/>
      <c r="G13" s="275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AB13" s="94"/>
      <c r="AC13" s="82"/>
      <c r="AD13" s="72"/>
      <c r="AH13">
        <f>29+4+36</f>
        <v>69</v>
      </c>
      <c r="AV13" t="s">
        <v>166</v>
      </c>
      <c r="AX13" s="5">
        <f>AK11/AI11</f>
        <v>0.84905660377358494</v>
      </c>
      <c r="AY13" s="95"/>
      <c r="AZ13" t="s">
        <v>167</v>
      </c>
      <c r="BA13" s="95"/>
      <c r="BB13" s="5">
        <f>AO11/AM11</f>
        <v>0.73394495412844041</v>
      </c>
      <c r="BC13" s="95"/>
      <c r="BD13" t="s">
        <v>168</v>
      </c>
      <c r="BE13" s="95"/>
      <c r="BF13" s="5">
        <f>AS11/AQ11</f>
        <v>0.93103448275862066</v>
      </c>
      <c r="BG13" s="95"/>
      <c r="BH13" t="s">
        <v>169</v>
      </c>
      <c r="BI13" s="95"/>
      <c r="BJ13" s="5">
        <f>AW11/AU11</f>
        <v>0.83957219251336901</v>
      </c>
      <c r="BK13" s="5"/>
    </row>
    <row r="14" spans="2:88" ht="20" thickBot="1" x14ac:dyDescent="0.3">
      <c r="B14" s="10"/>
      <c r="AB14" s="94"/>
      <c r="AC14" s="82"/>
      <c r="AD14" s="72"/>
      <c r="AU14" s="67"/>
      <c r="AV14" s="67"/>
    </row>
    <row r="15" spans="2:88" ht="30" thickBot="1" x14ac:dyDescent="0.25">
      <c r="B15" s="270" t="s">
        <v>173</v>
      </c>
      <c r="C15" s="271"/>
      <c r="D15" s="271"/>
      <c r="E15" s="271"/>
      <c r="F15" s="271"/>
      <c r="G15" s="271"/>
      <c r="H15" s="271"/>
      <c r="I15" s="271"/>
      <c r="J15" s="271"/>
      <c r="K15" s="271"/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  <c r="AA15" s="271"/>
      <c r="AB15" s="271"/>
      <c r="AC15" s="271"/>
      <c r="AD15" s="271"/>
      <c r="AE15" s="271"/>
      <c r="AF15" s="271"/>
      <c r="AG15" s="271"/>
      <c r="AH15" s="271"/>
      <c r="AI15" s="271"/>
      <c r="AJ15" s="271"/>
      <c r="AK15" s="271"/>
      <c r="AL15" s="271"/>
      <c r="AM15" s="271"/>
      <c r="AN15" s="271"/>
      <c r="AO15" s="271"/>
      <c r="AP15" s="271"/>
      <c r="AQ15" s="271"/>
      <c r="AR15" s="271"/>
      <c r="AS15" s="271"/>
      <c r="AT15" s="271"/>
      <c r="AU15" s="271"/>
      <c r="AV15" s="271"/>
      <c r="AW15" s="271"/>
      <c r="AX15" s="271"/>
      <c r="AY15" s="271"/>
      <c r="AZ15" s="271"/>
      <c r="BA15" s="271"/>
      <c r="BB15" s="271"/>
      <c r="BC15" s="271"/>
      <c r="BD15" s="271"/>
      <c r="BE15" s="271"/>
      <c r="BF15" s="271"/>
      <c r="BG15" s="271"/>
      <c r="BH15" s="271"/>
      <c r="BI15" s="271"/>
      <c r="BJ15" s="271"/>
      <c r="BK15" s="271"/>
      <c r="BL15" s="271"/>
      <c r="BM15" s="271"/>
      <c r="BN15" s="271"/>
      <c r="BO15" s="271"/>
      <c r="BP15" s="271"/>
      <c r="BQ15" s="271"/>
      <c r="BR15" s="271"/>
      <c r="BS15" s="271"/>
      <c r="BT15" s="271"/>
      <c r="BU15" s="271"/>
      <c r="BV15" s="271"/>
      <c r="BW15" s="272"/>
    </row>
    <row r="16" spans="2:88" ht="20" thickBot="1" x14ac:dyDescent="0.3">
      <c r="B16" s="101" t="s">
        <v>139</v>
      </c>
      <c r="C16" s="102" t="s">
        <v>140</v>
      </c>
      <c r="D16" s="98" t="s">
        <v>137</v>
      </c>
      <c r="E16" s="98" t="s">
        <v>138</v>
      </c>
      <c r="F16" s="98" t="s">
        <v>45</v>
      </c>
      <c r="G16" s="98" t="s">
        <v>48</v>
      </c>
      <c r="H16" s="98" t="s">
        <v>68</v>
      </c>
      <c r="I16" s="98" t="s">
        <v>70</v>
      </c>
      <c r="J16" s="98" t="s">
        <v>75</v>
      </c>
      <c r="K16" s="98" t="s">
        <v>41</v>
      </c>
      <c r="L16" s="98" t="s">
        <v>72</v>
      </c>
      <c r="M16" s="98" t="s">
        <v>74</v>
      </c>
      <c r="N16" s="98" t="s">
        <v>273</v>
      </c>
      <c r="O16" s="98" t="s">
        <v>268</v>
      </c>
      <c r="P16" s="98" t="s">
        <v>174</v>
      </c>
      <c r="Q16" s="98" t="s">
        <v>269</v>
      </c>
      <c r="R16" s="98" t="s">
        <v>197</v>
      </c>
      <c r="S16" s="98" t="s">
        <v>270</v>
      </c>
      <c r="T16" s="98" t="s">
        <v>175</v>
      </c>
      <c r="U16" s="98" t="s">
        <v>271</v>
      </c>
      <c r="V16" s="98" t="s">
        <v>194</v>
      </c>
      <c r="W16" s="98" t="s">
        <v>176</v>
      </c>
      <c r="X16" s="98" t="s">
        <v>177</v>
      </c>
      <c r="Y16" s="98" t="s">
        <v>178</v>
      </c>
      <c r="Z16" s="98" t="s">
        <v>179</v>
      </c>
      <c r="AA16" s="98" t="s">
        <v>180</v>
      </c>
      <c r="AB16" s="98" t="s">
        <v>181</v>
      </c>
      <c r="AC16" s="98" t="s">
        <v>195</v>
      </c>
      <c r="AD16" s="98" t="s">
        <v>184</v>
      </c>
      <c r="AE16" s="98" t="s">
        <v>185</v>
      </c>
      <c r="AF16" s="98" t="s">
        <v>186</v>
      </c>
      <c r="AG16" s="98" t="s">
        <v>187</v>
      </c>
      <c r="AH16" s="98" t="s">
        <v>182</v>
      </c>
      <c r="AI16" s="98" t="s">
        <v>183</v>
      </c>
      <c r="AJ16" s="98" t="s">
        <v>196</v>
      </c>
      <c r="AK16" s="98" t="s">
        <v>188</v>
      </c>
      <c r="AL16" s="98" t="s">
        <v>189</v>
      </c>
      <c r="AM16" s="98" t="s">
        <v>190</v>
      </c>
      <c r="AN16" s="98" t="s">
        <v>191</v>
      </c>
      <c r="AO16" s="98" t="s">
        <v>192</v>
      </c>
      <c r="AP16" s="98" t="s">
        <v>193</v>
      </c>
      <c r="AQ16" s="98"/>
      <c r="AR16" s="98"/>
      <c r="AS16" s="98"/>
      <c r="AT16" s="98"/>
      <c r="AU16" s="98"/>
      <c r="AV16" s="98"/>
      <c r="AW16" s="98"/>
      <c r="AX16" s="98"/>
      <c r="AY16" s="98"/>
      <c r="AZ16" s="103"/>
      <c r="BA16" s="98"/>
      <c r="BB16" s="103"/>
      <c r="BC16" s="98"/>
      <c r="BD16" s="103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E16" s="65"/>
      <c r="CF16" s="65"/>
      <c r="CG16" s="65"/>
      <c r="CH16" s="65"/>
      <c r="CI16" s="65"/>
      <c r="CJ16" s="65"/>
    </row>
    <row r="17" spans="2:86" ht="19" x14ac:dyDescent="0.2">
      <c r="B17" s="100"/>
      <c r="C17" s="66" t="s">
        <v>23</v>
      </c>
      <c r="D17" s="67">
        <v>24</v>
      </c>
      <c r="E17" s="69">
        <f t="shared" ref="E17:E25" si="35">D17-G17-K17</f>
        <v>18</v>
      </c>
      <c r="F17" s="69">
        <v>8</v>
      </c>
      <c r="G17" s="69">
        <v>3</v>
      </c>
      <c r="H17" s="69">
        <v>109</v>
      </c>
      <c r="I17" s="74">
        <f t="shared" ref="I17:I25" si="36">F17/D17</f>
        <v>0.33333333333333331</v>
      </c>
      <c r="J17" s="74">
        <f t="shared" ref="J17:J25" si="37">G17/D17</f>
        <v>0.125</v>
      </c>
      <c r="K17" s="67">
        <v>3</v>
      </c>
      <c r="L17" s="72">
        <f>(H17-G17)/D17</f>
        <v>4.416666666666667</v>
      </c>
      <c r="M17" s="67"/>
      <c r="N17" s="67">
        <v>59</v>
      </c>
      <c r="O17" s="68">
        <v>89.8</v>
      </c>
      <c r="P17" s="68">
        <v>89.8</v>
      </c>
      <c r="Q17" s="67"/>
      <c r="R17" s="67"/>
      <c r="S17" s="74">
        <f t="shared" ref="S17:S24" si="38">T17/U17</f>
        <v>0.44444444444444442</v>
      </c>
      <c r="T17" s="67">
        <v>20</v>
      </c>
      <c r="U17" s="67">
        <v>45</v>
      </c>
      <c r="V17" s="67"/>
      <c r="W17" s="67"/>
      <c r="X17" s="70"/>
      <c r="Y17" s="71"/>
      <c r="Z17" s="71"/>
      <c r="AA17" s="67"/>
      <c r="AB17" s="67"/>
      <c r="AC17" s="67"/>
      <c r="AD17" s="67"/>
      <c r="AE17" s="67"/>
      <c r="AF17" s="70"/>
      <c r="AG17" s="68"/>
      <c r="AH17" s="67"/>
      <c r="AI17" s="69"/>
      <c r="AJ17" s="69"/>
      <c r="AK17" s="69"/>
      <c r="AL17" s="72"/>
      <c r="AM17" s="72"/>
      <c r="AN17" s="72"/>
      <c r="AO17" s="67"/>
      <c r="AP17" s="68"/>
      <c r="AQ17" s="70"/>
      <c r="AR17" s="72"/>
      <c r="AS17" s="70"/>
      <c r="AT17" s="73"/>
      <c r="AU17" s="73"/>
      <c r="AV17" s="67"/>
      <c r="AW17" s="70"/>
      <c r="AX17" s="67"/>
      <c r="AY17" s="70"/>
      <c r="AZ17" s="67"/>
      <c r="BA17" s="70"/>
      <c r="BB17" s="67"/>
      <c r="BC17" s="70"/>
      <c r="BD17" s="70"/>
      <c r="BE17" s="67"/>
      <c r="BF17" s="67"/>
      <c r="BG17" s="67"/>
      <c r="BH17" s="67"/>
      <c r="BI17" s="67"/>
      <c r="BJ17" s="67"/>
      <c r="BK17" s="69"/>
      <c r="BL17" s="69"/>
      <c r="BM17" s="67"/>
      <c r="BN17" s="67"/>
      <c r="BO17" s="67"/>
      <c r="BP17" s="67"/>
      <c r="BQ17" s="67"/>
      <c r="BR17" s="67"/>
      <c r="BS17" s="67"/>
      <c r="BT17" s="67"/>
      <c r="BU17" s="74"/>
      <c r="BV17" s="70"/>
      <c r="BW17" s="70"/>
      <c r="BX17" s="70"/>
      <c r="BY17" s="70"/>
      <c r="BZ17" s="104"/>
    </row>
    <row r="18" spans="2:86" ht="19" x14ac:dyDescent="0.2">
      <c r="B18" s="100"/>
      <c r="C18" s="66" t="s">
        <v>19</v>
      </c>
      <c r="D18" s="67">
        <v>36</v>
      </c>
      <c r="E18" s="69">
        <f t="shared" si="35"/>
        <v>29</v>
      </c>
      <c r="F18" s="69">
        <v>13</v>
      </c>
      <c r="G18" s="69">
        <v>7</v>
      </c>
      <c r="H18" s="69">
        <v>168</v>
      </c>
      <c r="I18" s="74">
        <f t="shared" si="36"/>
        <v>0.3611111111111111</v>
      </c>
      <c r="J18" s="74">
        <f t="shared" si="37"/>
        <v>0.19444444444444445</v>
      </c>
      <c r="K18" s="67">
        <v>0</v>
      </c>
      <c r="L18" s="72">
        <f t="shared" ref="L18:L28" si="39">(H18-G18)/D18</f>
        <v>4.4722222222222223</v>
      </c>
      <c r="M18" s="67"/>
      <c r="N18" s="67"/>
      <c r="O18" s="68">
        <v>92.1</v>
      </c>
      <c r="P18" s="68">
        <v>92.9</v>
      </c>
      <c r="Q18" s="67"/>
      <c r="R18" s="67"/>
      <c r="S18" s="74">
        <f t="shared" si="38"/>
        <v>0.45</v>
      </c>
      <c r="T18" s="67">
        <v>27</v>
      </c>
      <c r="U18" s="67">
        <v>60</v>
      </c>
      <c r="V18" s="67"/>
      <c r="W18" s="67"/>
      <c r="X18" s="70"/>
      <c r="Y18" s="71"/>
      <c r="Z18" s="71"/>
      <c r="AA18" s="67"/>
      <c r="AB18" s="67"/>
      <c r="AC18" s="67"/>
      <c r="AD18" s="67"/>
      <c r="AE18" s="67"/>
      <c r="AF18" s="70"/>
      <c r="AG18" s="68"/>
      <c r="AH18" s="67"/>
      <c r="AI18" s="69"/>
      <c r="AJ18" s="69"/>
      <c r="AK18" s="69"/>
      <c r="AL18" s="72"/>
      <c r="AM18" s="72"/>
      <c r="AN18" s="72"/>
      <c r="AO18" s="67"/>
      <c r="AP18" s="68"/>
      <c r="AQ18" s="70"/>
      <c r="AR18" s="72"/>
      <c r="AS18" s="70"/>
      <c r="AT18" s="73"/>
      <c r="AU18" s="73"/>
      <c r="AV18" s="67"/>
      <c r="AW18" s="70"/>
      <c r="AX18" s="67"/>
      <c r="AY18" s="70"/>
      <c r="AZ18" s="67"/>
      <c r="BA18" s="70"/>
      <c r="BB18" s="67"/>
      <c r="BC18" s="70"/>
      <c r="BD18" s="70"/>
      <c r="BE18" s="67"/>
      <c r="BF18" s="67"/>
      <c r="BG18" s="67"/>
      <c r="BH18" s="67"/>
      <c r="BI18" s="67"/>
      <c r="BJ18" s="67"/>
      <c r="BK18" s="69"/>
      <c r="BL18" s="69"/>
      <c r="BM18" s="67"/>
      <c r="BN18" s="67"/>
      <c r="BO18" s="67"/>
      <c r="BP18" s="67"/>
      <c r="BQ18" s="67"/>
      <c r="BR18" s="67"/>
      <c r="BS18" s="67"/>
      <c r="BT18" s="67"/>
      <c r="BU18" s="74"/>
      <c r="BV18" s="70"/>
      <c r="BW18" s="70"/>
      <c r="BX18" s="70"/>
      <c r="BY18" s="70"/>
      <c r="BZ18" s="105"/>
    </row>
    <row r="19" spans="2:86" ht="19" x14ac:dyDescent="0.25">
      <c r="B19" s="100"/>
      <c r="C19" s="66" t="s">
        <v>27</v>
      </c>
      <c r="D19" s="67">
        <v>28</v>
      </c>
      <c r="E19" s="69">
        <f t="shared" si="35"/>
        <v>27</v>
      </c>
      <c r="F19" s="69">
        <v>4</v>
      </c>
      <c r="G19" s="69">
        <v>1</v>
      </c>
      <c r="H19" s="69">
        <v>93</v>
      </c>
      <c r="I19" s="74">
        <f t="shared" si="36"/>
        <v>0.14285714285714285</v>
      </c>
      <c r="J19" s="74">
        <f t="shared" si="37"/>
        <v>3.5714285714285712E-2</v>
      </c>
      <c r="K19" s="67">
        <v>0</v>
      </c>
      <c r="L19" s="72">
        <f t="shared" si="39"/>
        <v>3.2857142857142856</v>
      </c>
      <c r="M19" s="67"/>
      <c r="N19" s="67"/>
      <c r="O19" s="68"/>
      <c r="P19" s="68"/>
      <c r="Q19" s="67"/>
      <c r="R19" s="67"/>
      <c r="S19" s="74">
        <f t="shared" si="38"/>
        <v>0.2857142857142857</v>
      </c>
      <c r="T19" s="67">
        <v>14</v>
      </c>
      <c r="U19" s="67">
        <v>49</v>
      </c>
      <c r="V19" s="67"/>
      <c r="W19" s="67"/>
      <c r="X19" s="70"/>
      <c r="Y19" s="71"/>
      <c r="Z19" s="71"/>
      <c r="AA19" s="67"/>
      <c r="AB19" s="67"/>
      <c r="AC19" s="67"/>
      <c r="AD19" s="67"/>
      <c r="AE19" s="67"/>
      <c r="AF19" s="70"/>
      <c r="AG19" s="68"/>
      <c r="AH19" s="67"/>
      <c r="AI19" s="69"/>
      <c r="AJ19" s="69"/>
      <c r="AK19" s="69"/>
      <c r="AL19" s="72"/>
      <c r="AM19" s="72"/>
      <c r="AN19" s="72"/>
      <c r="AO19" s="67"/>
      <c r="AP19" s="68"/>
      <c r="AQ19" s="70"/>
      <c r="AR19" s="72"/>
      <c r="AS19" s="70"/>
      <c r="AT19" s="73"/>
      <c r="AU19" s="73"/>
      <c r="AV19" s="67"/>
      <c r="AW19" s="70"/>
      <c r="AX19" s="67"/>
      <c r="AY19" s="70"/>
      <c r="AZ19" s="67"/>
      <c r="BA19" s="70"/>
      <c r="BB19" s="67"/>
      <c r="BC19" s="70"/>
      <c r="BD19" s="70"/>
      <c r="BE19" s="67"/>
      <c r="BF19" s="67"/>
      <c r="BG19" s="67"/>
      <c r="BH19" s="67"/>
      <c r="BI19" s="67"/>
      <c r="BJ19" s="67"/>
      <c r="BK19" s="67"/>
      <c r="BL19" s="69"/>
      <c r="BM19" s="67"/>
      <c r="BN19" s="67"/>
      <c r="BO19" s="67"/>
      <c r="BP19" s="67"/>
      <c r="BQ19" s="67"/>
      <c r="BR19" s="67"/>
      <c r="BS19" s="67"/>
      <c r="BT19" s="67"/>
      <c r="BU19" s="74"/>
      <c r="BV19" s="70"/>
      <c r="BW19" s="70"/>
      <c r="BX19" s="70"/>
      <c r="BY19" s="70"/>
      <c r="BZ19" s="105"/>
      <c r="CC19" s="79"/>
      <c r="CD19" s="79"/>
      <c r="CE19" s="80"/>
      <c r="CF19" s="80"/>
      <c r="CG19" s="81"/>
      <c r="CH19" s="81"/>
    </row>
    <row r="20" spans="2:86" ht="19" x14ac:dyDescent="0.25">
      <c r="B20" s="100"/>
      <c r="C20" s="66" t="s">
        <v>29</v>
      </c>
      <c r="D20" s="67">
        <v>28</v>
      </c>
      <c r="E20" s="69">
        <f t="shared" si="35"/>
        <v>19</v>
      </c>
      <c r="F20" s="69">
        <v>8</v>
      </c>
      <c r="G20" s="69">
        <v>8</v>
      </c>
      <c r="H20" s="69">
        <v>168</v>
      </c>
      <c r="I20" s="74">
        <f t="shared" si="36"/>
        <v>0.2857142857142857</v>
      </c>
      <c r="J20" s="74">
        <f t="shared" si="37"/>
        <v>0.2857142857142857</v>
      </c>
      <c r="K20" s="67">
        <v>1</v>
      </c>
      <c r="L20" s="72">
        <f t="shared" si="39"/>
        <v>5.7142857142857144</v>
      </c>
      <c r="M20" s="67"/>
      <c r="N20" s="67"/>
      <c r="O20" s="68">
        <v>91.9</v>
      </c>
      <c r="P20" s="68">
        <v>93.7</v>
      </c>
      <c r="Q20" s="67"/>
      <c r="R20" s="67"/>
      <c r="S20" s="74">
        <f t="shared" si="38"/>
        <v>0.31343283582089554</v>
      </c>
      <c r="T20" s="67">
        <v>21</v>
      </c>
      <c r="U20" s="67">
        <v>67</v>
      </c>
      <c r="V20" s="67"/>
      <c r="W20" s="67"/>
      <c r="X20" s="70"/>
      <c r="Y20" s="71"/>
      <c r="Z20" s="71"/>
      <c r="AA20" s="67"/>
      <c r="AB20" s="67"/>
      <c r="AC20" s="67"/>
      <c r="AD20" s="67"/>
      <c r="AE20" s="67"/>
      <c r="AF20" s="70"/>
      <c r="AG20" s="68"/>
      <c r="AH20" s="67"/>
      <c r="AI20" s="69"/>
      <c r="AJ20" s="69"/>
      <c r="AK20" s="69"/>
      <c r="AL20" s="72"/>
      <c r="AM20" s="72"/>
      <c r="AN20" s="72"/>
      <c r="AO20" s="67"/>
      <c r="AP20" s="68"/>
      <c r="AQ20" s="70"/>
      <c r="AR20" s="72"/>
      <c r="AS20" s="70"/>
      <c r="AT20" s="73"/>
      <c r="AU20" s="73"/>
      <c r="AV20" s="67"/>
      <c r="AW20" s="70"/>
      <c r="AX20" s="67"/>
      <c r="AY20" s="70"/>
      <c r="AZ20" s="67"/>
      <c r="BA20" s="70"/>
      <c r="BB20" s="67"/>
      <c r="BC20" s="70"/>
      <c r="BD20" s="70"/>
      <c r="BE20" s="67"/>
      <c r="BF20" s="67"/>
      <c r="BG20" s="67"/>
      <c r="BH20" s="67"/>
      <c r="BI20" s="67"/>
      <c r="BJ20" s="67"/>
      <c r="BK20" s="67"/>
      <c r="BL20" s="69"/>
      <c r="BM20" s="67"/>
      <c r="BN20" s="67"/>
      <c r="BO20" s="67"/>
      <c r="BP20" s="67"/>
      <c r="BQ20" s="67"/>
      <c r="BR20" s="67"/>
      <c r="BS20" s="67"/>
      <c r="BT20" s="67"/>
      <c r="BU20" s="74"/>
      <c r="BV20" s="70"/>
      <c r="BW20" s="70"/>
      <c r="BX20" s="70"/>
      <c r="BY20" s="70"/>
      <c r="BZ20" s="105"/>
      <c r="CC20" s="79"/>
      <c r="CD20" s="79"/>
      <c r="CE20" s="80"/>
      <c r="CF20" s="80"/>
      <c r="CG20" s="81"/>
      <c r="CH20" s="81"/>
    </row>
    <row r="21" spans="2:86" ht="19" x14ac:dyDescent="0.2">
      <c r="B21" s="100"/>
      <c r="C21" s="66" t="s">
        <v>24</v>
      </c>
      <c r="D21" s="67">
        <v>29</v>
      </c>
      <c r="E21" s="69">
        <f t="shared" si="35"/>
        <v>26</v>
      </c>
      <c r="F21" s="69">
        <v>4</v>
      </c>
      <c r="G21" s="69">
        <v>3</v>
      </c>
      <c r="H21" s="69">
        <v>104</v>
      </c>
      <c r="I21" s="74">
        <f t="shared" si="36"/>
        <v>0.13793103448275862</v>
      </c>
      <c r="J21" s="74">
        <f t="shared" si="37"/>
        <v>0.10344827586206896</v>
      </c>
      <c r="K21" s="67">
        <v>0</v>
      </c>
      <c r="L21" s="72">
        <f t="shared" si="39"/>
        <v>3.4827586206896552</v>
      </c>
      <c r="M21" s="67"/>
      <c r="N21" s="67"/>
      <c r="O21" s="68">
        <v>91.8</v>
      </c>
      <c r="P21" s="68">
        <v>92.3</v>
      </c>
      <c r="Q21" s="67"/>
      <c r="R21" s="67"/>
      <c r="S21" s="74">
        <f t="shared" si="38"/>
        <v>0.24561403508771928</v>
      </c>
      <c r="T21" s="67">
        <v>14</v>
      </c>
      <c r="U21" s="67">
        <v>57</v>
      </c>
      <c r="V21" s="67"/>
      <c r="W21" s="67"/>
      <c r="X21" s="70"/>
      <c r="Y21" s="71"/>
      <c r="Z21" s="71"/>
      <c r="AA21" s="67"/>
      <c r="AB21" s="67"/>
      <c r="AC21" s="67"/>
      <c r="AD21" s="67"/>
      <c r="AE21" s="67"/>
      <c r="AF21" s="70"/>
      <c r="AG21" s="68"/>
      <c r="AH21" s="67"/>
      <c r="AI21" s="69"/>
      <c r="AJ21" s="69"/>
      <c r="AK21" s="69"/>
      <c r="AL21" s="72"/>
      <c r="AM21" s="72"/>
      <c r="AN21" s="72"/>
      <c r="AO21" s="67"/>
      <c r="AP21" s="68"/>
      <c r="AQ21" s="70"/>
      <c r="AR21" s="72"/>
      <c r="AS21" s="70"/>
      <c r="AT21" s="73"/>
      <c r="AU21" s="73"/>
      <c r="AV21" s="67"/>
      <c r="AW21" s="70"/>
      <c r="AX21" s="67"/>
      <c r="AY21" s="70"/>
      <c r="AZ21" s="67"/>
      <c r="BA21" s="70"/>
      <c r="BB21" s="67"/>
      <c r="BC21" s="70"/>
      <c r="BD21" s="70"/>
      <c r="BE21" s="67"/>
      <c r="BF21" s="67"/>
      <c r="BG21" s="67"/>
      <c r="BH21" s="67"/>
      <c r="BI21" s="67"/>
      <c r="BJ21" s="67"/>
      <c r="BK21" s="67"/>
      <c r="BL21" s="69"/>
      <c r="BM21" s="67"/>
      <c r="BN21" s="67"/>
      <c r="BO21" s="67"/>
      <c r="BP21" s="67"/>
      <c r="BQ21" s="67"/>
      <c r="BR21" s="67"/>
      <c r="BS21" s="67"/>
      <c r="BT21" s="67"/>
      <c r="BU21" s="74"/>
      <c r="BV21" s="70"/>
      <c r="BW21" s="70"/>
      <c r="BX21" s="70"/>
      <c r="BY21" s="70"/>
      <c r="BZ21" s="105"/>
    </row>
    <row r="22" spans="2:86" ht="19" x14ac:dyDescent="0.25">
      <c r="B22" s="100"/>
      <c r="C22" s="66" t="s">
        <v>21</v>
      </c>
      <c r="D22" s="67">
        <v>29</v>
      </c>
      <c r="E22" s="69">
        <f t="shared" si="35"/>
        <v>21</v>
      </c>
      <c r="F22" s="69">
        <v>2</v>
      </c>
      <c r="G22" s="69">
        <v>8</v>
      </c>
      <c r="H22" s="69">
        <v>143</v>
      </c>
      <c r="I22" s="74">
        <f t="shared" si="36"/>
        <v>6.8965517241379309E-2</v>
      </c>
      <c r="J22" s="74">
        <f t="shared" si="37"/>
        <v>0.27586206896551724</v>
      </c>
      <c r="K22" s="67">
        <v>0</v>
      </c>
      <c r="L22" s="72">
        <f t="shared" si="39"/>
        <v>4.6551724137931032</v>
      </c>
      <c r="M22" s="67"/>
      <c r="N22" s="67"/>
      <c r="O22" s="68"/>
      <c r="P22" s="68"/>
      <c r="Q22" s="67"/>
      <c r="R22" s="67"/>
      <c r="S22" s="74">
        <f t="shared" si="38"/>
        <v>0.22448979591836735</v>
      </c>
      <c r="T22" s="67">
        <v>11</v>
      </c>
      <c r="U22" s="67">
        <v>49</v>
      </c>
      <c r="V22" s="67"/>
      <c r="W22" s="67"/>
      <c r="X22" s="70"/>
      <c r="Y22" s="71"/>
      <c r="Z22" s="71"/>
      <c r="AA22" s="67"/>
      <c r="AB22" s="67"/>
      <c r="AC22" s="67"/>
      <c r="AD22" s="67"/>
      <c r="AE22" s="67"/>
      <c r="AF22" s="70"/>
      <c r="AG22" s="68"/>
      <c r="AH22" s="67"/>
      <c r="AI22" s="69"/>
      <c r="AJ22" s="69"/>
      <c r="AK22" s="69"/>
      <c r="AL22" s="72"/>
      <c r="AM22" s="72"/>
      <c r="AN22" s="72"/>
      <c r="AO22" s="67"/>
      <c r="AP22" s="68"/>
      <c r="AQ22" s="70"/>
      <c r="AR22" s="72"/>
      <c r="AS22" s="70"/>
      <c r="AT22" s="73"/>
      <c r="AU22" s="73"/>
      <c r="AV22" s="67"/>
      <c r="AW22" s="70"/>
      <c r="AX22" s="67"/>
      <c r="AY22" s="70"/>
      <c r="AZ22" s="67"/>
      <c r="BA22" s="70"/>
      <c r="BB22" s="67"/>
      <c r="BC22" s="70"/>
      <c r="BD22" s="70"/>
      <c r="BE22" s="67"/>
      <c r="BF22" s="67"/>
      <c r="BG22" s="67"/>
      <c r="BH22" s="67"/>
      <c r="BI22" s="67"/>
      <c r="BJ22" s="67"/>
      <c r="BK22" s="67"/>
      <c r="BL22" s="69"/>
      <c r="BM22" s="67"/>
      <c r="BN22" s="67"/>
      <c r="BO22" s="67"/>
      <c r="BP22" s="67"/>
      <c r="BQ22" s="67"/>
      <c r="BR22" s="67"/>
      <c r="BS22" s="67"/>
      <c r="BT22" s="67"/>
      <c r="BU22" s="74"/>
      <c r="BV22" s="70"/>
      <c r="BW22" s="70"/>
      <c r="BX22" s="70"/>
      <c r="BY22" s="70"/>
      <c r="BZ22" s="105"/>
      <c r="CC22" s="79"/>
      <c r="CD22" s="79"/>
      <c r="CE22" s="80"/>
      <c r="CF22" s="80"/>
      <c r="CG22" s="81"/>
      <c r="CH22" s="81"/>
    </row>
    <row r="23" spans="2:86" ht="19" x14ac:dyDescent="0.25">
      <c r="B23" s="100"/>
      <c r="C23" s="66" t="s">
        <v>20</v>
      </c>
      <c r="D23" s="67">
        <v>42</v>
      </c>
      <c r="E23" s="69">
        <f t="shared" si="35"/>
        <v>33</v>
      </c>
      <c r="F23" s="69">
        <v>14</v>
      </c>
      <c r="G23" s="69">
        <v>9</v>
      </c>
      <c r="H23" s="69">
        <v>205</v>
      </c>
      <c r="I23" s="74">
        <f t="shared" si="36"/>
        <v>0.33333333333333331</v>
      </c>
      <c r="J23" s="74">
        <f t="shared" si="37"/>
        <v>0.21428571428571427</v>
      </c>
      <c r="K23" s="67">
        <v>0</v>
      </c>
      <c r="L23" s="72">
        <f t="shared" si="39"/>
        <v>4.666666666666667</v>
      </c>
      <c r="M23" s="67"/>
      <c r="N23" s="67"/>
      <c r="O23" s="68">
        <v>101</v>
      </c>
      <c r="P23" s="68">
        <v>101.8</v>
      </c>
      <c r="Q23" s="67"/>
      <c r="R23" s="67"/>
      <c r="S23" s="74">
        <f t="shared" si="38"/>
        <v>0.37647058823529411</v>
      </c>
      <c r="T23" s="67">
        <v>32</v>
      </c>
      <c r="U23" s="67">
        <v>85</v>
      </c>
      <c r="V23" s="67"/>
      <c r="W23" s="67"/>
      <c r="X23" s="70"/>
      <c r="Y23" s="71"/>
      <c r="Z23" s="71"/>
      <c r="AA23" s="67"/>
      <c r="AB23" s="67"/>
      <c r="AC23" s="67"/>
      <c r="AD23" s="67"/>
      <c r="AE23" s="67"/>
      <c r="AF23" s="70"/>
      <c r="AG23" s="68"/>
      <c r="AH23" s="67"/>
      <c r="AI23" s="69"/>
      <c r="AJ23" s="69"/>
      <c r="AK23" s="69"/>
      <c r="AL23" s="72"/>
      <c r="AM23" s="72"/>
      <c r="AN23" s="72"/>
      <c r="AO23" s="67"/>
      <c r="AP23" s="68"/>
      <c r="AQ23" s="70"/>
      <c r="AR23" s="72"/>
      <c r="AS23" s="70"/>
      <c r="AT23" s="73"/>
      <c r="AU23" s="73"/>
      <c r="AV23" s="67"/>
      <c r="AW23" s="70"/>
      <c r="AX23" s="67"/>
      <c r="AY23" s="70"/>
      <c r="AZ23" s="67"/>
      <c r="BA23" s="70"/>
      <c r="BB23" s="67"/>
      <c r="BC23" s="70"/>
      <c r="BD23" s="70"/>
      <c r="BE23" s="67"/>
      <c r="BF23" s="67"/>
      <c r="BG23" s="67"/>
      <c r="BH23" s="67"/>
      <c r="BI23" s="67"/>
      <c r="BJ23" s="67"/>
      <c r="BK23" s="67"/>
      <c r="BL23" s="69"/>
      <c r="BM23" s="67"/>
      <c r="BN23" s="67"/>
      <c r="BO23" s="67"/>
      <c r="BP23" s="67"/>
      <c r="BQ23" s="67"/>
      <c r="BR23" s="67"/>
      <c r="BS23" s="67"/>
      <c r="BT23" s="67"/>
      <c r="BU23" s="74"/>
      <c r="BV23" s="70"/>
      <c r="BW23" s="70"/>
      <c r="BX23" s="70"/>
      <c r="BY23" s="70"/>
      <c r="BZ23" s="105"/>
      <c r="CC23" s="79"/>
      <c r="CD23" s="79"/>
      <c r="CE23" s="80"/>
      <c r="CF23" s="80"/>
      <c r="CG23" s="81"/>
      <c r="CH23" s="81"/>
    </row>
    <row r="24" spans="2:86" ht="19" x14ac:dyDescent="0.2">
      <c r="B24" s="100"/>
      <c r="C24" s="66" t="s">
        <v>22</v>
      </c>
      <c r="D24" s="67">
        <v>36</v>
      </c>
      <c r="E24" s="69">
        <f t="shared" si="35"/>
        <v>25</v>
      </c>
      <c r="F24" s="69">
        <v>4</v>
      </c>
      <c r="G24" s="69">
        <v>10</v>
      </c>
      <c r="H24" s="69">
        <v>177</v>
      </c>
      <c r="I24" s="74">
        <f t="shared" si="36"/>
        <v>0.1111111111111111</v>
      </c>
      <c r="J24" s="74">
        <f t="shared" si="37"/>
        <v>0.27777777777777779</v>
      </c>
      <c r="K24" s="67">
        <v>1</v>
      </c>
      <c r="L24" s="72">
        <f t="shared" si="39"/>
        <v>4.6388888888888893</v>
      </c>
      <c r="M24" s="67"/>
      <c r="N24" s="67"/>
      <c r="O24" s="68">
        <v>95.7</v>
      </c>
      <c r="P24" s="68">
        <v>96.6</v>
      </c>
      <c r="Q24" s="67"/>
      <c r="R24" s="67"/>
      <c r="S24" s="74">
        <f t="shared" si="38"/>
        <v>0.21917808219178081</v>
      </c>
      <c r="T24" s="67">
        <v>16</v>
      </c>
      <c r="U24" s="67">
        <v>73</v>
      </c>
      <c r="V24" s="67"/>
      <c r="W24" s="67"/>
      <c r="X24" s="70"/>
      <c r="Y24" s="71"/>
      <c r="Z24" s="71"/>
      <c r="AA24" s="67"/>
      <c r="AB24" s="67"/>
      <c r="AC24" s="67"/>
      <c r="AD24" s="67"/>
      <c r="AE24" s="67"/>
      <c r="AF24" s="70"/>
      <c r="AG24" s="68"/>
      <c r="AH24" s="67"/>
      <c r="AI24" s="69"/>
      <c r="AJ24" s="69"/>
      <c r="AK24" s="69"/>
      <c r="AL24" s="72"/>
      <c r="AM24" s="72"/>
      <c r="AN24" s="72"/>
      <c r="AO24" s="67"/>
      <c r="AP24" s="68"/>
      <c r="AQ24" s="70"/>
      <c r="AR24" s="72"/>
      <c r="AS24" s="70"/>
      <c r="AT24" s="73"/>
      <c r="AU24" s="73"/>
      <c r="AV24" s="67"/>
      <c r="AW24" s="70"/>
      <c r="AX24" s="67"/>
      <c r="AY24" s="70"/>
      <c r="AZ24" s="67"/>
      <c r="BA24" s="70"/>
      <c r="BB24" s="67"/>
      <c r="BC24" s="70"/>
      <c r="BD24" s="70"/>
      <c r="BE24" s="67"/>
      <c r="BF24" s="67"/>
      <c r="BG24" s="67"/>
      <c r="BH24" s="67"/>
      <c r="BI24" s="67"/>
      <c r="BJ24" s="67"/>
      <c r="BK24" s="67"/>
      <c r="BL24" s="69"/>
      <c r="BM24" s="67"/>
      <c r="BN24" s="67"/>
      <c r="BO24" s="67"/>
      <c r="BP24" s="67"/>
      <c r="BQ24" s="67"/>
      <c r="BR24" s="67"/>
      <c r="BS24" s="67"/>
      <c r="BT24" s="67"/>
      <c r="BU24" s="74"/>
      <c r="BV24" s="70"/>
      <c r="BW24" s="70"/>
      <c r="BX24" s="70"/>
      <c r="BY24" s="70"/>
      <c r="BZ24" s="105"/>
    </row>
    <row r="25" spans="2:86" ht="19" x14ac:dyDescent="0.2">
      <c r="B25" s="100"/>
      <c r="C25" s="66" t="s">
        <v>17</v>
      </c>
      <c r="D25" s="67">
        <v>39</v>
      </c>
      <c r="E25" s="69">
        <f t="shared" si="35"/>
        <v>33</v>
      </c>
      <c r="F25" s="69">
        <v>14</v>
      </c>
      <c r="G25" s="69">
        <v>4</v>
      </c>
      <c r="H25" s="69">
        <v>175</v>
      </c>
      <c r="I25" s="74">
        <f t="shared" si="36"/>
        <v>0.35897435897435898</v>
      </c>
      <c r="J25" s="74">
        <f t="shared" si="37"/>
        <v>0.10256410256410256</v>
      </c>
      <c r="K25" s="67">
        <v>2</v>
      </c>
      <c r="L25" s="72">
        <f t="shared" si="39"/>
        <v>4.384615384615385</v>
      </c>
      <c r="M25" s="67"/>
      <c r="N25" s="67"/>
      <c r="O25" s="68">
        <v>98.2</v>
      </c>
      <c r="P25" s="68">
        <v>99.5</v>
      </c>
      <c r="Q25" s="67"/>
      <c r="R25" s="67"/>
      <c r="S25" s="74">
        <f>T25/U25</f>
        <v>0.27536231884057971</v>
      </c>
      <c r="T25" s="67">
        <v>19</v>
      </c>
      <c r="U25" s="67">
        <v>69</v>
      </c>
      <c r="V25" s="67"/>
      <c r="W25" s="67"/>
      <c r="X25" s="70"/>
      <c r="Y25" s="71"/>
      <c r="Z25" s="71"/>
      <c r="AA25" s="67"/>
      <c r="AB25" s="67"/>
      <c r="AC25" s="67"/>
      <c r="AD25" s="67"/>
      <c r="AE25" s="67"/>
      <c r="AF25" s="70"/>
      <c r="AG25" s="68"/>
      <c r="AH25" s="67"/>
      <c r="AI25" s="69"/>
      <c r="AJ25" s="69"/>
      <c r="AK25" s="69"/>
      <c r="AL25" s="72"/>
      <c r="AM25" s="72"/>
      <c r="AN25" s="72"/>
      <c r="AO25" s="67"/>
      <c r="AP25" s="68"/>
      <c r="AQ25" s="70"/>
      <c r="AR25" s="72"/>
      <c r="AS25" s="70"/>
      <c r="AT25" s="73"/>
      <c r="AU25" s="73"/>
      <c r="AV25" s="67"/>
      <c r="AW25" s="70"/>
      <c r="AX25" s="67"/>
      <c r="AY25" s="70"/>
      <c r="AZ25" s="67"/>
      <c r="BA25" s="70"/>
      <c r="BB25" s="67"/>
      <c r="BC25" s="70"/>
      <c r="BD25" s="70"/>
      <c r="BE25" s="67"/>
      <c r="BF25" s="67"/>
      <c r="BG25" s="67"/>
      <c r="BH25" s="67"/>
      <c r="BI25" s="67"/>
      <c r="BJ25" s="67"/>
      <c r="BK25" s="67"/>
      <c r="BL25" s="69"/>
      <c r="BM25" s="67"/>
      <c r="BN25" s="67"/>
      <c r="BO25" s="67"/>
      <c r="BP25" s="67"/>
      <c r="BQ25" s="67"/>
      <c r="BR25" s="67"/>
      <c r="BS25" s="67"/>
      <c r="BT25" s="67"/>
      <c r="BU25" s="74"/>
      <c r="BV25" s="70"/>
      <c r="BW25" s="70"/>
      <c r="BX25" s="70"/>
      <c r="BY25" s="70"/>
      <c r="BZ25" s="105"/>
    </row>
    <row r="26" spans="2:86" ht="19" x14ac:dyDescent="0.2">
      <c r="B26" s="100"/>
      <c r="C26" s="66"/>
      <c r="D26" s="67"/>
      <c r="E26" s="67"/>
      <c r="F26" s="69"/>
      <c r="G26" s="69"/>
      <c r="H26" s="69"/>
      <c r="I26" s="74" t="e">
        <f t="shared" ref="I26:I27" si="40">F26/D26</f>
        <v>#DIV/0!</v>
      </c>
      <c r="J26" s="74" t="e">
        <f t="shared" ref="J26:J27" si="41">G26/D26</f>
        <v>#DIV/0!</v>
      </c>
      <c r="K26" s="67"/>
      <c r="L26" s="72" t="e">
        <f t="shared" si="39"/>
        <v>#DIV/0!</v>
      </c>
      <c r="M26" s="67"/>
      <c r="N26" s="67"/>
      <c r="O26" s="68"/>
      <c r="P26" s="68"/>
      <c r="Q26" s="67"/>
      <c r="R26" s="67"/>
      <c r="S26" s="74" t="e">
        <f t="shared" ref="S26:S28" si="42">T26/U26</f>
        <v>#DIV/0!</v>
      </c>
      <c r="T26" s="67"/>
      <c r="U26" s="67"/>
      <c r="V26" s="67"/>
      <c r="W26" s="67"/>
      <c r="X26" s="70"/>
      <c r="Y26" s="71"/>
      <c r="Z26" s="71"/>
      <c r="AA26" s="67"/>
      <c r="AB26" s="67"/>
      <c r="AC26" s="67"/>
      <c r="AD26" s="67"/>
      <c r="AE26" s="67"/>
      <c r="AF26" s="70"/>
      <c r="AG26" s="68"/>
      <c r="AH26" s="67"/>
      <c r="AI26" s="69"/>
      <c r="AJ26" s="69"/>
      <c r="AK26" s="69"/>
      <c r="AL26" s="72"/>
      <c r="AM26" s="72"/>
      <c r="AN26" s="72"/>
      <c r="AO26" s="67"/>
      <c r="AP26" s="68"/>
      <c r="AQ26" s="70"/>
      <c r="AR26" s="72"/>
      <c r="AS26" s="70"/>
      <c r="AT26" s="73"/>
      <c r="AU26" s="73"/>
      <c r="AV26" s="67"/>
      <c r="AW26" s="70"/>
      <c r="AX26" s="67"/>
      <c r="AY26" s="70"/>
      <c r="AZ26" s="67"/>
      <c r="BA26" s="70"/>
      <c r="BB26" s="67"/>
      <c r="BC26" s="70"/>
      <c r="BD26" s="70"/>
      <c r="BE26" s="67"/>
      <c r="BF26" s="67"/>
      <c r="BG26" s="67"/>
      <c r="BH26" s="67"/>
      <c r="BI26" s="67"/>
      <c r="BJ26" s="67"/>
      <c r="BK26" s="67"/>
      <c r="BL26" s="69"/>
      <c r="BM26" s="67"/>
      <c r="BN26" s="67"/>
      <c r="BO26" s="67"/>
      <c r="BP26" s="67"/>
      <c r="BQ26" s="67"/>
      <c r="BR26" s="67"/>
      <c r="BS26" s="67"/>
      <c r="BT26" s="67"/>
      <c r="BU26" s="74"/>
      <c r="BV26" s="70"/>
      <c r="BW26" s="70"/>
      <c r="BX26" s="70"/>
      <c r="BY26" s="70"/>
      <c r="BZ26" s="105"/>
    </row>
    <row r="27" spans="2:86" ht="19" x14ac:dyDescent="0.25">
      <c r="B27" s="100"/>
      <c r="C27" s="82"/>
      <c r="D27" s="67"/>
      <c r="E27" s="67"/>
      <c r="F27" s="69"/>
      <c r="G27" s="69"/>
      <c r="H27" s="69"/>
      <c r="I27" s="74" t="e">
        <f t="shared" si="40"/>
        <v>#DIV/0!</v>
      </c>
      <c r="J27" s="74" t="e">
        <f t="shared" si="41"/>
        <v>#DIV/0!</v>
      </c>
      <c r="K27" s="67"/>
      <c r="L27" s="72" t="e">
        <f t="shared" si="39"/>
        <v>#DIV/0!</v>
      </c>
      <c r="M27" s="67"/>
      <c r="N27" s="67"/>
      <c r="O27" s="68"/>
      <c r="P27" s="68"/>
      <c r="Q27" s="67"/>
      <c r="R27" s="67"/>
      <c r="S27" s="74" t="e">
        <f t="shared" si="42"/>
        <v>#DIV/0!</v>
      </c>
      <c r="T27" s="67"/>
      <c r="U27" s="67"/>
      <c r="V27" s="67"/>
      <c r="W27" s="67"/>
      <c r="X27" s="70"/>
      <c r="Y27" s="71"/>
      <c r="Z27" s="71"/>
      <c r="AA27" s="67"/>
      <c r="AB27" s="67"/>
      <c r="AC27" s="67"/>
      <c r="AD27" s="67"/>
      <c r="AE27" s="67"/>
      <c r="AF27" s="70"/>
      <c r="AG27" s="68"/>
      <c r="AH27" s="67"/>
      <c r="AI27" s="69"/>
      <c r="AJ27" s="69"/>
      <c r="AK27" s="69"/>
      <c r="AL27" s="72"/>
      <c r="AM27" s="72"/>
      <c r="AN27" s="72"/>
      <c r="AO27" s="67"/>
      <c r="AP27" s="68"/>
      <c r="AQ27" s="70"/>
      <c r="AR27" s="72"/>
      <c r="AS27" s="70"/>
      <c r="AT27" s="73"/>
      <c r="AU27" s="73"/>
      <c r="AV27" s="67"/>
      <c r="AW27" s="70"/>
      <c r="AX27" s="67"/>
      <c r="AY27" s="70"/>
      <c r="AZ27" s="67"/>
      <c r="BA27" s="70"/>
      <c r="BB27" s="67"/>
      <c r="BC27" s="70"/>
      <c r="BD27" s="70"/>
      <c r="BE27" s="67"/>
      <c r="BF27" s="67"/>
      <c r="BG27" s="67"/>
      <c r="BH27" s="67"/>
      <c r="BI27" s="67"/>
      <c r="BJ27" s="67"/>
      <c r="BK27" s="67"/>
      <c r="BL27" s="69"/>
      <c r="BM27" s="67"/>
      <c r="BN27" s="67"/>
      <c r="BO27" s="67"/>
      <c r="BP27" s="67"/>
      <c r="BQ27" s="67"/>
      <c r="BR27" s="67"/>
      <c r="BS27" s="67"/>
      <c r="BT27" s="67"/>
      <c r="BU27" s="74"/>
      <c r="BV27" s="70"/>
      <c r="BW27" s="70"/>
      <c r="BX27" s="70"/>
      <c r="BY27" s="70"/>
      <c r="BZ27" s="105"/>
    </row>
    <row r="28" spans="2:86" s="92" customFormat="1" ht="23" thickBot="1" x14ac:dyDescent="0.25">
      <c r="B28" s="273" t="s">
        <v>164</v>
      </c>
      <c r="C28" s="274"/>
      <c r="D28" s="83">
        <f>SUM(D17:D27)</f>
        <v>291</v>
      </c>
      <c r="E28" s="83">
        <f t="shared" ref="E28:G28" si="43">SUM(E17:E27)</f>
        <v>231</v>
      </c>
      <c r="F28" s="83">
        <f t="shared" si="43"/>
        <v>71</v>
      </c>
      <c r="G28" s="83">
        <f t="shared" si="43"/>
        <v>53</v>
      </c>
      <c r="H28" s="85">
        <f>SUM(H17:H27)</f>
        <v>1342</v>
      </c>
      <c r="I28" s="86">
        <f>F28/D28</f>
        <v>0.24398625429553264</v>
      </c>
      <c r="J28" s="86">
        <f>G28/D28</f>
        <v>0.18213058419243985</v>
      </c>
      <c r="K28" s="83">
        <f>SUM(K17:K27)</f>
        <v>7</v>
      </c>
      <c r="L28" s="254">
        <f t="shared" si="39"/>
        <v>4.4295532646048112</v>
      </c>
      <c r="M28" s="83"/>
      <c r="N28" s="83"/>
      <c r="O28" s="84">
        <f>AVERAGE(O17:O27)</f>
        <v>94.357142857142861</v>
      </c>
      <c r="P28" s="84">
        <f>AVERAGE(P17:P27)</f>
        <v>95.228571428571428</v>
      </c>
      <c r="Q28" s="83"/>
      <c r="R28" s="83"/>
      <c r="S28" s="255">
        <f t="shared" si="42"/>
        <v>0.3140794223826715</v>
      </c>
      <c r="T28" s="83">
        <f>SUM(T17:T27)</f>
        <v>174</v>
      </c>
      <c r="U28" s="83">
        <f>SUM(U17:U27)</f>
        <v>554</v>
      </c>
      <c r="V28" s="83"/>
      <c r="W28" s="83"/>
      <c r="X28" s="86"/>
      <c r="Y28" s="87"/>
      <c r="Z28" s="87"/>
      <c r="AA28" s="83"/>
      <c r="AB28" s="83"/>
      <c r="AC28" s="83"/>
      <c r="AD28" s="83"/>
      <c r="AE28" s="83"/>
      <c r="AF28" s="88"/>
      <c r="AG28" s="84"/>
      <c r="AH28" s="83"/>
      <c r="AI28" s="85"/>
      <c r="AJ28" s="85"/>
      <c r="AK28" s="85"/>
      <c r="AL28" s="89"/>
      <c r="AM28" s="89"/>
      <c r="AN28" s="89"/>
      <c r="AO28" s="83"/>
      <c r="AP28" s="84"/>
      <c r="AQ28" s="88"/>
      <c r="AR28" s="89"/>
      <c r="AS28" s="88"/>
      <c r="AT28" s="90"/>
      <c r="AU28" s="90"/>
      <c r="AV28" s="83"/>
      <c r="AW28" s="88"/>
      <c r="AX28" s="85"/>
      <c r="AY28" s="88"/>
      <c r="AZ28" s="85"/>
      <c r="BA28" s="88"/>
      <c r="BB28" s="85"/>
      <c r="BC28" s="88"/>
      <c r="BD28" s="88"/>
      <c r="BE28" s="83"/>
      <c r="BF28" s="83"/>
      <c r="BG28" s="83"/>
      <c r="BH28" s="83"/>
      <c r="BI28" s="83"/>
      <c r="BJ28" s="83"/>
      <c r="BK28" s="85"/>
      <c r="BL28" s="85"/>
      <c r="BM28" s="83"/>
      <c r="BN28" s="83"/>
      <c r="BO28" s="83"/>
      <c r="BP28" s="83"/>
      <c r="BQ28" s="83"/>
      <c r="BR28" s="83"/>
      <c r="BS28" s="83"/>
      <c r="BT28" s="83"/>
      <c r="BU28" s="86"/>
      <c r="BV28" s="88"/>
      <c r="BW28" s="88"/>
      <c r="BX28" s="88"/>
      <c r="BY28" s="88"/>
      <c r="BZ28" s="106"/>
    </row>
    <row r="29" spans="2:86" x14ac:dyDescent="0.2">
      <c r="O29" s="92"/>
      <c r="P29" s="92"/>
      <c r="Q29" s="92"/>
      <c r="R29" s="92"/>
      <c r="S29" s="92"/>
      <c r="T29" s="92"/>
      <c r="U29" s="92"/>
      <c r="V29" s="92"/>
    </row>
    <row r="30" spans="2:86" x14ac:dyDescent="0.2">
      <c r="P30" s="92"/>
      <c r="Z30" s="92"/>
      <c r="AA30" s="92"/>
      <c r="AB30" s="92"/>
    </row>
    <row r="31" spans="2:86" x14ac:dyDescent="0.2">
      <c r="F31" s="3"/>
      <c r="O31" s="92"/>
      <c r="P31" s="92"/>
      <c r="R31" s="92"/>
      <c r="S31" s="92"/>
      <c r="T31" s="92"/>
      <c r="U31" s="92"/>
    </row>
    <row r="32" spans="2:86" x14ac:dyDescent="0.2">
      <c r="F32" s="97"/>
    </row>
    <row r="33" spans="3:24" x14ac:dyDescent="0.2">
      <c r="W33" s="92"/>
      <c r="X33" s="92"/>
    </row>
    <row r="37" spans="3:24" ht="19" x14ac:dyDescent="0.2">
      <c r="C37" s="66"/>
      <c r="F37" s="3"/>
      <c r="G37" s="5"/>
    </row>
    <row r="38" spans="3:24" ht="19" x14ac:dyDescent="0.2">
      <c r="C38" s="66"/>
      <c r="F38" s="3"/>
      <c r="G38" s="5"/>
    </row>
    <row r="39" spans="3:24" ht="19" x14ac:dyDescent="0.2">
      <c r="C39" s="66"/>
      <c r="F39" s="3"/>
      <c r="G39" s="5"/>
    </row>
    <row r="40" spans="3:24" ht="19" x14ac:dyDescent="0.2">
      <c r="C40" s="66"/>
      <c r="F40" s="3"/>
      <c r="G40" s="5"/>
    </row>
    <row r="41" spans="3:24" ht="19" x14ac:dyDescent="0.2">
      <c r="C41" s="66"/>
      <c r="F41" s="3"/>
      <c r="G41" s="5"/>
    </row>
    <row r="42" spans="3:24" ht="19" x14ac:dyDescent="0.25">
      <c r="C42" s="82"/>
      <c r="F42" s="3"/>
      <c r="G42" s="5"/>
    </row>
    <row r="43" spans="3:24" ht="19" x14ac:dyDescent="0.2">
      <c r="C43" s="66"/>
      <c r="F43" s="3"/>
      <c r="G43" s="5"/>
    </row>
    <row r="44" spans="3:24" ht="19" x14ac:dyDescent="0.2">
      <c r="C44" s="66"/>
      <c r="F44" s="3"/>
      <c r="G44" s="5"/>
    </row>
    <row r="45" spans="3:24" ht="19" x14ac:dyDescent="0.2">
      <c r="C45" s="66"/>
      <c r="F45" s="3"/>
      <c r="G45" s="5"/>
    </row>
    <row r="46" spans="3:24" ht="19" x14ac:dyDescent="0.2">
      <c r="C46" s="66"/>
      <c r="F46" s="3"/>
      <c r="G46" s="5"/>
    </row>
    <row r="47" spans="3:24" ht="19" x14ac:dyDescent="0.2">
      <c r="C47" s="66"/>
      <c r="F47" s="3"/>
      <c r="G47" s="5"/>
    </row>
    <row r="48" spans="3:24" ht="19" x14ac:dyDescent="0.2">
      <c r="C48" s="66"/>
      <c r="F48" s="3"/>
      <c r="G48" s="5"/>
    </row>
    <row r="49" spans="3:7" ht="19" x14ac:dyDescent="0.2">
      <c r="C49" s="66"/>
      <c r="F49" s="3"/>
      <c r="G49" s="5"/>
    </row>
    <row r="50" spans="3:7" ht="19" x14ac:dyDescent="0.2">
      <c r="C50" s="66"/>
      <c r="F50" s="3"/>
      <c r="G50" s="5"/>
    </row>
    <row r="51" spans="3:7" ht="19" x14ac:dyDescent="0.2">
      <c r="C51" s="66"/>
      <c r="F51" s="3"/>
      <c r="G51" s="5"/>
    </row>
    <row r="52" spans="3:7" ht="19" x14ac:dyDescent="0.2">
      <c r="C52" s="66"/>
      <c r="F52" s="3"/>
      <c r="G52" s="5"/>
    </row>
    <row r="53" spans="3:7" ht="19" x14ac:dyDescent="0.2">
      <c r="C53" s="66"/>
      <c r="F53" s="3"/>
      <c r="G53" s="5"/>
    </row>
    <row r="55" spans="3:7" x14ac:dyDescent="0.2">
      <c r="G55" s="95"/>
    </row>
  </sheetData>
  <mergeCells count="4">
    <mergeCell ref="B15:BW15"/>
    <mergeCell ref="B28:C28"/>
    <mergeCell ref="B11:C11"/>
    <mergeCell ref="D13:G13"/>
  </mergeCells>
  <conditionalFormatting sqref="D17:D27">
    <cfRule type="top10" dxfId="356" priority="68" stopIfTrue="1" rank="1"/>
  </conditionalFormatting>
  <conditionalFormatting sqref="E4:E10">
    <cfRule type="top10" dxfId="355" priority="249" rank="1"/>
  </conditionalFormatting>
  <conditionalFormatting sqref="E17:E27">
    <cfRule type="top10" dxfId="354" priority="69" stopIfTrue="1" rank="1"/>
  </conditionalFormatting>
  <conditionalFormatting sqref="F4:F10">
    <cfRule type="top10" dxfId="353" priority="250" rank="1"/>
  </conditionalFormatting>
  <conditionalFormatting sqref="F17:F27">
    <cfRule type="top10" dxfId="352" priority="70" stopIfTrue="1" bottom="1" rank="1"/>
  </conditionalFormatting>
  <conditionalFormatting sqref="G17:H27">
    <cfRule type="top10" dxfId="351" priority="71" stopIfTrue="1" rank="1"/>
  </conditionalFormatting>
  <conditionalFormatting sqref="I4:I10">
    <cfRule type="top10" dxfId="350" priority="251" rank="1"/>
  </conditionalFormatting>
  <conditionalFormatting sqref="I17:I27">
    <cfRule type="top10" dxfId="349" priority="37" bottom="1" rank="1"/>
  </conditionalFormatting>
  <conditionalFormatting sqref="J4:J10">
    <cfRule type="top10" dxfId="348" priority="252" bottom="1" rank="1"/>
  </conditionalFormatting>
  <conditionalFormatting sqref="J17:J27">
    <cfRule type="top10" dxfId="347" priority="36" rank="1"/>
  </conditionalFormatting>
  <conditionalFormatting sqref="K4:K10">
    <cfRule type="top10" dxfId="346" priority="253" bottom="1" rank="1"/>
  </conditionalFormatting>
  <conditionalFormatting sqref="K17:N17 K18:K27 M18:N27 L18:L28">
    <cfRule type="top10" dxfId="345" priority="254" rank="1"/>
  </conditionalFormatting>
  <conditionalFormatting sqref="L17:L27">
    <cfRule type="top10" dxfId="344" priority="1" rank="1"/>
  </conditionalFormatting>
  <conditionalFormatting sqref="O4:O10">
    <cfRule type="top10" dxfId="343" priority="17" bottom="1" rank="1"/>
  </conditionalFormatting>
  <conditionalFormatting sqref="O17:O27">
    <cfRule type="top10" dxfId="342" priority="73" rank="1"/>
  </conditionalFormatting>
  <conditionalFormatting sqref="P4:P11">
    <cfRule type="top10" dxfId="341" priority="16" bottom="1" rank="1"/>
  </conditionalFormatting>
  <conditionalFormatting sqref="R4:R10">
    <cfRule type="top10" dxfId="340" priority="15" bottom="1" rank="1"/>
  </conditionalFormatting>
  <conditionalFormatting sqref="S4:S10">
    <cfRule type="top10" dxfId="339" priority="14" rank="1"/>
  </conditionalFormatting>
  <conditionalFormatting sqref="S17:S28">
    <cfRule type="top10" dxfId="338" priority="2" bottom="1" rank="1"/>
  </conditionalFormatting>
  <conditionalFormatting sqref="T4:T11">
    <cfRule type="top10" dxfId="337" priority="13" rank="1"/>
  </conditionalFormatting>
  <conditionalFormatting sqref="U4:U10">
    <cfRule type="top10" dxfId="336" priority="12" rank="1"/>
  </conditionalFormatting>
  <conditionalFormatting sqref="V4:V10">
    <cfRule type="top10" dxfId="335" priority="11" rank="1"/>
  </conditionalFormatting>
  <conditionalFormatting sqref="W4:W10">
    <cfRule type="top10" dxfId="334" priority="10" rank="1"/>
  </conditionalFormatting>
  <conditionalFormatting sqref="X4:X10">
    <cfRule type="top10" dxfId="333" priority="9" bottom="1" rank="1"/>
  </conditionalFormatting>
  <conditionalFormatting sqref="X17:X27">
    <cfRule type="top10" dxfId="332" priority="74" rank="5"/>
  </conditionalFormatting>
  <conditionalFormatting sqref="Y17:Y27">
    <cfRule type="top10" dxfId="331" priority="75" bottom="1" rank="5"/>
  </conditionalFormatting>
  <conditionalFormatting sqref="Y17:Z27">
    <cfRule type="top10" dxfId="330" priority="76" bottom="1" rank="1"/>
  </conditionalFormatting>
  <conditionalFormatting sqref="Z4:Z10">
    <cfRule type="top10" dxfId="329" priority="7" rank="1"/>
  </conditionalFormatting>
  <conditionalFormatting sqref="AB4:AB10">
    <cfRule type="top10" dxfId="328" priority="6" rank="1"/>
  </conditionalFormatting>
  <conditionalFormatting sqref="AD4:AD10">
    <cfRule type="top10" dxfId="327" priority="5" rank="1"/>
  </conditionalFormatting>
  <conditionalFormatting sqref="AD13:AD14">
    <cfRule type="top10" dxfId="326" priority="231" bottom="1" rank="1"/>
  </conditionalFormatting>
  <conditionalFormatting sqref="AF4:AF10">
    <cfRule type="top10" dxfId="325" priority="4" bottom="1" rank="1"/>
  </conditionalFormatting>
  <conditionalFormatting sqref="AF17:AF27">
    <cfRule type="top10" dxfId="324" priority="77" bottom="1" rank="5"/>
  </conditionalFormatting>
  <conditionalFormatting sqref="AG4:AG10">
    <cfRule type="top10" dxfId="323" priority="3" bottom="1" rank="1"/>
  </conditionalFormatting>
  <conditionalFormatting sqref="AG17:AG27">
    <cfRule type="top10" dxfId="322" priority="78" bottom="1" rank="5"/>
  </conditionalFormatting>
  <conditionalFormatting sqref="AL17:AL27">
    <cfRule type="top10" dxfId="321" priority="79" bottom="1" rank="5"/>
  </conditionalFormatting>
  <conditionalFormatting sqref="AM17:AM27">
    <cfRule type="top10" dxfId="320" priority="80" bottom="1" rank="5"/>
  </conditionalFormatting>
  <conditionalFormatting sqref="AN17:AN27">
    <cfRule type="top10" dxfId="319" priority="64" bottom="1" rank="1"/>
  </conditionalFormatting>
  <conditionalFormatting sqref="AO17:AO27">
    <cfRule type="top10" dxfId="318" priority="81" rank="3"/>
  </conditionalFormatting>
  <conditionalFormatting sqref="AP17:AP27">
    <cfRule type="top10" dxfId="317" priority="82" rank="1"/>
  </conditionalFormatting>
  <conditionalFormatting sqref="AQ17:AQ27">
    <cfRule type="top10" dxfId="316" priority="83" rank="3"/>
  </conditionalFormatting>
  <conditionalFormatting sqref="AR17:AR27">
    <cfRule type="top10" dxfId="315" priority="85" rank="1"/>
    <cfRule type="top10" dxfId="314" priority="84" rank="5"/>
  </conditionalFormatting>
  <conditionalFormatting sqref="AS17:AS27">
    <cfRule type="top10" dxfId="313" priority="86" rank="1"/>
  </conditionalFormatting>
  <conditionalFormatting sqref="AT17:AT27">
    <cfRule type="top10" dxfId="312" priority="87" bottom="1" rank="5"/>
  </conditionalFormatting>
  <conditionalFormatting sqref="AU17:AU27">
    <cfRule type="top10" dxfId="311" priority="88" bottom="1" rank="1"/>
  </conditionalFormatting>
  <conditionalFormatting sqref="AW17:AW27">
    <cfRule type="top10" dxfId="310" priority="89" rank="5"/>
  </conditionalFormatting>
  <conditionalFormatting sqref="AX4:AX10">
    <cfRule type="top10" dxfId="309" priority="236" rank="1"/>
  </conditionalFormatting>
  <conditionalFormatting sqref="AY4:AY10">
    <cfRule type="top10" dxfId="308" priority="237" rank="1"/>
  </conditionalFormatting>
  <conditionalFormatting sqref="AY17:AY27">
    <cfRule type="top10" dxfId="307" priority="90" rank="3"/>
  </conditionalFormatting>
  <conditionalFormatting sqref="AZ4:AZ10">
    <cfRule type="top10" dxfId="306" priority="238" rank="1"/>
  </conditionalFormatting>
  <conditionalFormatting sqref="BA4:BA10">
    <cfRule type="top10" dxfId="305" priority="239" rank="1"/>
  </conditionalFormatting>
  <conditionalFormatting sqref="BA17:BA27">
    <cfRule type="top10" dxfId="304" priority="91" rank="3"/>
  </conditionalFormatting>
  <conditionalFormatting sqref="BB4:BB10">
    <cfRule type="top10" dxfId="303" priority="240" rank="1"/>
  </conditionalFormatting>
  <conditionalFormatting sqref="BC4:BC10">
    <cfRule type="top10" dxfId="302" priority="241" rank="1"/>
  </conditionalFormatting>
  <conditionalFormatting sqref="BC17:BC27">
    <cfRule type="top10" dxfId="301" priority="92" bottom="1" rank="3"/>
  </conditionalFormatting>
  <conditionalFormatting sqref="BD4:BD11">
    <cfRule type="top10" dxfId="300" priority="242" rank="1"/>
  </conditionalFormatting>
  <conditionalFormatting sqref="BD17:BD27">
    <cfRule type="top10" dxfId="299" priority="93" bottom="1" rank="3"/>
  </conditionalFormatting>
  <conditionalFormatting sqref="BE4:BE10">
    <cfRule type="top10" dxfId="298" priority="243" rank="1"/>
  </conditionalFormatting>
  <conditionalFormatting sqref="BF4:BF11">
    <cfRule type="top10" dxfId="297" priority="244" rank="1"/>
  </conditionalFormatting>
  <conditionalFormatting sqref="BG4:BG10">
    <cfRule type="top10" dxfId="296" priority="245" rank="1"/>
  </conditionalFormatting>
  <conditionalFormatting sqref="BH4:BH10">
    <cfRule type="top10" dxfId="295" priority="246" rank="1"/>
  </conditionalFormatting>
  <conditionalFormatting sqref="BI4:BI10">
    <cfRule type="top10" dxfId="294" priority="247" rank="1"/>
  </conditionalFormatting>
  <conditionalFormatting sqref="BJ4:BJ10">
    <cfRule type="top10" dxfId="293" priority="248" rank="1"/>
  </conditionalFormatting>
  <conditionalFormatting sqref="BK4:BK11">
    <cfRule type="cellIs" dxfId="292" priority="128" operator="equal">
      <formula>1</formula>
    </cfRule>
    <cfRule type="cellIs" dxfId="291" priority="127" operator="notEqual">
      <formula>1</formula>
    </cfRule>
  </conditionalFormatting>
  <conditionalFormatting sqref="BU17:BU27">
    <cfRule type="top10" dxfId="290" priority="94" rank="5"/>
  </conditionalFormatting>
  <conditionalFormatting sqref="BV17:BW27">
    <cfRule type="top10" dxfId="289" priority="95" rank="5"/>
  </conditionalFormatting>
  <conditionalFormatting sqref="BW17:BW27">
    <cfRule type="top10" dxfId="288" priority="96" rank="1"/>
  </conditionalFormatting>
  <conditionalFormatting sqref="BX17:BX27">
    <cfRule type="top10" dxfId="287" priority="97" rank="5"/>
  </conditionalFormatting>
  <conditionalFormatting sqref="BY17:BY28">
    <cfRule type="top10" dxfId="286" priority="67" rank="1"/>
  </conditionalFormatting>
  <conditionalFormatting sqref="BZ17:BZ27">
    <cfRule type="top10" dxfId="285" priority="230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A7014-5FFD-6846-A3E9-E4E83F1BAFDD}">
  <dimension ref="A1:BL307"/>
  <sheetViews>
    <sheetView workbookViewId="0">
      <pane xSplit="1" ySplit="4" topLeftCell="B78" activePane="bottomRight" state="frozen"/>
      <selection pane="topRight" activeCell="B1" sqref="B1"/>
      <selection pane="bottomLeft" activeCell="A5" sqref="A5"/>
      <selection pane="bottomRight" activeCell="E316" sqref="E316"/>
    </sheetView>
  </sheetViews>
  <sheetFormatPr baseColWidth="10" defaultRowHeight="16" x14ac:dyDescent="0.2"/>
  <cols>
    <col min="1" max="1" width="11.1640625" bestFit="1" customWidth="1"/>
    <col min="2" max="2" width="11.5" bestFit="1" customWidth="1"/>
    <col min="3" max="3" width="12.5" style="10" bestFit="1" customWidth="1"/>
    <col min="4" max="4" width="10.83203125" style="10"/>
    <col min="5" max="6" width="12.5" style="10" bestFit="1" customWidth="1"/>
    <col min="7" max="7" width="10.83203125" style="10"/>
    <col min="8" max="8" width="10.83203125" style="147"/>
    <col min="9" max="9" width="11.6640625" style="63" bestFit="1" customWidth="1"/>
    <col min="10" max="10" width="15" style="10" bestFit="1" customWidth="1"/>
    <col min="11" max="13" width="11.6640625" style="10" bestFit="1" customWidth="1"/>
    <col min="16" max="16" width="12.1640625" bestFit="1" customWidth="1"/>
    <col min="17" max="17" width="10" style="5" bestFit="1" customWidth="1"/>
  </cols>
  <sheetData>
    <row r="1" spans="1:13" ht="33" thickBot="1" x14ac:dyDescent="0.45">
      <c r="B1" s="256" t="s">
        <v>128</v>
      </c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8"/>
    </row>
    <row r="2" spans="1:13" ht="23" thickBot="1" x14ac:dyDescent="0.25">
      <c r="B2" s="259" t="s">
        <v>129</v>
      </c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1"/>
    </row>
    <row r="3" spans="1:13" ht="18" customHeight="1" x14ac:dyDescent="0.2">
      <c r="B3" s="24" t="s">
        <v>1</v>
      </c>
      <c r="C3" s="25">
        <v>46193</v>
      </c>
      <c r="D3" s="25">
        <v>46197</v>
      </c>
      <c r="E3" s="25">
        <v>46203</v>
      </c>
      <c r="F3" s="25">
        <v>46218</v>
      </c>
      <c r="G3" s="25">
        <v>46224</v>
      </c>
      <c r="H3" s="140"/>
      <c r="I3" s="148"/>
      <c r="J3" s="25"/>
      <c r="K3" s="25"/>
      <c r="L3" s="25"/>
      <c r="M3" s="26"/>
    </row>
    <row r="4" spans="1:13" ht="17" thickBot="1" x14ac:dyDescent="0.25">
      <c r="B4" s="27" t="s">
        <v>61</v>
      </c>
      <c r="C4" s="28" t="s">
        <v>201</v>
      </c>
      <c r="D4" s="28" t="s">
        <v>202</v>
      </c>
      <c r="E4" s="28" t="s">
        <v>202</v>
      </c>
      <c r="F4" s="28" t="s">
        <v>202</v>
      </c>
      <c r="G4" s="28" t="s">
        <v>202</v>
      </c>
      <c r="H4" s="141"/>
      <c r="I4" s="149"/>
      <c r="J4" s="28"/>
      <c r="K4" s="28"/>
      <c r="L4" s="28"/>
      <c r="M4" s="29"/>
    </row>
    <row r="5" spans="1:13" ht="16" customHeight="1" x14ac:dyDescent="0.2">
      <c r="A5" s="262" t="s">
        <v>62</v>
      </c>
      <c r="B5" s="30" t="s">
        <v>63</v>
      </c>
      <c r="C5" s="31">
        <v>1</v>
      </c>
      <c r="D5" s="31">
        <v>2</v>
      </c>
      <c r="E5" s="31">
        <v>2</v>
      </c>
      <c r="F5" s="31">
        <v>3</v>
      </c>
      <c r="G5" s="31">
        <v>3</v>
      </c>
      <c r="H5" s="31">
        <v>0</v>
      </c>
      <c r="I5" s="137">
        <v>0</v>
      </c>
      <c r="J5" s="137">
        <v>0</v>
      </c>
      <c r="K5" s="31">
        <v>0</v>
      </c>
      <c r="L5" s="31">
        <v>0</v>
      </c>
      <c r="M5" s="31">
        <v>0</v>
      </c>
    </row>
    <row r="6" spans="1:13" x14ac:dyDescent="0.2">
      <c r="A6" s="263"/>
      <c r="B6" s="30" t="s">
        <v>68</v>
      </c>
      <c r="C6" s="32">
        <v>16</v>
      </c>
      <c r="D6" s="32">
        <v>46</v>
      </c>
      <c r="E6" s="32">
        <v>45</v>
      </c>
      <c r="F6" s="32">
        <v>53</v>
      </c>
      <c r="G6" s="32">
        <v>61</v>
      </c>
      <c r="H6" s="32">
        <v>0</v>
      </c>
      <c r="I6" s="138">
        <v>0</v>
      </c>
      <c r="J6" s="138">
        <v>0</v>
      </c>
      <c r="K6" s="32">
        <v>0</v>
      </c>
      <c r="L6" s="32">
        <v>0</v>
      </c>
      <c r="M6" s="32">
        <v>0</v>
      </c>
    </row>
    <row r="7" spans="1:13" x14ac:dyDescent="0.2">
      <c r="A7" s="263"/>
      <c r="B7" s="30" t="s">
        <v>69</v>
      </c>
      <c r="C7" s="32">
        <v>11</v>
      </c>
      <c r="D7" s="32">
        <v>29</v>
      </c>
      <c r="E7" s="32">
        <v>24</v>
      </c>
      <c r="F7" s="32">
        <v>28</v>
      </c>
      <c r="G7" s="32">
        <v>34</v>
      </c>
      <c r="H7" s="32">
        <v>0</v>
      </c>
      <c r="I7" s="138">
        <v>0</v>
      </c>
      <c r="J7" s="138">
        <v>0</v>
      </c>
      <c r="K7" s="32">
        <v>0</v>
      </c>
      <c r="L7" s="32">
        <v>0</v>
      </c>
      <c r="M7" s="32">
        <v>0</v>
      </c>
    </row>
    <row r="8" spans="1:13" x14ac:dyDescent="0.2">
      <c r="A8" s="263"/>
      <c r="B8" s="30" t="s">
        <v>59</v>
      </c>
      <c r="C8" s="32">
        <v>5</v>
      </c>
      <c r="D8" s="32">
        <v>17</v>
      </c>
      <c r="E8" s="32">
        <v>21</v>
      </c>
      <c r="F8" s="32">
        <v>25</v>
      </c>
      <c r="G8" s="32">
        <v>27</v>
      </c>
      <c r="H8" s="32">
        <v>0</v>
      </c>
      <c r="I8" s="138">
        <v>0</v>
      </c>
      <c r="J8" s="138">
        <v>0</v>
      </c>
      <c r="K8" s="32">
        <v>0</v>
      </c>
      <c r="L8" s="32">
        <v>0</v>
      </c>
      <c r="M8" s="32">
        <v>0</v>
      </c>
    </row>
    <row r="9" spans="1:13" x14ac:dyDescent="0.2">
      <c r="A9" s="263"/>
      <c r="B9" s="30" t="s">
        <v>70</v>
      </c>
      <c r="C9" s="33">
        <f t="shared" ref="C9:D9" si="0">C8/C6</f>
        <v>0.3125</v>
      </c>
      <c r="D9" s="33">
        <f t="shared" si="0"/>
        <v>0.36956521739130432</v>
      </c>
      <c r="E9" s="33">
        <f t="shared" ref="E9" si="1">E8/E6</f>
        <v>0.46666666666666667</v>
      </c>
      <c r="F9" s="33">
        <f t="shared" ref="F9:G9" si="2">F8/F6</f>
        <v>0.47169811320754718</v>
      </c>
      <c r="G9" s="33">
        <f t="shared" si="2"/>
        <v>0.44262295081967212</v>
      </c>
      <c r="H9" s="142" t="e">
        <f t="shared" ref="H9:M9" si="3">H8/H6</f>
        <v>#DIV/0!</v>
      </c>
      <c r="I9" s="150" t="e">
        <f t="shared" si="3"/>
        <v>#DIV/0!</v>
      </c>
      <c r="J9" s="33" t="e">
        <f t="shared" si="3"/>
        <v>#DIV/0!</v>
      </c>
      <c r="K9" s="33" t="e">
        <f t="shared" si="3"/>
        <v>#DIV/0!</v>
      </c>
      <c r="L9" s="33" t="e">
        <f t="shared" si="3"/>
        <v>#DIV/0!</v>
      </c>
      <c r="M9" s="33" t="e">
        <f t="shared" si="3"/>
        <v>#DIV/0!</v>
      </c>
    </row>
    <row r="10" spans="1:13" x14ac:dyDescent="0.2">
      <c r="A10" s="263"/>
      <c r="B10" s="30" t="s">
        <v>71</v>
      </c>
      <c r="C10" s="14">
        <f t="shared" ref="C10:M10" si="4">C6/C5</f>
        <v>16</v>
      </c>
      <c r="D10" s="14">
        <f t="shared" si="4"/>
        <v>23</v>
      </c>
      <c r="E10" s="14">
        <f t="shared" si="4"/>
        <v>22.5</v>
      </c>
      <c r="F10" s="14">
        <f t="shared" si="4"/>
        <v>17.666666666666668</v>
      </c>
      <c r="G10" s="14">
        <f t="shared" si="4"/>
        <v>20.333333333333332</v>
      </c>
      <c r="H10" s="143" t="e">
        <f t="shared" si="4"/>
        <v>#DIV/0!</v>
      </c>
      <c r="I10" s="151" t="e">
        <f t="shared" si="4"/>
        <v>#DIV/0!</v>
      </c>
      <c r="J10" s="14" t="e">
        <f t="shared" si="4"/>
        <v>#DIV/0!</v>
      </c>
      <c r="K10" s="14" t="e">
        <f t="shared" si="4"/>
        <v>#DIV/0!</v>
      </c>
      <c r="L10" s="14" t="e">
        <f t="shared" si="4"/>
        <v>#DIV/0!</v>
      </c>
      <c r="M10" s="14" t="e">
        <f t="shared" si="4"/>
        <v>#DIV/0!</v>
      </c>
    </row>
    <row r="11" spans="1:13" x14ac:dyDescent="0.2">
      <c r="A11" s="263"/>
      <c r="B11" s="30" t="s">
        <v>72</v>
      </c>
      <c r="C11" s="11">
        <f t="shared" ref="C11:D11" si="5">C6/C12</f>
        <v>5.333333333333333</v>
      </c>
      <c r="D11" s="11">
        <f t="shared" si="5"/>
        <v>4.1818181818181817</v>
      </c>
      <c r="E11" s="11">
        <f t="shared" ref="E11" si="6">E6/E12</f>
        <v>4.5</v>
      </c>
      <c r="F11" s="11">
        <f t="shared" ref="F11:G11" si="7">F6/F12</f>
        <v>3.7857142857142856</v>
      </c>
      <c r="G11" s="11">
        <f t="shared" si="7"/>
        <v>4.3571428571428568</v>
      </c>
      <c r="H11" s="144" t="e">
        <f t="shared" ref="H11:M11" si="8">H6/H12</f>
        <v>#DIV/0!</v>
      </c>
      <c r="I11" s="152" t="e">
        <f t="shared" si="8"/>
        <v>#DIV/0!</v>
      </c>
      <c r="J11" s="11" t="e">
        <f t="shared" si="8"/>
        <v>#DIV/0!</v>
      </c>
      <c r="K11" s="11" t="e">
        <f t="shared" si="8"/>
        <v>#DIV/0!</v>
      </c>
      <c r="L11" s="11" t="e">
        <f t="shared" si="8"/>
        <v>#DIV/0!</v>
      </c>
      <c r="M11" s="11" t="e">
        <f t="shared" si="8"/>
        <v>#DIV/0!</v>
      </c>
    </row>
    <row r="12" spans="1:13" x14ac:dyDescent="0.2">
      <c r="A12" s="263"/>
      <c r="B12" s="30" t="s">
        <v>73</v>
      </c>
      <c r="C12" s="32">
        <v>3</v>
      </c>
      <c r="D12" s="32">
        <v>11</v>
      </c>
      <c r="E12" s="32">
        <v>10</v>
      </c>
      <c r="F12" s="32">
        <v>14</v>
      </c>
      <c r="G12" s="32">
        <v>14</v>
      </c>
      <c r="H12" s="32">
        <v>0</v>
      </c>
      <c r="I12" s="138">
        <v>0</v>
      </c>
      <c r="J12" s="138">
        <v>0</v>
      </c>
      <c r="K12" s="32">
        <v>0</v>
      </c>
      <c r="L12" s="32">
        <v>0</v>
      </c>
      <c r="M12" s="32">
        <v>0</v>
      </c>
    </row>
    <row r="13" spans="1:13" x14ac:dyDescent="0.2">
      <c r="A13" s="263"/>
      <c r="B13" s="30" t="s">
        <v>74</v>
      </c>
      <c r="C13" s="32">
        <v>0</v>
      </c>
      <c r="D13" s="32">
        <v>1</v>
      </c>
      <c r="E13" s="32">
        <v>2</v>
      </c>
      <c r="F13" s="32">
        <v>1</v>
      </c>
      <c r="G13" s="32">
        <v>4</v>
      </c>
      <c r="H13" s="32">
        <v>0</v>
      </c>
      <c r="I13" s="138">
        <v>0</v>
      </c>
      <c r="J13" s="138">
        <v>0</v>
      </c>
      <c r="K13" s="32">
        <v>0</v>
      </c>
      <c r="L13" s="32">
        <v>0</v>
      </c>
      <c r="M13" s="32">
        <v>0</v>
      </c>
    </row>
    <row r="14" spans="1:13" x14ac:dyDescent="0.2">
      <c r="A14" s="263"/>
      <c r="B14" s="30" t="s">
        <v>48</v>
      </c>
      <c r="C14" s="32">
        <v>1</v>
      </c>
      <c r="D14" s="32">
        <v>4</v>
      </c>
      <c r="E14" s="32">
        <v>2</v>
      </c>
      <c r="F14" s="32">
        <v>3</v>
      </c>
      <c r="G14" s="32">
        <v>6</v>
      </c>
      <c r="H14" s="32">
        <v>0</v>
      </c>
      <c r="I14" s="138">
        <v>0</v>
      </c>
      <c r="J14" s="138">
        <v>0</v>
      </c>
      <c r="K14" s="32">
        <v>0</v>
      </c>
      <c r="L14" s="32">
        <v>0</v>
      </c>
      <c r="M14" s="32">
        <v>0</v>
      </c>
    </row>
    <row r="15" spans="1:13" x14ac:dyDescent="0.2">
      <c r="A15" s="263"/>
      <c r="B15" s="30" t="s">
        <v>75</v>
      </c>
      <c r="C15" s="33">
        <f t="shared" ref="C15:M15" si="9">C14/C12</f>
        <v>0.33333333333333331</v>
      </c>
      <c r="D15" s="33">
        <f t="shared" si="9"/>
        <v>0.36363636363636365</v>
      </c>
      <c r="E15" s="33">
        <f t="shared" si="9"/>
        <v>0.2</v>
      </c>
      <c r="F15" s="33">
        <f t="shared" si="9"/>
        <v>0.21428571428571427</v>
      </c>
      <c r="G15" s="33">
        <f t="shared" si="9"/>
        <v>0.42857142857142855</v>
      </c>
      <c r="H15" s="142" t="e">
        <f t="shared" si="9"/>
        <v>#DIV/0!</v>
      </c>
      <c r="I15" s="150" t="e">
        <f t="shared" si="9"/>
        <v>#DIV/0!</v>
      </c>
      <c r="J15" s="33" t="e">
        <f t="shared" si="9"/>
        <v>#DIV/0!</v>
      </c>
      <c r="K15" s="33" t="e">
        <f t="shared" si="9"/>
        <v>#DIV/0!</v>
      </c>
      <c r="L15" s="33" t="e">
        <f t="shared" si="9"/>
        <v>#DIV/0!</v>
      </c>
      <c r="M15" s="33" t="e">
        <f t="shared" si="9"/>
        <v>#DIV/0!</v>
      </c>
    </row>
    <row r="16" spans="1:13" x14ac:dyDescent="0.2">
      <c r="A16" s="263"/>
      <c r="B16" s="30" t="s">
        <v>76</v>
      </c>
      <c r="C16" s="11">
        <f t="shared" ref="C16:M16" si="10">(C14/C5)*7</f>
        <v>7</v>
      </c>
      <c r="D16" s="11">
        <f t="shared" si="10"/>
        <v>14</v>
      </c>
      <c r="E16" s="11">
        <f t="shared" si="10"/>
        <v>7</v>
      </c>
      <c r="F16" s="11">
        <f t="shared" si="10"/>
        <v>7</v>
      </c>
      <c r="G16" s="11">
        <f t="shared" si="10"/>
        <v>14</v>
      </c>
      <c r="H16" s="144" t="e">
        <f t="shared" si="10"/>
        <v>#DIV/0!</v>
      </c>
      <c r="I16" s="152" t="e">
        <f t="shared" si="10"/>
        <v>#DIV/0!</v>
      </c>
      <c r="J16" s="11" t="e">
        <f t="shared" si="10"/>
        <v>#DIV/0!</v>
      </c>
      <c r="K16" s="11" t="e">
        <f t="shared" si="10"/>
        <v>#DIV/0!</v>
      </c>
      <c r="L16" s="11" t="e">
        <f t="shared" si="10"/>
        <v>#DIV/0!</v>
      </c>
      <c r="M16" s="11" t="e">
        <f t="shared" si="10"/>
        <v>#DIV/0!</v>
      </c>
    </row>
    <row r="17" spans="1:13" x14ac:dyDescent="0.2">
      <c r="A17" s="263"/>
      <c r="B17" s="30" t="s">
        <v>41</v>
      </c>
      <c r="C17" s="34">
        <v>0</v>
      </c>
      <c r="D17" s="34">
        <v>0</v>
      </c>
      <c r="E17" s="34">
        <v>1</v>
      </c>
      <c r="F17" s="34">
        <v>1</v>
      </c>
      <c r="G17" s="34">
        <v>0</v>
      </c>
      <c r="H17" s="34">
        <v>0</v>
      </c>
      <c r="I17" s="139">
        <v>0</v>
      </c>
      <c r="J17" s="139">
        <v>0</v>
      </c>
      <c r="K17" s="34">
        <v>0</v>
      </c>
      <c r="L17" s="34">
        <v>0</v>
      </c>
      <c r="M17" s="34">
        <v>0</v>
      </c>
    </row>
    <row r="18" spans="1:13" x14ac:dyDescent="0.2">
      <c r="A18" s="263"/>
      <c r="B18" s="30" t="s">
        <v>79</v>
      </c>
      <c r="C18" s="35">
        <f t="shared" ref="C18:M18" si="11">(C14+C13)/C5</f>
        <v>1</v>
      </c>
      <c r="D18" s="35">
        <f t="shared" si="11"/>
        <v>2.5</v>
      </c>
      <c r="E18" s="35">
        <f t="shared" si="11"/>
        <v>2</v>
      </c>
      <c r="F18" s="35">
        <f t="shared" si="11"/>
        <v>1.3333333333333333</v>
      </c>
      <c r="G18" s="35">
        <f t="shared" si="11"/>
        <v>3.3333333333333335</v>
      </c>
      <c r="H18" s="145" t="e">
        <f t="shared" si="11"/>
        <v>#DIV/0!</v>
      </c>
      <c r="I18" s="153" t="e">
        <f t="shared" si="11"/>
        <v>#DIV/0!</v>
      </c>
      <c r="J18" s="35" t="e">
        <f t="shared" si="11"/>
        <v>#DIV/0!</v>
      </c>
      <c r="K18" s="35" t="e">
        <f t="shared" si="11"/>
        <v>#DIV/0!</v>
      </c>
      <c r="L18" s="35" t="e">
        <f t="shared" si="11"/>
        <v>#DIV/0!</v>
      </c>
      <c r="M18" s="35" t="e">
        <f t="shared" si="11"/>
        <v>#DIV/0!</v>
      </c>
    </row>
    <row r="19" spans="1:13" x14ac:dyDescent="0.2">
      <c r="A19" s="263"/>
      <c r="B19" s="30" t="s">
        <v>81</v>
      </c>
      <c r="C19" s="32">
        <v>0</v>
      </c>
      <c r="D19" s="32">
        <v>1</v>
      </c>
      <c r="E19" s="32">
        <v>3</v>
      </c>
      <c r="F19" s="32">
        <v>4</v>
      </c>
      <c r="G19" s="32">
        <v>1</v>
      </c>
      <c r="H19" s="32">
        <v>0</v>
      </c>
      <c r="I19" s="138">
        <v>0</v>
      </c>
      <c r="J19" s="138">
        <v>0</v>
      </c>
      <c r="K19" s="32">
        <v>0</v>
      </c>
      <c r="L19" s="32">
        <v>0</v>
      </c>
      <c r="M19" s="32">
        <v>0</v>
      </c>
    </row>
    <row r="20" spans="1:13" x14ac:dyDescent="0.2">
      <c r="A20" s="263"/>
      <c r="B20" s="30" t="s">
        <v>82</v>
      </c>
      <c r="C20" s="32">
        <v>0</v>
      </c>
      <c r="D20" s="32">
        <v>0</v>
      </c>
      <c r="E20" s="32">
        <v>0</v>
      </c>
      <c r="F20" s="32">
        <v>1</v>
      </c>
      <c r="G20" s="32">
        <v>0</v>
      </c>
      <c r="H20" s="32">
        <v>0</v>
      </c>
      <c r="I20" s="138">
        <v>0</v>
      </c>
      <c r="J20" s="138">
        <v>0</v>
      </c>
      <c r="K20" s="32">
        <v>0</v>
      </c>
      <c r="L20" s="32">
        <v>0</v>
      </c>
      <c r="M20" s="32">
        <v>0</v>
      </c>
    </row>
    <row r="21" spans="1:13" x14ac:dyDescent="0.2">
      <c r="A21" s="263"/>
      <c r="B21" s="30" t="s">
        <v>83</v>
      </c>
      <c r="C21" s="11">
        <f t="shared" ref="C21:M21" si="12">((C19+C20)/C5)*7</f>
        <v>0</v>
      </c>
      <c r="D21" s="11">
        <f t="shared" si="12"/>
        <v>3.5</v>
      </c>
      <c r="E21" s="11">
        <f t="shared" si="12"/>
        <v>10.5</v>
      </c>
      <c r="F21" s="11">
        <f t="shared" si="12"/>
        <v>11.666666666666668</v>
      </c>
      <c r="G21" s="11">
        <f t="shared" si="12"/>
        <v>2.333333333333333</v>
      </c>
      <c r="H21" s="144" t="e">
        <f t="shared" si="12"/>
        <v>#DIV/0!</v>
      </c>
      <c r="I21" s="152" t="e">
        <f t="shared" si="12"/>
        <v>#DIV/0!</v>
      </c>
      <c r="J21" s="11" t="e">
        <f t="shared" si="12"/>
        <v>#DIV/0!</v>
      </c>
      <c r="K21" s="11" t="e">
        <f t="shared" si="12"/>
        <v>#DIV/0!</v>
      </c>
      <c r="L21" s="11" t="e">
        <f t="shared" si="12"/>
        <v>#DIV/0!</v>
      </c>
      <c r="M21" s="11" t="e">
        <f t="shared" si="12"/>
        <v>#DIV/0!</v>
      </c>
    </row>
    <row r="22" spans="1:13" x14ac:dyDescent="0.2">
      <c r="A22" s="263"/>
      <c r="B22" s="30" t="s">
        <v>70</v>
      </c>
      <c r="C22" s="33">
        <f t="shared" ref="C22:M22" si="13">(C19+C20)/C12</f>
        <v>0</v>
      </c>
      <c r="D22" s="33">
        <f t="shared" si="13"/>
        <v>9.0909090909090912E-2</v>
      </c>
      <c r="E22" s="33">
        <f t="shared" si="13"/>
        <v>0.3</v>
      </c>
      <c r="F22" s="33">
        <f t="shared" si="13"/>
        <v>0.35714285714285715</v>
      </c>
      <c r="G22" s="33">
        <f t="shared" si="13"/>
        <v>7.1428571428571425E-2</v>
      </c>
      <c r="H22" s="142" t="e">
        <f t="shared" si="13"/>
        <v>#DIV/0!</v>
      </c>
      <c r="I22" s="150" t="e">
        <f t="shared" si="13"/>
        <v>#DIV/0!</v>
      </c>
      <c r="J22" s="33" t="e">
        <f t="shared" si="13"/>
        <v>#DIV/0!</v>
      </c>
      <c r="K22" s="33" t="e">
        <f t="shared" si="13"/>
        <v>#DIV/0!</v>
      </c>
      <c r="L22" s="33" t="e">
        <f t="shared" si="13"/>
        <v>#DIV/0!</v>
      </c>
      <c r="M22" s="33" t="e">
        <f t="shared" si="13"/>
        <v>#DIV/0!</v>
      </c>
    </row>
    <row r="23" spans="1:13" x14ac:dyDescent="0.2">
      <c r="A23" s="263"/>
      <c r="B23" s="30" t="s">
        <v>84</v>
      </c>
      <c r="C23" s="11">
        <f t="shared" ref="C23:M23" si="14">(C19+C20)/C14</f>
        <v>0</v>
      </c>
      <c r="D23" s="11">
        <f t="shared" si="14"/>
        <v>0.25</v>
      </c>
      <c r="E23" s="11">
        <f t="shared" si="14"/>
        <v>1.5</v>
      </c>
      <c r="F23" s="11">
        <f t="shared" si="14"/>
        <v>1.6666666666666667</v>
      </c>
      <c r="G23" s="11">
        <f t="shared" si="14"/>
        <v>0.16666666666666666</v>
      </c>
      <c r="H23" s="144" t="e">
        <f t="shared" si="14"/>
        <v>#DIV/0!</v>
      </c>
      <c r="I23" s="152" t="e">
        <f t="shared" si="14"/>
        <v>#DIV/0!</v>
      </c>
      <c r="J23" s="11" t="e">
        <f t="shared" si="14"/>
        <v>#DIV/0!</v>
      </c>
      <c r="K23" s="11" t="e">
        <f t="shared" si="14"/>
        <v>#DIV/0!</v>
      </c>
      <c r="L23" s="11" t="e">
        <f t="shared" si="14"/>
        <v>#DIV/0!</v>
      </c>
      <c r="M23" s="11" t="e">
        <f t="shared" si="14"/>
        <v>#DIV/0!</v>
      </c>
    </row>
    <row r="24" spans="1:13" x14ac:dyDescent="0.2">
      <c r="A24" s="263"/>
      <c r="B24" s="30" t="s">
        <v>85</v>
      </c>
      <c r="C24" s="33">
        <f t="shared" ref="C24:M24" si="15">C22-C15</f>
        <v>-0.33333333333333331</v>
      </c>
      <c r="D24" s="33">
        <f t="shared" si="15"/>
        <v>-0.27272727272727271</v>
      </c>
      <c r="E24" s="33">
        <f t="shared" si="15"/>
        <v>9.9999999999999978E-2</v>
      </c>
      <c r="F24" s="33">
        <f t="shared" si="15"/>
        <v>0.14285714285714288</v>
      </c>
      <c r="G24" s="33">
        <f t="shared" si="15"/>
        <v>-0.3571428571428571</v>
      </c>
      <c r="H24" s="142" t="e">
        <f t="shared" si="15"/>
        <v>#DIV/0!</v>
      </c>
      <c r="I24" s="150" t="e">
        <f t="shared" si="15"/>
        <v>#DIV/0!</v>
      </c>
      <c r="J24" s="33" t="e">
        <f t="shared" si="15"/>
        <v>#DIV/0!</v>
      </c>
      <c r="K24" s="33" t="e">
        <f t="shared" si="15"/>
        <v>#DIV/0!</v>
      </c>
      <c r="L24" s="33" t="e">
        <f t="shared" si="15"/>
        <v>#DIV/0!</v>
      </c>
      <c r="M24" s="33" t="e">
        <f t="shared" si="15"/>
        <v>#DIV/0!</v>
      </c>
    </row>
    <row r="25" spans="1:13" ht="17" thickBot="1" x14ac:dyDescent="0.25">
      <c r="A25" s="264"/>
      <c r="B25" s="30" t="s">
        <v>86</v>
      </c>
      <c r="C25" s="36">
        <f t="shared" ref="C25:M25" si="16">C13/(C12-C14-C17)</f>
        <v>0</v>
      </c>
      <c r="D25" s="36">
        <f t="shared" si="16"/>
        <v>0.14285714285714285</v>
      </c>
      <c r="E25" s="36">
        <f t="shared" si="16"/>
        <v>0.2857142857142857</v>
      </c>
      <c r="F25" s="36">
        <f t="shared" si="16"/>
        <v>0.1</v>
      </c>
      <c r="G25" s="36">
        <f t="shared" si="16"/>
        <v>0.5</v>
      </c>
      <c r="H25" s="146" t="e">
        <f t="shared" si="16"/>
        <v>#DIV/0!</v>
      </c>
      <c r="I25" s="154" t="e">
        <f t="shared" si="16"/>
        <v>#DIV/0!</v>
      </c>
      <c r="J25" s="36" t="e">
        <f t="shared" si="16"/>
        <v>#DIV/0!</v>
      </c>
      <c r="K25" s="36" t="e">
        <f t="shared" si="16"/>
        <v>#DIV/0!</v>
      </c>
      <c r="L25" s="36" t="e">
        <f t="shared" si="16"/>
        <v>#DIV/0!</v>
      </c>
      <c r="M25" s="36" t="e">
        <f t="shared" si="16"/>
        <v>#DIV/0!</v>
      </c>
    </row>
    <row r="26" spans="1:13" x14ac:dyDescent="0.2">
      <c r="A26" s="262" t="s">
        <v>88</v>
      </c>
      <c r="B26" s="37" t="s">
        <v>89</v>
      </c>
      <c r="C26" s="32">
        <v>0</v>
      </c>
      <c r="D26" s="32">
        <v>3</v>
      </c>
      <c r="E26" s="32">
        <v>4</v>
      </c>
      <c r="F26" s="32">
        <v>6</v>
      </c>
      <c r="G26" s="32">
        <v>6</v>
      </c>
      <c r="H26" s="32">
        <v>0</v>
      </c>
      <c r="I26" s="138">
        <v>0</v>
      </c>
      <c r="J26" s="138">
        <v>0</v>
      </c>
      <c r="K26" s="32">
        <v>0</v>
      </c>
      <c r="L26" s="32">
        <v>0</v>
      </c>
      <c r="M26" s="32">
        <v>0</v>
      </c>
    </row>
    <row r="27" spans="1:13" x14ac:dyDescent="0.2">
      <c r="A27" s="263"/>
      <c r="B27" s="38" t="s">
        <v>90</v>
      </c>
      <c r="C27" s="33">
        <f t="shared" ref="C27:M27" si="17">C26/C12</f>
        <v>0</v>
      </c>
      <c r="D27" s="33">
        <f t="shared" si="17"/>
        <v>0.27272727272727271</v>
      </c>
      <c r="E27" s="33">
        <f t="shared" si="17"/>
        <v>0.4</v>
      </c>
      <c r="F27" s="33">
        <f t="shared" si="17"/>
        <v>0.42857142857142855</v>
      </c>
      <c r="G27" s="33">
        <f t="shared" si="17"/>
        <v>0.42857142857142855</v>
      </c>
      <c r="H27" s="142" t="e">
        <f t="shared" si="17"/>
        <v>#DIV/0!</v>
      </c>
      <c r="I27" s="150" t="e">
        <f t="shared" si="17"/>
        <v>#DIV/0!</v>
      </c>
      <c r="J27" s="33" t="e">
        <f t="shared" si="17"/>
        <v>#DIV/0!</v>
      </c>
      <c r="K27" s="33" t="e">
        <f t="shared" si="17"/>
        <v>#DIV/0!</v>
      </c>
      <c r="L27" s="33" t="e">
        <f t="shared" si="17"/>
        <v>#DIV/0!</v>
      </c>
      <c r="M27" s="33" t="e">
        <f t="shared" si="17"/>
        <v>#DIV/0!</v>
      </c>
    </row>
    <row r="28" spans="1:13" x14ac:dyDescent="0.2">
      <c r="A28" s="263"/>
      <c r="B28" s="38" t="s">
        <v>91</v>
      </c>
      <c r="C28" s="32">
        <v>0</v>
      </c>
      <c r="D28" s="32">
        <v>1</v>
      </c>
      <c r="E28" s="32">
        <v>3</v>
      </c>
      <c r="F28" s="32">
        <v>2</v>
      </c>
      <c r="G28" s="32">
        <v>2</v>
      </c>
      <c r="H28" s="32">
        <v>0</v>
      </c>
      <c r="I28" s="138">
        <v>0</v>
      </c>
      <c r="J28" s="138">
        <v>0</v>
      </c>
      <c r="K28" s="32">
        <v>0</v>
      </c>
      <c r="L28" s="32">
        <v>0</v>
      </c>
      <c r="M28" s="32">
        <v>0</v>
      </c>
    </row>
    <row r="29" spans="1:13" x14ac:dyDescent="0.2">
      <c r="A29" s="263"/>
      <c r="B29" s="38" t="s">
        <v>92</v>
      </c>
      <c r="C29" s="33">
        <f t="shared" ref="C29:M29" si="18">C28/C12</f>
        <v>0</v>
      </c>
      <c r="D29" s="33">
        <f t="shared" si="18"/>
        <v>9.0909090909090912E-2</v>
      </c>
      <c r="E29" s="33">
        <f t="shared" si="18"/>
        <v>0.3</v>
      </c>
      <c r="F29" s="33">
        <f t="shared" si="18"/>
        <v>0.14285714285714285</v>
      </c>
      <c r="G29" s="33">
        <f t="shared" si="18"/>
        <v>0.14285714285714285</v>
      </c>
      <c r="H29" s="142" t="e">
        <f t="shared" si="18"/>
        <v>#DIV/0!</v>
      </c>
      <c r="I29" s="150" t="e">
        <f t="shared" si="18"/>
        <v>#DIV/0!</v>
      </c>
      <c r="J29" s="33" t="e">
        <f t="shared" si="18"/>
        <v>#DIV/0!</v>
      </c>
      <c r="K29" s="33" t="e">
        <f t="shared" si="18"/>
        <v>#DIV/0!</v>
      </c>
      <c r="L29" s="33" t="e">
        <f t="shared" si="18"/>
        <v>#DIV/0!</v>
      </c>
      <c r="M29" s="33" t="e">
        <f t="shared" si="18"/>
        <v>#DIV/0!</v>
      </c>
    </row>
    <row r="30" spans="1:13" x14ac:dyDescent="0.2">
      <c r="A30" s="263"/>
      <c r="B30" s="38" t="s">
        <v>93</v>
      </c>
      <c r="C30" s="32">
        <v>0</v>
      </c>
      <c r="D30" s="32">
        <v>3</v>
      </c>
      <c r="E30" s="32">
        <v>4</v>
      </c>
      <c r="F30" s="32">
        <v>4</v>
      </c>
      <c r="G30" s="32">
        <v>5</v>
      </c>
      <c r="H30" s="32">
        <v>0</v>
      </c>
      <c r="I30" s="138">
        <v>0</v>
      </c>
      <c r="J30" s="138">
        <v>0</v>
      </c>
      <c r="K30" s="32">
        <v>0</v>
      </c>
      <c r="L30" s="32">
        <v>0</v>
      </c>
      <c r="M30" s="32">
        <v>0</v>
      </c>
    </row>
    <row r="31" spans="1:13" x14ac:dyDescent="0.2">
      <c r="A31" s="263"/>
      <c r="B31" s="38" t="s">
        <v>94</v>
      </c>
      <c r="C31" s="33">
        <f t="shared" ref="C31:M31" si="19">C30/C12</f>
        <v>0</v>
      </c>
      <c r="D31" s="33">
        <f t="shared" si="19"/>
        <v>0.27272727272727271</v>
      </c>
      <c r="E31" s="33">
        <f t="shared" si="19"/>
        <v>0.4</v>
      </c>
      <c r="F31" s="33">
        <f t="shared" si="19"/>
        <v>0.2857142857142857</v>
      </c>
      <c r="G31" s="33">
        <f t="shared" si="19"/>
        <v>0.35714285714285715</v>
      </c>
      <c r="H31" s="142" t="e">
        <f t="shared" si="19"/>
        <v>#DIV/0!</v>
      </c>
      <c r="I31" s="150" t="e">
        <f t="shared" si="19"/>
        <v>#DIV/0!</v>
      </c>
      <c r="J31" s="33" t="e">
        <f t="shared" si="19"/>
        <v>#DIV/0!</v>
      </c>
      <c r="K31" s="33" t="e">
        <f t="shared" si="19"/>
        <v>#DIV/0!</v>
      </c>
      <c r="L31" s="33" t="e">
        <f t="shared" si="19"/>
        <v>#DIV/0!</v>
      </c>
      <c r="M31" s="33" t="e">
        <f t="shared" si="19"/>
        <v>#DIV/0!</v>
      </c>
    </row>
    <row r="32" spans="1:13" x14ac:dyDescent="0.2">
      <c r="A32" s="263"/>
      <c r="B32" s="38" t="s">
        <v>95</v>
      </c>
      <c r="C32" s="32">
        <v>2</v>
      </c>
      <c r="D32" s="32">
        <v>5</v>
      </c>
      <c r="E32" s="32">
        <v>5</v>
      </c>
      <c r="F32" s="32">
        <v>4</v>
      </c>
      <c r="G32" s="32">
        <v>6</v>
      </c>
      <c r="H32" s="32">
        <v>0</v>
      </c>
      <c r="I32" s="138">
        <v>0</v>
      </c>
      <c r="J32" s="138">
        <v>0</v>
      </c>
      <c r="K32" s="32">
        <v>0</v>
      </c>
      <c r="L32" s="32">
        <v>0</v>
      </c>
      <c r="M32" s="32">
        <v>0</v>
      </c>
    </row>
    <row r="33" spans="1:13" ht="17" thickBot="1" x14ac:dyDescent="0.25">
      <c r="A33" s="264"/>
      <c r="B33" s="39" t="s">
        <v>96</v>
      </c>
      <c r="C33" s="33">
        <f t="shared" ref="C33:M33" si="20">C32/C12</f>
        <v>0.66666666666666663</v>
      </c>
      <c r="D33" s="33">
        <f t="shared" si="20"/>
        <v>0.45454545454545453</v>
      </c>
      <c r="E33" s="33">
        <f t="shared" si="20"/>
        <v>0.5</v>
      </c>
      <c r="F33" s="33">
        <f t="shared" si="20"/>
        <v>0.2857142857142857</v>
      </c>
      <c r="G33" s="33">
        <f t="shared" si="20"/>
        <v>0.42857142857142855</v>
      </c>
      <c r="H33" s="142" t="e">
        <f t="shared" si="20"/>
        <v>#DIV/0!</v>
      </c>
      <c r="I33" s="150" t="e">
        <f t="shared" si="20"/>
        <v>#DIV/0!</v>
      </c>
      <c r="J33" s="33" t="e">
        <f t="shared" si="20"/>
        <v>#DIV/0!</v>
      </c>
      <c r="K33" s="33" t="e">
        <f t="shared" si="20"/>
        <v>#DIV/0!</v>
      </c>
      <c r="L33" s="33" t="e">
        <f t="shared" si="20"/>
        <v>#DIV/0!</v>
      </c>
      <c r="M33" s="33" t="e">
        <f t="shared" si="20"/>
        <v>#DIV/0!</v>
      </c>
    </row>
    <row r="34" spans="1:13" x14ac:dyDescent="0.2">
      <c r="A34" s="262" t="s">
        <v>97</v>
      </c>
      <c r="B34" s="37" t="s">
        <v>98</v>
      </c>
      <c r="C34" s="32">
        <v>7</v>
      </c>
      <c r="D34" s="32">
        <v>32</v>
      </c>
      <c r="E34" s="32">
        <v>25</v>
      </c>
      <c r="F34" s="32">
        <v>18</v>
      </c>
      <c r="G34" s="32">
        <v>26</v>
      </c>
      <c r="H34" s="32">
        <v>0</v>
      </c>
      <c r="I34" s="138">
        <v>0</v>
      </c>
      <c r="J34" s="138">
        <v>0</v>
      </c>
      <c r="K34" s="32">
        <v>0</v>
      </c>
      <c r="L34" s="32">
        <v>0</v>
      </c>
      <c r="M34" s="32">
        <v>0</v>
      </c>
    </row>
    <row r="35" spans="1:13" x14ac:dyDescent="0.2">
      <c r="A35" s="263"/>
      <c r="B35" s="38" t="s">
        <v>99</v>
      </c>
      <c r="C35" s="32">
        <v>2</v>
      </c>
      <c r="D35" s="32">
        <v>11</v>
      </c>
      <c r="E35" s="32">
        <f>SUMIF(F149:F193,"FB",I149:I193)</f>
        <v>0</v>
      </c>
      <c r="F35" s="32">
        <v>6</v>
      </c>
      <c r="G35" s="32">
        <v>12</v>
      </c>
      <c r="H35" s="32">
        <v>0</v>
      </c>
      <c r="I35" s="138">
        <v>0</v>
      </c>
      <c r="J35" s="138">
        <v>0</v>
      </c>
      <c r="K35" s="32">
        <v>0</v>
      </c>
      <c r="L35" s="32">
        <v>0</v>
      </c>
      <c r="M35" s="32">
        <v>0</v>
      </c>
    </row>
    <row r="36" spans="1:13" x14ac:dyDescent="0.2">
      <c r="A36" s="263"/>
      <c r="B36" s="38" t="s">
        <v>100</v>
      </c>
      <c r="C36" s="33">
        <f t="shared" ref="C36:M36" si="21">C34/C6</f>
        <v>0.4375</v>
      </c>
      <c r="D36" s="33">
        <f t="shared" si="21"/>
        <v>0.69565217391304346</v>
      </c>
      <c r="E36" s="33">
        <f t="shared" si="21"/>
        <v>0.55555555555555558</v>
      </c>
      <c r="F36" s="33">
        <f t="shared" si="21"/>
        <v>0.33962264150943394</v>
      </c>
      <c r="G36" s="33">
        <f t="shared" si="21"/>
        <v>0.42622950819672129</v>
      </c>
      <c r="H36" s="142" t="e">
        <f t="shared" si="21"/>
        <v>#DIV/0!</v>
      </c>
      <c r="I36" s="150" t="e">
        <f t="shared" si="21"/>
        <v>#DIV/0!</v>
      </c>
      <c r="J36" s="33" t="e">
        <f t="shared" si="21"/>
        <v>#DIV/0!</v>
      </c>
      <c r="K36" s="33" t="e">
        <f t="shared" si="21"/>
        <v>#DIV/0!</v>
      </c>
      <c r="L36" s="33" t="e">
        <f t="shared" si="21"/>
        <v>#DIV/0!</v>
      </c>
      <c r="M36" s="33" t="e">
        <f t="shared" si="21"/>
        <v>#DIV/0!</v>
      </c>
    </row>
    <row r="37" spans="1:13" x14ac:dyDescent="0.2">
      <c r="A37" s="263"/>
      <c r="B37" s="39" t="s">
        <v>101</v>
      </c>
      <c r="C37" s="33">
        <f t="shared" ref="C37:D37" si="22">C35/C34</f>
        <v>0.2857142857142857</v>
      </c>
      <c r="D37" s="33">
        <f t="shared" si="22"/>
        <v>0.34375</v>
      </c>
      <c r="E37" s="33">
        <f t="shared" ref="E37" si="23">E35/E34</f>
        <v>0</v>
      </c>
      <c r="F37" s="33">
        <f t="shared" ref="F37:G37" si="24">F35/F34</f>
        <v>0.33333333333333331</v>
      </c>
      <c r="G37" s="33">
        <f t="shared" si="24"/>
        <v>0.46153846153846156</v>
      </c>
      <c r="H37" s="142" t="e">
        <f t="shared" ref="H37:M37" si="25">H35/H34</f>
        <v>#DIV/0!</v>
      </c>
      <c r="I37" s="150" t="e">
        <f t="shared" si="25"/>
        <v>#DIV/0!</v>
      </c>
      <c r="J37" s="33" t="e">
        <f t="shared" si="25"/>
        <v>#DIV/0!</v>
      </c>
      <c r="K37" s="33" t="e">
        <f t="shared" si="25"/>
        <v>#DIV/0!</v>
      </c>
      <c r="L37" s="33" t="e">
        <f t="shared" si="25"/>
        <v>#DIV/0!</v>
      </c>
      <c r="M37" s="33" t="e">
        <f t="shared" si="25"/>
        <v>#DIV/0!</v>
      </c>
    </row>
    <row r="38" spans="1:13" x14ac:dyDescent="0.2">
      <c r="A38" s="263"/>
      <c r="B38" s="37" t="s">
        <v>102</v>
      </c>
      <c r="C38" s="32">
        <v>0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138">
        <v>0</v>
      </c>
      <c r="J38" s="138">
        <v>0</v>
      </c>
      <c r="K38" s="32">
        <v>0</v>
      </c>
      <c r="L38" s="32">
        <v>0</v>
      </c>
      <c r="M38" s="32">
        <v>0</v>
      </c>
    </row>
    <row r="39" spans="1:13" x14ac:dyDescent="0.2">
      <c r="A39" s="263"/>
      <c r="B39" s="38" t="s">
        <v>103</v>
      </c>
      <c r="C39" s="32">
        <v>0</v>
      </c>
      <c r="D39" s="32">
        <v>0</v>
      </c>
      <c r="E39" s="32">
        <f>SUMIF(F149:F193,"CB",I149:I193)</f>
        <v>0</v>
      </c>
      <c r="F39" s="32">
        <v>0</v>
      </c>
      <c r="G39" s="32">
        <v>0</v>
      </c>
      <c r="H39" s="32">
        <v>0</v>
      </c>
      <c r="I39" s="138">
        <v>0</v>
      </c>
      <c r="J39" s="138">
        <v>0</v>
      </c>
      <c r="K39" s="32">
        <v>0</v>
      </c>
      <c r="L39" s="32">
        <v>0</v>
      </c>
      <c r="M39" s="32">
        <v>0</v>
      </c>
    </row>
    <row r="40" spans="1:13" x14ac:dyDescent="0.2">
      <c r="A40" s="263"/>
      <c r="B40" s="38" t="s">
        <v>104</v>
      </c>
      <c r="C40" s="33">
        <f t="shared" ref="C40:M40" si="26">C38/C6</f>
        <v>0</v>
      </c>
      <c r="D40" s="33">
        <f t="shared" si="26"/>
        <v>0</v>
      </c>
      <c r="E40" s="33">
        <f t="shared" si="26"/>
        <v>0</v>
      </c>
      <c r="F40" s="33">
        <f t="shared" si="26"/>
        <v>0</v>
      </c>
      <c r="G40" s="33">
        <f t="shared" si="26"/>
        <v>0</v>
      </c>
      <c r="H40" s="142" t="e">
        <f t="shared" si="26"/>
        <v>#DIV/0!</v>
      </c>
      <c r="I40" s="150" t="e">
        <f t="shared" si="26"/>
        <v>#DIV/0!</v>
      </c>
      <c r="J40" s="33" t="e">
        <f t="shared" si="26"/>
        <v>#DIV/0!</v>
      </c>
      <c r="K40" s="33" t="e">
        <f t="shared" si="26"/>
        <v>#DIV/0!</v>
      </c>
      <c r="L40" s="33" t="e">
        <f t="shared" si="26"/>
        <v>#DIV/0!</v>
      </c>
      <c r="M40" s="33" t="e">
        <f t="shared" si="26"/>
        <v>#DIV/0!</v>
      </c>
    </row>
    <row r="41" spans="1:13" x14ac:dyDescent="0.2">
      <c r="A41" s="263"/>
      <c r="B41" s="39" t="s">
        <v>105</v>
      </c>
      <c r="C41" s="33" t="e">
        <f t="shared" ref="C41:D41" si="27">C39/C38</f>
        <v>#DIV/0!</v>
      </c>
      <c r="D41" s="33" t="e">
        <f t="shared" si="27"/>
        <v>#DIV/0!</v>
      </c>
      <c r="E41" s="33" t="e">
        <f t="shared" ref="E41" si="28">E39/E38</f>
        <v>#DIV/0!</v>
      </c>
      <c r="F41" s="33" t="e">
        <f t="shared" ref="F41:G41" si="29">F39/F38</f>
        <v>#DIV/0!</v>
      </c>
      <c r="G41" s="33" t="e">
        <f t="shared" si="29"/>
        <v>#DIV/0!</v>
      </c>
      <c r="H41" s="142" t="e">
        <f t="shared" ref="H41:M41" si="30">H39/H38</f>
        <v>#DIV/0!</v>
      </c>
      <c r="I41" s="150" t="e">
        <f t="shared" si="30"/>
        <v>#DIV/0!</v>
      </c>
      <c r="J41" s="33" t="e">
        <f t="shared" si="30"/>
        <v>#DIV/0!</v>
      </c>
      <c r="K41" s="33" t="e">
        <f t="shared" si="30"/>
        <v>#DIV/0!</v>
      </c>
      <c r="L41" s="33" t="e">
        <f t="shared" si="30"/>
        <v>#DIV/0!</v>
      </c>
      <c r="M41" s="33" t="e">
        <f t="shared" si="30"/>
        <v>#DIV/0!</v>
      </c>
    </row>
    <row r="42" spans="1:13" x14ac:dyDescent="0.2">
      <c r="A42" s="263"/>
      <c r="B42" s="37" t="s">
        <v>106</v>
      </c>
      <c r="C42" s="32">
        <v>0</v>
      </c>
      <c r="D42" s="32">
        <v>0</v>
      </c>
      <c r="E42" s="32">
        <v>0</v>
      </c>
      <c r="F42" s="32">
        <v>6</v>
      </c>
      <c r="G42" s="32">
        <v>6</v>
      </c>
      <c r="H42" s="32">
        <v>0</v>
      </c>
      <c r="I42" s="138">
        <v>0</v>
      </c>
      <c r="J42" s="138">
        <v>0</v>
      </c>
      <c r="K42" s="32">
        <v>0</v>
      </c>
      <c r="L42" s="32">
        <v>0</v>
      </c>
      <c r="M42" s="32">
        <v>0</v>
      </c>
    </row>
    <row r="43" spans="1:13" x14ac:dyDescent="0.2">
      <c r="A43" s="263"/>
      <c r="B43" s="38" t="s">
        <v>107</v>
      </c>
      <c r="C43" s="32">
        <v>0</v>
      </c>
      <c r="D43" s="32">
        <v>0</v>
      </c>
      <c r="E43" s="32">
        <f>SUMIF(F149:F193,"CH",I149:I193)</f>
        <v>0</v>
      </c>
      <c r="F43" s="32">
        <v>2</v>
      </c>
      <c r="G43" s="32">
        <v>2</v>
      </c>
      <c r="H43" s="32">
        <v>0</v>
      </c>
      <c r="I43" s="138">
        <v>0</v>
      </c>
      <c r="J43" s="138">
        <v>0</v>
      </c>
      <c r="K43" s="32">
        <v>0</v>
      </c>
      <c r="L43" s="32">
        <v>0</v>
      </c>
      <c r="M43" s="32">
        <v>0</v>
      </c>
    </row>
    <row r="44" spans="1:13" x14ac:dyDescent="0.2">
      <c r="A44" s="263"/>
      <c r="B44" s="38" t="s">
        <v>108</v>
      </c>
      <c r="C44" s="33">
        <f t="shared" ref="C44:M44" si="31">C42/C6</f>
        <v>0</v>
      </c>
      <c r="D44" s="33">
        <f t="shared" si="31"/>
        <v>0</v>
      </c>
      <c r="E44" s="33">
        <f t="shared" si="31"/>
        <v>0</v>
      </c>
      <c r="F44" s="33">
        <f t="shared" si="31"/>
        <v>0.11320754716981132</v>
      </c>
      <c r="G44" s="33">
        <f t="shared" si="31"/>
        <v>9.8360655737704916E-2</v>
      </c>
      <c r="H44" s="142" t="e">
        <f t="shared" si="31"/>
        <v>#DIV/0!</v>
      </c>
      <c r="I44" s="150" t="e">
        <f t="shared" si="31"/>
        <v>#DIV/0!</v>
      </c>
      <c r="J44" s="33" t="e">
        <f t="shared" si="31"/>
        <v>#DIV/0!</v>
      </c>
      <c r="K44" s="33" t="e">
        <f t="shared" si="31"/>
        <v>#DIV/0!</v>
      </c>
      <c r="L44" s="33" t="e">
        <f t="shared" si="31"/>
        <v>#DIV/0!</v>
      </c>
      <c r="M44" s="33" t="e">
        <f t="shared" si="31"/>
        <v>#DIV/0!</v>
      </c>
    </row>
    <row r="45" spans="1:13" x14ac:dyDescent="0.2">
      <c r="A45" s="263"/>
      <c r="B45" s="39" t="s">
        <v>109</v>
      </c>
      <c r="C45" s="33" t="e">
        <f t="shared" ref="C45:D45" si="32">C43/C42</f>
        <v>#DIV/0!</v>
      </c>
      <c r="D45" s="33" t="e">
        <f t="shared" si="32"/>
        <v>#DIV/0!</v>
      </c>
      <c r="E45" s="33" t="e">
        <f t="shared" ref="E45" si="33">E43/E42</f>
        <v>#DIV/0!</v>
      </c>
      <c r="F45" s="33">
        <f t="shared" ref="F45:G45" si="34">F43/F42</f>
        <v>0.33333333333333331</v>
      </c>
      <c r="G45" s="33">
        <f t="shared" si="34"/>
        <v>0.33333333333333331</v>
      </c>
      <c r="H45" s="142" t="e">
        <f t="shared" ref="H45:M45" si="35">H43/H42</f>
        <v>#DIV/0!</v>
      </c>
      <c r="I45" s="150" t="e">
        <f t="shared" si="35"/>
        <v>#DIV/0!</v>
      </c>
      <c r="J45" s="33" t="e">
        <f t="shared" si="35"/>
        <v>#DIV/0!</v>
      </c>
      <c r="K45" s="33" t="e">
        <f t="shared" si="35"/>
        <v>#DIV/0!</v>
      </c>
      <c r="L45" s="33" t="e">
        <f t="shared" si="35"/>
        <v>#DIV/0!</v>
      </c>
      <c r="M45" s="33" t="e">
        <f t="shared" si="35"/>
        <v>#DIV/0!</v>
      </c>
    </row>
    <row r="46" spans="1:13" x14ac:dyDescent="0.2">
      <c r="A46" s="263"/>
      <c r="B46" s="37" t="s">
        <v>110</v>
      </c>
      <c r="C46" s="32">
        <v>9</v>
      </c>
      <c r="D46" s="32">
        <v>14</v>
      </c>
      <c r="E46" s="32">
        <v>20</v>
      </c>
      <c r="F46" s="32">
        <v>29</v>
      </c>
      <c r="G46" s="32">
        <v>29</v>
      </c>
      <c r="H46" s="32">
        <v>0</v>
      </c>
      <c r="I46" s="138">
        <v>0</v>
      </c>
      <c r="J46" s="138">
        <v>0</v>
      </c>
      <c r="K46" s="32">
        <v>0</v>
      </c>
      <c r="L46" s="32">
        <v>0</v>
      </c>
      <c r="M46" s="32">
        <v>0</v>
      </c>
    </row>
    <row r="47" spans="1:13" x14ac:dyDescent="0.2">
      <c r="A47" s="263"/>
      <c r="B47" s="38" t="s">
        <v>111</v>
      </c>
      <c r="C47" s="32">
        <v>3</v>
      </c>
      <c r="D47" s="32">
        <v>6</v>
      </c>
      <c r="E47" s="32">
        <f>SUMIF(F149:F193,"SL",I149:I193)</f>
        <v>0</v>
      </c>
      <c r="F47" s="32">
        <v>17</v>
      </c>
      <c r="G47" s="32">
        <v>13</v>
      </c>
      <c r="H47" s="32">
        <v>0</v>
      </c>
      <c r="I47" s="138">
        <v>0</v>
      </c>
      <c r="J47" s="138">
        <v>0</v>
      </c>
      <c r="K47" s="32">
        <v>0</v>
      </c>
      <c r="L47" s="32">
        <v>0</v>
      </c>
      <c r="M47" s="32">
        <v>0</v>
      </c>
    </row>
    <row r="48" spans="1:13" x14ac:dyDescent="0.2">
      <c r="A48" s="263"/>
      <c r="B48" s="38" t="s">
        <v>112</v>
      </c>
      <c r="C48" s="33">
        <f t="shared" ref="C48:M48" si="36">C46/C6</f>
        <v>0.5625</v>
      </c>
      <c r="D48" s="33">
        <f t="shared" si="36"/>
        <v>0.30434782608695654</v>
      </c>
      <c r="E48" s="33">
        <f t="shared" si="36"/>
        <v>0.44444444444444442</v>
      </c>
      <c r="F48" s="33">
        <f t="shared" si="36"/>
        <v>0.54716981132075471</v>
      </c>
      <c r="G48" s="33">
        <f t="shared" si="36"/>
        <v>0.47540983606557374</v>
      </c>
      <c r="H48" s="142" t="e">
        <f t="shared" si="36"/>
        <v>#DIV/0!</v>
      </c>
      <c r="I48" s="150" t="e">
        <f t="shared" si="36"/>
        <v>#DIV/0!</v>
      </c>
      <c r="J48" s="33" t="e">
        <f t="shared" si="36"/>
        <v>#DIV/0!</v>
      </c>
      <c r="K48" s="33" t="e">
        <f t="shared" si="36"/>
        <v>#DIV/0!</v>
      </c>
      <c r="L48" s="33" t="e">
        <f t="shared" si="36"/>
        <v>#DIV/0!</v>
      </c>
      <c r="M48" s="33" t="e">
        <f t="shared" si="36"/>
        <v>#DIV/0!</v>
      </c>
    </row>
    <row r="49" spans="1:17" ht="17" thickBot="1" x14ac:dyDescent="0.25">
      <c r="A49" s="264"/>
      <c r="B49" s="39" t="s">
        <v>113</v>
      </c>
      <c r="C49" s="33">
        <f t="shared" ref="C49:D49" si="37">C47/C46</f>
        <v>0.33333333333333331</v>
      </c>
      <c r="D49" s="33">
        <f t="shared" si="37"/>
        <v>0.42857142857142855</v>
      </c>
      <c r="E49" s="33">
        <f t="shared" ref="E49" si="38">E47/E46</f>
        <v>0</v>
      </c>
      <c r="F49" s="33">
        <f t="shared" ref="F49:G49" si="39">F47/F46</f>
        <v>0.58620689655172409</v>
      </c>
      <c r="G49" s="33">
        <f t="shared" si="39"/>
        <v>0.44827586206896552</v>
      </c>
      <c r="H49" s="142" t="e">
        <f t="shared" ref="H49:M49" si="40">H47/H46</f>
        <v>#DIV/0!</v>
      </c>
      <c r="I49" s="150" t="e">
        <f t="shared" si="40"/>
        <v>#DIV/0!</v>
      </c>
      <c r="J49" s="33" t="e">
        <f t="shared" si="40"/>
        <v>#DIV/0!</v>
      </c>
      <c r="K49" s="33" t="e">
        <f t="shared" si="40"/>
        <v>#DIV/0!</v>
      </c>
      <c r="L49" s="33" t="e">
        <f t="shared" si="40"/>
        <v>#DIV/0!</v>
      </c>
      <c r="M49" s="33" t="e">
        <f t="shared" si="40"/>
        <v>#DIV/0!</v>
      </c>
    </row>
    <row r="50" spans="1:17" x14ac:dyDescent="0.2">
      <c r="A50" s="262" t="s">
        <v>114</v>
      </c>
      <c r="B50" s="37" t="s">
        <v>115</v>
      </c>
      <c r="C50" s="32">
        <v>2</v>
      </c>
      <c r="D50" s="32">
        <v>9</v>
      </c>
      <c r="E50" s="32">
        <v>10</v>
      </c>
      <c r="F50" s="32">
        <v>6</v>
      </c>
      <c r="G50" s="32">
        <v>11</v>
      </c>
      <c r="H50" s="32">
        <v>0</v>
      </c>
      <c r="I50" s="138">
        <v>0</v>
      </c>
      <c r="J50" s="138">
        <v>0</v>
      </c>
      <c r="K50" s="32">
        <v>0</v>
      </c>
      <c r="L50" s="32">
        <v>0</v>
      </c>
      <c r="M50" s="32">
        <v>0</v>
      </c>
    </row>
    <row r="51" spans="1:17" x14ac:dyDescent="0.2">
      <c r="A51" s="263"/>
      <c r="B51" s="38" t="s">
        <v>116</v>
      </c>
      <c r="C51" s="32">
        <v>0</v>
      </c>
      <c r="D51" s="32">
        <v>1</v>
      </c>
      <c r="E51" s="32">
        <v>2</v>
      </c>
      <c r="F51" s="32">
        <v>2</v>
      </c>
      <c r="G51" s="32">
        <v>1</v>
      </c>
      <c r="H51" s="32">
        <v>0</v>
      </c>
      <c r="I51" s="138">
        <v>0</v>
      </c>
      <c r="J51" s="138">
        <v>0</v>
      </c>
      <c r="K51" s="32">
        <v>0</v>
      </c>
      <c r="L51" s="32">
        <v>0</v>
      </c>
      <c r="M51" s="32">
        <v>0</v>
      </c>
    </row>
    <row r="52" spans="1:17" x14ac:dyDescent="0.2">
      <c r="A52" s="263"/>
      <c r="B52" s="38" t="s">
        <v>117</v>
      </c>
      <c r="C52" s="33">
        <f t="shared" ref="C52:D52" si="41">C51/C50</f>
        <v>0</v>
      </c>
      <c r="D52" s="33">
        <f t="shared" si="41"/>
        <v>0.1111111111111111</v>
      </c>
      <c r="E52" s="33">
        <f t="shared" ref="E52" si="42">E51/E50</f>
        <v>0.2</v>
      </c>
      <c r="F52" s="33">
        <f t="shared" ref="F52:G52" si="43">F51/F50</f>
        <v>0.33333333333333331</v>
      </c>
      <c r="G52" s="33">
        <f t="shared" si="43"/>
        <v>9.0909090909090912E-2</v>
      </c>
      <c r="H52" s="142" t="e">
        <f t="shared" ref="H52:M52" si="44">H51/H50</f>
        <v>#DIV/0!</v>
      </c>
      <c r="I52" s="150" t="e">
        <f t="shared" si="44"/>
        <v>#DIV/0!</v>
      </c>
      <c r="J52" s="33" t="e">
        <f t="shared" si="44"/>
        <v>#DIV/0!</v>
      </c>
      <c r="K52" s="33" t="e">
        <f t="shared" si="44"/>
        <v>#DIV/0!</v>
      </c>
      <c r="L52" s="33" t="e">
        <f t="shared" si="44"/>
        <v>#DIV/0!</v>
      </c>
      <c r="M52" s="33" t="e">
        <f t="shared" si="44"/>
        <v>#DIV/0!</v>
      </c>
    </row>
    <row r="53" spans="1:17" x14ac:dyDescent="0.2">
      <c r="A53" s="263"/>
      <c r="B53" s="38" t="s">
        <v>118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34">
        <v>0</v>
      </c>
      <c r="I53" s="139">
        <v>0</v>
      </c>
      <c r="J53" s="139">
        <v>0</v>
      </c>
      <c r="K53" s="34">
        <v>0</v>
      </c>
      <c r="L53" s="34">
        <v>0</v>
      </c>
      <c r="M53" s="34">
        <v>0</v>
      </c>
    </row>
    <row r="54" spans="1:17" x14ac:dyDescent="0.2">
      <c r="A54" s="263"/>
      <c r="B54" s="38" t="s">
        <v>119</v>
      </c>
      <c r="C54" s="32">
        <v>0</v>
      </c>
      <c r="D54" s="32">
        <v>0</v>
      </c>
      <c r="E54" s="32">
        <v>0</v>
      </c>
      <c r="F54" s="32">
        <v>0</v>
      </c>
      <c r="G54" s="32">
        <v>0</v>
      </c>
      <c r="H54" s="32">
        <v>0</v>
      </c>
      <c r="I54" s="138">
        <v>0</v>
      </c>
      <c r="J54" s="138">
        <v>0</v>
      </c>
      <c r="K54" s="32">
        <v>0</v>
      </c>
      <c r="L54" s="32">
        <v>0</v>
      </c>
      <c r="M54" s="32">
        <v>0</v>
      </c>
    </row>
    <row r="55" spans="1:17" x14ac:dyDescent="0.2">
      <c r="A55" s="263"/>
      <c r="B55" s="38" t="s">
        <v>120</v>
      </c>
      <c r="C55" s="33" t="e">
        <f t="shared" ref="C55:D55" si="45">C54/C53</f>
        <v>#DIV/0!</v>
      </c>
      <c r="D55" s="33" t="e">
        <f t="shared" si="45"/>
        <v>#DIV/0!</v>
      </c>
      <c r="E55" s="33" t="e">
        <f t="shared" ref="E55" si="46">E54/E53</f>
        <v>#DIV/0!</v>
      </c>
      <c r="F55" s="33" t="e">
        <f t="shared" ref="F55:G55" si="47">F54/F53</f>
        <v>#DIV/0!</v>
      </c>
      <c r="G55" s="33" t="e">
        <f t="shared" si="47"/>
        <v>#DIV/0!</v>
      </c>
      <c r="H55" s="142" t="e">
        <f t="shared" ref="H55:M55" si="48">H54/H53</f>
        <v>#DIV/0!</v>
      </c>
      <c r="I55" s="150" t="e">
        <f t="shared" si="48"/>
        <v>#DIV/0!</v>
      </c>
      <c r="J55" s="33" t="e">
        <f t="shared" si="48"/>
        <v>#DIV/0!</v>
      </c>
      <c r="K55" s="33" t="e">
        <f t="shared" si="48"/>
        <v>#DIV/0!</v>
      </c>
      <c r="L55" s="33" t="e">
        <f t="shared" si="48"/>
        <v>#DIV/0!</v>
      </c>
      <c r="M55" s="33" t="e">
        <f t="shared" si="48"/>
        <v>#DIV/0!</v>
      </c>
    </row>
    <row r="56" spans="1:17" x14ac:dyDescent="0.2">
      <c r="A56" s="263"/>
      <c r="B56" s="38" t="s">
        <v>121</v>
      </c>
      <c r="C56" s="32">
        <v>0</v>
      </c>
      <c r="D56" s="32">
        <v>0</v>
      </c>
      <c r="E56" s="32">
        <v>0</v>
      </c>
      <c r="F56" s="32">
        <v>2</v>
      </c>
      <c r="G56" s="32">
        <v>2</v>
      </c>
      <c r="H56" s="32">
        <v>0</v>
      </c>
      <c r="I56" s="138">
        <v>0</v>
      </c>
      <c r="J56" s="138">
        <v>0</v>
      </c>
      <c r="K56" s="32">
        <v>0</v>
      </c>
      <c r="L56" s="32">
        <v>0</v>
      </c>
      <c r="M56" s="32">
        <v>0</v>
      </c>
    </row>
    <row r="57" spans="1:17" x14ac:dyDescent="0.2">
      <c r="A57" s="263"/>
      <c r="B57" s="38" t="s">
        <v>122</v>
      </c>
      <c r="C57" s="32">
        <v>0</v>
      </c>
      <c r="D57" s="32">
        <v>0</v>
      </c>
      <c r="E57" s="32">
        <v>0</v>
      </c>
      <c r="F57" s="32">
        <v>2</v>
      </c>
      <c r="G57" s="32">
        <v>1</v>
      </c>
      <c r="H57" s="32">
        <v>0</v>
      </c>
      <c r="I57" s="138">
        <v>0</v>
      </c>
      <c r="J57" s="138">
        <v>0</v>
      </c>
      <c r="K57" s="32">
        <v>0</v>
      </c>
      <c r="L57" s="32">
        <v>0</v>
      </c>
      <c r="M57" s="32">
        <v>0</v>
      </c>
    </row>
    <row r="58" spans="1:17" x14ac:dyDescent="0.2">
      <c r="A58" s="263"/>
      <c r="B58" s="40" t="s">
        <v>123</v>
      </c>
      <c r="C58" s="33" t="e">
        <f t="shared" ref="C58:D58" si="49">C57/C56</f>
        <v>#DIV/0!</v>
      </c>
      <c r="D58" s="33" t="e">
        <f t="shared" si="49"/>
        <v>#DIV/0!</v>
      </c>
      <c r="E58" s="33" t="e">
        <f t="shared" ref="E58" si="50">E57/E56</f>
        <v>#DIV/0!</v>
      </c>
      <c r="F58" s="33">
        <f t="shared" ref="F58:G58" si="51">F57/F56</f>
        <v>1</v>
      </c>
      <c r="G58" s="33">
        <f t="shared" si="51"/>
        <v>0.5</v>
      </c>
      <c r="H58" s="142" t="e">
        <f t="shared" ref="H58:M58" si="52">H57/H56</f>
        <v>#DIV/0!</v>
      </c>
      <c r="I58" s="150" t="e">
        <f t="shared" si="52"/>
        <v>#DIV/0!</v>
      </c>
      <c r="J58" s="33" t="e">
        <f t="shared" si="52"/>
        <v>#DIV/0!</v>
      </c>
      <c r="K58" s="33" t="e">
        <f t="shared" si="52"/>
        <v>#DIV/0!</v>
      </c>
      <c r="L58" s="33" t="e">
        <f t="shared" si="52"/>
        <v>#DIV/0!</v>
      </c>
      <c r="M58" s="33" t="e">
        <f t="shared" si="52"/>
        <v>#DIV/0!</v>
      </c>
    </row>
    <row r="59" spans="1:17" x14ac:dyDescent="0.2">
      <c r="A59" s="263"/>
      <c r="B59" s="38" t="s">
        <v>124</v>
      </c>
      <c r="C59" s="32">
        <v>2</v>
      </c>
      <c r="D59" s="32">
        <v>6</v>
      </c>
      <c r="E59" s="32">
        <v>9</v>
      </c>
      <c r="F59" s="32">
        <v>11</v>
      </c>
      <c r="G59" s="32">
        <v>10</v>
      </c>
      <c r="H59" s="32">
        <v>0</v>
      </c>
      <c r="I59" s="138">
        <v>0</v>
      </c>
      <c r="J59" s="138">
        <v>0</v>
      </c>
      <c r="K59" s="32">
        <v>0</v>
      </c>
      <c r="L59" s="32">
        <v>0</v>
      </c>
      <c r="M59" s="32">
        <v>0</v>
      </c>
    </row>
    <row r="60" spans="1:17" x14ac:dyDescent="0.2">
      <c r="A60" s="263"/>
      <c r="B60" s="38" t="s">
        <v>125</v>
      </c>
      <c r="C60" s="32">
        <v>1</v>
      </c>
      <c r="D60" s="32">
        <v>2</v>
      </c>
      <c r="E60" s="32">
        <v>3</v>
      </c>
      <c r="F60" s="32">
        <v>4</v>
      </c>
      <c r="G60" s="32">
        <v>5</v>
      </c>
      <c r="H60" s="32">
        <v>0</v>
      </c>
      <c r="I60" s="138">
        <v>0</v>
      </c>
      <c r="J60" s="138">
        <v>0</v>
      </c>
      <c r="K60" s="32">
        <v>0</v>
      </c>
      <c r="L60" s="32">
        <v>0</v>
      </c>
      <c r="M60" s="32">
        <v>0</v>
      </c>
    </row>
    <row r="61" spans="1:17" ht="17" thickBot="1" x14ac:dyDescent="0.25">
      <c r="A61" s="264"/>
      <c r="B61" s="41" t="s">
        <v>126</v>
      </c>
      <c r="C61" s="33">
        <f t="shared" ref="C61:D61" si="53">C60/C59</f>
        <v>0.5</v>
      </c>
      <c r="D61" s="33">
        <f t="shared" si="53"/>
        <v>0.33333333333333331</v>
      </c>
      <c r="E61" s="33">
        <f t="shared" ref="E61" si="54">E60/E59</f>
        <v>0.33333333333333331</v>
      </c>
      <c r="F61" s="33">
        <f t="shared" ref="F61:G61" si="55">F60/F59</f>
        <v>0.36363636363636365</v>
      </c>
      <c r="G61" s="33">
        <f t="shared" si="55"/>
        <v>0.5</v>
      </c>
      <c r="H61" s="142" t="e">
        <f t="shared" ref="H61:M61" si="56">H60/H59</f>
        <v>#DIV/0!</v>
      </c>
      <c r="I61" s="150" t="e">
        <f t="shared" si="56"/>
        <v>#DIV/0!</v>
      </c>
      <c r="J61" s="33" t="e">
        <f t="shared" si="56"/>
        <v>#DIV/0!</v>
      </c>
      <c r="K61" s="33" t="e">
        <f t="shared" si="56"/>
        <v>#DIV/0!</v>
      </c>
      <c r="L61" s="33" t="e">
        <f t="shared" si="56"/>
        <v>#DIV/0!</v>
      </c>
      <c r="M61" s="33" t="e">
        <f t="shared" si="56"/>
        <v>#DIV/0!</v>
      </c>
    </row>
    <row r="62" spans="1:17" s="92" customFormat="1" ht="18" customHeight="1" x14ac:dyDescent="0.2">
      <c r="A62" s="262" t="s">
        <v>216</v>
      </c>
      <c r="B62" s="210" t="s">
        <v>204</v>
      </c>
      <c r="C62" s="183">
        <f>AVERAGEIFS($F$86:$F$404,$B$86:$B$404,C$3,$E$86:$E$404,"FB")</f>
        <v>77.045180783571439</v>
      </c>
      <c r="D62" s="183">
        <f t="shared" ref="D62:J62" si="57">AVERAGEIFS($F$86:$F$404,$B$86:$B$404,D$3,$E$86:$E$404,"FB")</f>
        <v>77.867536466750011</v>
      </c>
      <c r="E62" s="183">
        <f t="shared" si="57"/>
        <v>75.799644531999988</v>
      </c>
      <c r="F62" s="183">
        <f t="shared" si="57"/>
        <v>76.034280894444436</v>
      </c>
      <c r="G62" s="183">
        <f t="shared" si="57"/>
        <v>74.99939888246152</v>
      </c>
      <c r="H62" s="183" t="e">
        <f t="shared" si="57"/>
        <v>#DIV/0!</v>
      </c>
      <c r="I62" s="183" t="e">
        <f t="shared" si="57"/>
        <v>#DIV/0!</v>
      </c>
      <c r="J62" s="190" t="e">
        <f t="shared" si="57"/>
        <v>#DIV/0!</v>
      </c>
      <c r="K62" s="194">
        <f>AVERAGEIFS(F86:F404, E86:E404,"FB")</f>
        <v>76.339536784861082</v>
      </c>
      <c r="L62" s="192"/>
      <c r="M62" s="184"/>
      <c r="Q62" s="180"/>
    </row>
    <row r="63" spans="1:17" s="92" customFormat="1" ht="18" customHeight="1" x14ac:dyDescent="0.2">
      <c r="A63" s="263"/>
      <c r="B63" s="211" t="s">
        <v>208</v>
      </c>
      <c r="C63" s="183">
        <f>_xlfn.MINIFS($F$86:$F$404,$B$86:$B$404,C$3,$E$86:$E$404,"FB")</f>
        <v>75.652280746000002</v>
      </c>
      <c r="D63" s="183">
        <f t="shared" ref="D63:J63" si="58">_xlfn.MINIFS($F$86:$F$404,$B$86:$B$404,D$3,$E$86:$E$404,"FB")</f>
        <v>76.208073890999998</v>
      </c>
      <c r="E63" s="183">
        <f t="shared" si="58"/>
        <v>72.539799000000002</v>
      </c>
      <c r="F63" s="183">
        <f t="shared" si="58"/>
        <v>74.572440799999995</v>
      </c>
      <c r="G63" s="183">
        <f t="shared" si="58"/>
        <v>72.385227888000003</v>
      </c>
      <c r="H63" s="183">
        <f t="shared" si="58"/>
        <v>0</v>
      </c>
      <c r="I63" s="183">
        <f t="shared" si="58"/>
        <v>0</v>
      </c>
      <c r="J63" s="190">
        <f t="shared" si="58"/>
        <v>0</v>
      </c>
      <c r="K63" s="195">
        <f>_xlfn.MINIFS(F86:F404, E86:E404,"FB")</f>
        <v>72.385227888000003</v>
      </c>
      <c r="L63" s="192"/>
      <c r="M63" s="184"/>
      <c r="Q63" s="180"/>
    </row>
    <row r="64" spans="1:17" s="92" customFormat="1" ht="18" customHeight="1" x14ac:dyDescent="0.2">
      <c r="A64" s="263"/>
      <c r="B64" s="211" t="s">
        <v>205</v>
      </c>
      <c r="C64" s="183">
        <f>_xlfn.MAXIFS($F$86:$F$404,$B$86:$B$404,C$3,$E$86:$E$404,"FB")</f>
        <v>78.193074749999994</v>
      </c>
      <c r="D64" s="183">
        <f t="shared" ref="D64:J64" si="59">_xlfn.MAXIFS($F$86:$F$404,$B$86:$B$404,D$3,$E$86:$E$404,"FB")</f>
        <v>79.781075392999995</v>
      </c>
      <c r="E64" s="183">
        <f t="shared" si="59"/>
        <v>78.002519100000001</v>
      </c>
      <c r="F64" s="183">
        <f t="shared" si="59"/>
        <v>77.303801000000007</v>
      </c>
      <c r="G64" s="183">
        <f t="shared" si="59"/>
        <v>77.501131837000003</v>
      </c>
      <c r="H64" s="183">
        <f t="shared" si="59"/>
        <v>0</v>
      </c>
      <c r="I64" s="183">
        <f t="shared" si="59"/>
        <v>0</v>
      </c>
      <c r="J64" s="190">
        <f t="shared" si="59"/>
        <v>0</v>
      </c>
      <c r="K64" s="195">
        <f>_xlfn.MAXIFS(F86:F404, E86:E404,"FB")</f>
        <v>79.781075392999995</v>
      </c>
      <c r="L64" s="192"/>
      <c r="M64" s="184"/>
      <c r="Q64" s="180"/>
    </row>
    <row r="65" spans="1:17" s="92" customFormat="1" ht="18" customHeight="1" thickBot="1" x14ac:dyDescent="0.25">
      <c r="A65" s="263"/>
      <c r="B65" s="211" t="s">
        <v>211</v>
      </c>
      <c r="C65" s="189">
        <f>AVERAGEIFS($G$86:$G$404,$B$86:$B$404,C$3,$E$86:$E$404,"FB")</f>
        <v>2000.6698300000003</v>
      </c>
      <c r="D65" s="189">
        <f t="shared" ref="D65:J65" si="60">AVERAGEIFS($G$86:$G$404,$B$86:$B$404,D$3,$E$86:$E$404,"FB")</f>
        <v>1979.7661298437504</v>
      </c>
      <c r="E65" s="189">
        <f t="shared" si="60"/>
        <v>1961.0502116000002</v>
      </c>
      <c r="F65" s="189">
        <f t="shared" si="60"/>
        <v>1835.2327131111113</v>
      </c>
      <c r="G65" s="189">
        <f t="shared" si="60"/>
        <v>1936.764165</v>
      </c>
      <c r="H65" s="189" t="e">
        <f t="shared" si="60"/>
        <v>#DIV/0!</v>
      </c>
      <c r="I65" s="189" t="e">
        <f t="shared" si="60"/>
        <v>#DIV/0!</v>
      </c>
      <c r="J65" s="191" t="e">
        <f t="shared" si="60"/>
        <v>#DIV/0!</v>
      </c>
      <c r="K65" s="236">
        <f>AVERAGEIFS(G86:G404, E86:E404,"FB")</f>
        <v>1942.3473831574086</v>
      </c>
      <c r="L65" s="192"/>
      <c r="M65" s="184"/>
      <c r="Q65" s="180"/>
    </row>
    <row r="66" spans="1:17" s="92" customFormat="1" ht="18" customHeight="1" x14ac:dyDescent="0.2">
      <c r="A66" s="263"/>
      <c r="B66" s="212" t="s">
        <v>206</v>
      </c>
      <c r="C66" s="183">
        <f>AVERAGEIFS($F$86:$F$404,$B$86:$B$404,C$3,$E$86:$E$404,"SL")</f>
        <v>72.518627989111096</v>
      </c>
      <c r="D66" s="183">
        <f t="shared" ref="D66:J66" si="61">AVERAGEIFS($F$86:$F$404,$B$86:$B$404,D$3,$E$86:$E$404,"SL")</f>
        <v>73.535701681000006</v>
      </c>
      <c r="E66" s="183">
        <f t="shared" si="61"/>
        <v>72.463574860000023</v>
      </c>
      <c r="F66" s="183">
        <f t="shared" si="61"/>
        <v>71.05693762413793</v>
      </c>
      <c r="G66" s="183">
        <f t="shared" si="61"/>
        <v>70.736175824068965</v>
      </c>
      <c r="H66" s="183" t="e">
        <f t="shared" si="61"/>
        <v>#DIV/0!</v>
      </c>
      <c r="I66" s="183" t="e">
        <f t="shared" si="61"/>
        <v>#DIV/0!</v>
      </c>
      <c r="J66" s="190" t="e">
        <f t="shared" si="61"/>
        <v>#DIV/0!</v>
      </c>
      <c r="K66" s="194">
        <f>AVERAGEIFS(F86:F404, E86:E404,"SL")</f>
        <v>71.717220422118828</v>
      </c>
      <c r="L66" s="192"/>
      <c r="M66" s="184"/>
      <c r="Q66" s="180"/>
    </row>
    <row r="67" spans="1:17" s="92" customFormat="1" ht="18" customHeight="1" x14ac:dyDescent="0.2">
      <c r="A67" s="263"/>
      <c r="B67" s="212" t="s">
        <v>209</v>
      </c>
      <c r="C67" s="183">
        <f>_xlfn.MINIFS($F$86:$F$404,$B$86:$B$404,C$3,$E$86:$E$404,"SL")</f>
        <v>70.475400605000004</v>
      </c>
      <c r="D67" s="183">
        <f t="shared" ref="D67:J67" si="62">_xlfn.MINIFS($F$86:$F$404,$B$86:$B$404,D$3,$E$86:$E$404,"SL")</f>
        <v>71.76167907</v>
      </c>
      <c r="E67" s="183">
        <f t="shared" si="62"/>
        <v>69.983122600000002</v>
      </c>
      <c r="F67" s="183">
        <f t="shared" si="62"/>
        <v>69.236763499999995</v>
      </c>
      <c r="G67" s="183">
        <f t="shared" si="62"/>
        <v>68.508584245999998</v>
      </c>
      <c r="H67" s="183">
        <f t="shared" si="62"/>
        <v>0</v>
      </c>
      <c r="I67" s="183">
        <f t="shared" si="62"/>
        <v>0</v>
      </c>
      <c r="J67" s="190">
        <f t="shared" si="62"/>
        <v>0</v>
      </c>
      <c r="K67" s="195">
        <f>_xlfn.MINIFS(F86:F404, E86:E404,"SL")</f>
        <v>68.508584245999998</v>
      </c>
      <c r="L67" s="192"/>
      <c r="M67" s="184"/>
      <c r="Q67" s="180"/>
    </row>
    <row r="68" spans="1:17" s="92" customFormat="1" ht="18" customHeight="1" x14ac:dyDescent="0.2">
      <c r="A68" s="263"/>
      <c r="B68" s="212" t="s">
        <v>207</v>
      </c>
      <c r="C68" s="183">
        <f>_xlfn.MAXIFS($F$86:$F$404,$B$86:$B$404,C$3,$E$86:$E$404,"SL")</f>
        <v>74.254842444000005</v>
      </c>
      <c r="D68" s="183">
        <f t="shared" ref="D68:J68" si="63">_xlfn.MAXIFS($F$86:$F$404,$B$86:$B$404,D$3,$E$86:$E$404,"SL")</f>
        <v>75.207637594999994</v>
      </c>
      <c r="E68" s="183">
        <f t="shared" si="63"/>
        <v>74.381876700000007</v>
      </c>
      <c r="F68" s="183">
        <f t="shared" si="63"/>
        <v>72.539799000000002</v>
      </c>
      <c r="G68" s="183">
        <f t="shared" si="63"/>
        <v>73.767475157999996</v>
      </c>
      <c r="H68" s="183">
        <f t="shared" si="63"/>
        <v>0</v>
      </c>
      <c r="I68" s="183">
        <f t="shared" si="63"/>
        <v>0</v>
      </c>
      <c r="J68" s="190">
        <f t="shared" si="63"/>
        <v>0</v>
      </c>
      <c r="K68" s="195">
        <f>_xlfn.MAXIFS(F86:F404, E86:E404,"SL")</f>
        <v>75.207637594999994</v>
      </c>
      <c r="L68" s="192"/>
      <c r="M68" s="184"/>
      <c r="Q68" s="180"/>
    </row>
    <row r="69" spans="1:17" s="92" customFormat="1" ht="18" customHeight="1" thickBot="1" x14ac:dyDescent="0.25">
      <c r="A69" s="263"/>
      <c r="B69" s="212" t="s">
        <v>212</v>
      </c>
      <c r="C69" s="189">
        <f>AVERAGEIFS($G$86:$G$404,$B$86:$B$404,C$3,$E$86:$E$404,"SL")</f>
        <v>1711.5562957777774</v>
      </c>
      <c r="D69" s="189">
        <f t="shared" ref="D69:J69" si="64">AVERAGEIFS($G$86:$G$404,$B$86:$B$404,D$3,$E$86:$E$404,"SL")</f>
        <v>2086.2052757142856</v>
      </c>
      <c r="E69" s="189">
        <f t="shared" si="64"/>
        <v>1602.5233992999997</v>
      </c>
      <c r="F69" s="189">
        <f t="shared" si="64"/>
        <v>1966.2419738275862</v>
      </c>
      <c r="G69" s="189">
        <f t="shared" si="64"/>
        <v>1857.6706530344834</v>
      </c>
      <c r="H69" s="189" t="e">
        <f t="shared" si="64"/>
        <v>#DIV/0!</v>
      </c>
      <c r="I69" s="189" t="e">
        <f t="shared" si="64"/>
        <v>#DIV/0!</v>
      </c>
      <c r="J69" s="191" t="e">
        <f t="shared" si="64"/>
        <v>#DIV/0!</v>
      </c>
      <c r="K69" s="236">
        <f>AVERAGEIFS(G86:G404, E86:E404,"SL")</f>
        <v>1856.9783632376225</v>
      </c>
      <c r="L69" s="192"/>
      <c r="M69" s="184"/>
      <c r="Q69" s="180"/>
    </row>
    <row r="70" spans="1:17" s="92" customFormat="1" ht="18" customHeight="1" x14ac:dyDescent="0.2">
      <c r="A70" s="263"/>
      <c r="B70" s="213" t="s">
        <v>222</v>
      </c>
      <c r="C70" s="183" t="e">
        <f>AVERAGEIFS($F$86:$F$404,$B$86:$B$404,C$3,$E$86:$E$404,"CT")</f>
        <v>#DIV/0!</v>
      </c>
      <c r="D70" s="183" t="e">
        <f t="shared" ref="D70:J70" si="65">AVERAGEIFS($F$86:$F$404,$B$86:$B$404,D$3,$E$86:$E$404,"CT")</f>
        <v>#DIV/0!</v>
      </c>
      <c r="E70" s="183" t="e">
        <f t="shared" si="65"/>
        <v>#DIV/0!</v>
      </c>
      <c r="F70" s="183" t="e">
        <f t="shared" si="65"/>
        <v>#DIV/0!</v>
      </c>
      <c r="G70" s="183" t="e">
        <f t="shared" si="65"/>
        <v>#DIV/0!</v>
      </c>
      <c r="H70" s="183" t="e">
        <f t="shared" si="65"/>
        <v>#DIV/0!</v>
      </c>
      <c r="I70" s="183" t="e">
        <f t="shared" si="65"/>
        <v>#DIV/0!</v>
      </c>
      <c r="J70" s="190" t="e">
        <f t="shared" si="65"/>
        <v>#DIV/0!</v>
      </c>
      <c r="K70" s="194" t="e">
        <f>AVERAGEIFS(F86:F404, E86:E404,"CT")</f>
        <v>#DIV/0!</v>
      </c>
      <c r="L70" s="192"/>
      <c r="M70" s="184"/>
      <c r="Q70" s="180"/>
    </row>
    <row r="71" spans="1:17" s="92" customFormat="1" ht="18" customHeight="1" x14ac:dyDescent="0.2">
      <c r="A71" s="263"/>
      <c r="B71" s="213" t="s">
        <v>223</v>
      </c>
      <c r="C71" s="183">
        <f>_xlfn.MINIFS($F$86:$F$404,$B$86:$B$404,C$3,$E$86:$E$404,"CT")</f>
        <v>0</v>
      </c>
      <c r="D71" s="183">
        <f t="shared" ref="D71:J71" si="66">_xlfn.MINIFS($F$86:$F$404,$B$86:$B$404,D$3,$E$86:$E$404,"CT")</f>
        <v>0</v>
      </c>
      <c r="E71" s="183">
        <f t="shared" si="66"/>
        <v>0</v>
      </c>
      <c r="F71" s="183">
        <f t="shared" si="66"/>
        <v>0</v>
      </c>
      <c r="G71" s="183">
        <f t="shared" si="66"/>
        <v>0</v>
      </c>
      <c r="H71" s="183">
        <f t="shared" si="66"/>
        <v>0</v>
      </c>
      <c r="I71" s="183">
        <f t="shared" si="66"/>
        <v>0</v>
      </c>
      <c r="J71" s="190">
        <f t="shared" si="66"/>
        <v>0</v>
      </c>
      <c r="K71" s="195">
        <f>_xlfn.MINIFS(F86:F404, E86:E404,"CT")</f>
        <v>0</v>
      </c>
      <c r="L71" s="192"/>
      <c r="M71" s="184"/>
      <c r="Q71" s="180"/>
    </row>
    <row r="72" spans="1:17" s="92" customFormat="1" ht="18" customHeight="1" x14ac:dyDescent="0.2">
      <c r="A72" s="263"/>
      <c r="B72" s="213" t="s">
        <v>224</v>
      </c>
      <c r="C72" s="183">
        <f>_xlfn.MAXIFS($F$86:$F$404,$B$86:$B$404,C$3,$E$86:$E$404,"CT")</f>
        <v>0</v>
      </c>
      <c r="D72" s="183">
        <f t="shared" ref="D72:J72" si="67">_xlfn.MAXIFS($F$86:$F$404,$B$86:$B$404,D$3,$E$86:$E$404,"CT")</f>
        <v>0</v>
      </c>
      <c r="E72" s="183">
        <f t="shared" si="67"/>
        <v>0</v>
      </c>
      <c r="F72" s="183">
        <f t="shared" si="67"/>
        <v>0</v>
      </c>
      <c r="G72" s="183">
        <f t="shared" si="67"/>
        <v>0</v>
      </c>
      <c r="H72" s="183">
        <f t="shared" si="67"/>
        <v>0</v>
      </c>
      <c r="I72" s="183">
        <f t="shared" si="67"/>
        <v>0</v>
      </c>
      <c r="J72" s="190">
        <f t="shared" si="67"/>
        <v>0</v>
      </c>
      <c r="K72" s="195">
        <f>_xlfn.MAXIFS(F86:F404, E86:E404,"CT")</f>
        <v>0</v>
      </c>
      <c r="L72" s="192"/>
      <c r="M72" s="184"/>
      <c r="Q72" s="180"/>
    </row>
    <row r="73" spans="1:17" s="181" customFormat="1" ht="18" customHeight="1" thickBot="1" x14ac:dyDescent="0.25">
      <c r="A73" s="263"/>
      <c r="B73" s="213" t="s">
        <v>225</v>
      </c>
      <c r="C73" s="183" t="e">
        <f>AVERAGEIFS($G$86:$G$404,$B$86:$B$404,C$3,$E$86:$E$404,"CT")</f>
        <v>#DIV/0!</v>
      </c>
      <c r="D73" s="183" t="e">
        <f t="shared" ref="D73:J73" si="68">AVERAGEIFS($G$86:$G$404,$B$86:$B$404,D$3,$E$86:$E$404,"CT")</f>
        <v>#DIV/0!</v>
      </c>
      <c r="E73" s="183" t="e">
        <f t="shared" si="68"/>
        <v>#DIV/0!</v>
      </c>
      <c r="F73" s="183" t="e">
        <f t="shared" si="68"/>
        <v>#DIV/0!</v>
      </c>
      <c r="G73" s="183" t="e">
        <f t="shared" si="68"/>
        <v>#DIV/0!</v>
      </c>
      <c r="H73" s="183" t="e">
        <f t="shared" si="68"/>
        <v>#DIV/0!</v>
      </c>
      <c r="I73" s="183" t="e">
        <f t="shared" si="68"/>
        <v>#DIV/0!</v>
      </c>
      <c r="J73" s="190" t="e">
        <f t="shared" si="68"/>
        <v>#DIV/0!</v>
      </c>
      <c r="K73" s="236" t="e">
        <f>AVERAGEIFS(G86:G404, E86:E404,"CT")</f>
        <v>#DIV/0!</v>
      </c>
      <c r="L73" s="192"/>
      <c r="M73" s="184"/>
      <c r="Q73" s="182"/>
    </row>
    <row r="74" spans="1:17" ht="16" customHeight="1" x14ac:dyDescent="0.2">
      <c r="A74" s="263"/>
      <c r="B74" s="214" t="s">
        <v>215</v>
      </c>
      <c r="C74" s="183" t="e">
        <f>AVERAGEIFS($F$86:$F$404,$B$86:$B$404,C$3,$E$86:$E$404,"CH")</f>
        <v>#DIV/0!</v>
      </c>
      <c r="D74" s="183" t="e">
        <f t="shared" ref="D74:J74" si="69">AVERAGEIFS($F$86:$F$404,$B$86:$B$404,D$3,$E$86:$E$404,"CH")</f>
        <v>#DIV/0!</v>
      </c>
      <c r="E74" s="183" t="e">
        <f t="shared" si="69"/>
        <v>#DIV/0!</v>
      </c>
      <c r="F74" s="183">
        <f t="shared" si="69"/>
        <v>73.585233849999995</v>
      </c>
      <c r="G74" s="183">
        <f t="shared" si="69"/>
        <v>71.521988283499994</v>
      </c>
      <c r="H74" s="183" t="e">
        <f t="shared" si="69"/>
        <v>#DIV/0!</v>
      </c>
      <c r="I74" s="183" t="e">
        <f t="shared" si="69"/>
        <v>#DIV/0!</v>
      </c>
      <c r="J74" s="190" t="e">
        <f t="shared" si="69"/>
        <v>#DIV/0!</v>
      </c>
      <c r="K74" s="194">
        <f>AVERAGEIFS(F86:F404, E86:E404,"CH")</f>
        <v>72.553611066749994</v>
      </c>
      <c r="L74" s="192"/>
      <c r="M74" s="184"/>
    </row>
    <row r="75" spans="1:17" x14ac:dyDescent="0.2">
      <c r="A75" s="263"/>
      <c r="B75" s="214" t="s">
        <v>210</v>
      </c>
      <c r="C75" s="183">
        <f>_xlfn.MINIFS($F$86:$F$404,$B$86:$B$404,C$3,$E$86:$E$404,"CH")</f>
        <v>0</v>
      </c>
      <c r="D75" s="183">
        <f t="shared" ref="D75:J75" si="70">_xlfn.MINIFS($F$86:$F$404,$B$86:$B$404,D$3,$E$86:$E$404,"CH")</f>
        <v>0</v>
      </c>
      <c r="E75" s="183">
        <f t="shared" si="70"/>
        <v>0</v>
      </c>
      <c r="F75" s="183">
        <f t="shared" si="70"/>
        <v>72.603320400000001</v>
      </c>
      <c r="G75" s="183">
        <f t="shared" si="70"/>
        <v>70.160925431999999</v>
      </c>
      <c r="H75" s="183">
        <f t="shared" si="70"/>
        <v>0</v>
      </c>
      <c r="I75" s="183">
        <f t="shared" si="70"/>
        <v>0</v>
      </c>
      <c r="J75" s="190">
        <f t="shared" si="70"/>
        <v>0</v>
      </c>
      <c r="K75" s="195">
        <f>_xlfn.MINIFS(F86:F404, E86:E404,"CH")</f>
        <v>70.160925431999999</v>
      </c>
      <c r="L75" s="192"/>
      <c r="M75" s="184"/>
    </row>
    <row r="76" spans="1:17" x14ac:dyDescent="0.2">
      <c r="A76" s="263"/>
      <c r="B76" s="214" t="s">
        <v>214</v>
      </c>
      <c r="C76" s="183">
        <f>_xlfn.MAXIFS($F$86:$F$404,$B$86:$B$404,C$3,$E$86:$E$404,"CH")</f>
        <v>0</v>
      </c>
      <c r="D76" s="183">
        <f t="shared" ref="D76:J76" si="71">_xlfn.MAXIFS($F$86:$F$404,$B$86:$B$404,D$3,$E$86:$E$404,"CH")</f>
        <v>0</v>
      </c>
      <c r="E76" s="183">
        <f t="shared" si="71"/>
        <v>0</v>
      </c>
      <c r="F76" s="183">
        <f t="shared" si="71"/>
        <v>74.937680400000005</v>
      </c>
      <c r="G76" s="183">
        <f t="shared" si="71"/>
        <v>72.687099716999995</v>
      </c>
      <c r="H76" s="183">
        <f t="shared" si="71"/>
        <v>0</v>
      </c>
      <c r="I76" s="183">
        <f t="shared" si="71"/>
        <v>0</v>
      </c>
      <c r="J76" s="190">
        <f t="shared" si="71"/>
        <v>0</v>
      </c>
      <c r="K76" s="195">
        <f>_xlfn.MAXIFS(F86:F404, E86:E404,"CH")</f>
        <v>74.937680400000005</v>
      </c>
      <c r="L76" s="192"/>
      <c r="M76" s="184"/>
    </row>
    <row r="77" spans="1:17" ht="17" thickBot="1" x14ac:dyDescent="0.25">
      <c r="A77" s="264"/>
      <c r="B77" s="215" t="s">
        <v>213</v>
      </c>
      <c r="C77" s="189" t="e">
        <f>AVERAGEIFS($G$86:$G$404,$B$86:$B$404,C$3,$E$86:$E$404,"CH")</f>
        <v>#DIV/0!</v>
      </c>
      <c r="D77" s="189" t="e">
        <f t="shared" ref="D77:J77" si="72">AVERAGEIFS($G$86:$G$404,$B$86:$B$404,D$3,$E$86:$E$404,"CH")</f>
        <v>#DIV/0!</v>
      </c>
      <c r="E77" s="189" t="e">
        <f t="shared" si="72"/>
        <v>#DIV/0!</v>
      </c>
      <c r="F77" s="189">
        <f t="shared" si="72"/>
        <v>1602.6904500000001</v>
      </c>
      <c r="G77" s="189">
        <f t="shared" si="72"/>
        <v>1620.0827449999999</v>
      </c>
      <c r="H77" s="189" t="e">
        <f t="shared" si="72"/>
        <v>#DIV/0!</v>
      </c>
      <c r="I77" s="189" t="e">
        <f t="shared" si="72"/>
        <v>#DIV/0!</v>
      </c>
      <c r="J77" s="191" t="e">
        <f t="shared" si="72"/>
        <v>#DIV/0!</v>
      </c>
      <c r="K77" s="237">
        <f>AVERAGEIFS(G86:G404, E86:E404,"CH")</f>
        <v>1611.3865975000001</v>
      </c>
      <c r="L77" s="193"/>
      <c r="M77" s="185"/>
    </row>
    <row r="78" spans="1:17" x14ac:dyDescent="0.2">
      <c r="A78" s="267" t="s">
        <v>221</v>
      </c>
      <c r="B78" s="12" t="s">
        <v>217</v>
      </c>
      <c r="C78" s="11">
        <f>AVERAGEIFS($K$86:$K$404,$B$86:$B$404,C$3)</f>
        <v>76.934528028000003</v>
      </c>
      <c r="D78" s="11">
        <f t="shared" ref="D78:J78" si="73">AVERAGEIFS($K$86:$K$404,$B$86:$B$404,D$3)</f>
        <v>77.833866627399999</v>
      </c>
      <c r="E78" s="11">
        <f t="shared" si="73"/>
        <v>77.33071185</v>
      </c>
      <c r="F78" s="11">
        <f t="shared" si="73"/>
        <v>81.106020360000002</v>
      </c>
      <c r="G78" s="11">
        <f t="shared" si="73"/>
        <v>84.142499863399991</v>
      </c>
      <c r="H78" s="11" t="e">
        <f t="shared" si="73"/>
        <v>#DIV/0!</v>
      </c>
      <c r="I78" s="11" t="e">
        <f t="shared" si="73"/>
        <v>#DIV/0!</v>
      </c>
      <c r="J78" s="11" t="e">
        <f t="shared" si="73"/>
        <v>#DIV/0!</v>
      </c>
      <c r="K78" s="238">
        <f>AVERAGE(K86:K404)</f>
        <v>80.376285819137919</v>
      </c>
    </row>
    <row r="79" spans="1:17" x14ac:dyDescent="0.2">
      <c r="A79" s="268"/>
      <c r="B79" s="12" t="s">
        <v>218</v>
      </c>
      <c r="C79" s="11">
        <f>AVERAGEIFS($L$86:$L$404,$B$86:$B$404,C$3)</f>
        <v>-10.348073499999998</v>
      </c>
      <c r="D79" s="11">
        <f t="shared" ref="D79:J79" si="74">AVERAGEIFS($L$86:$L$404,$B$86:$B$404,D$3)</f>
        <v>-3.3541122260000003</v>
      </c>
      <c r="E79" s="11">
        <f t="shared" si="74"/>
        <v>14.102610616666666</v>
      </c>
      <c r="F79" s="11">
        <f t="shared" si="74"/>
        <v>41.8079155</v>
      </c>
      <c r="G79" s="11">
        <f t="shared" si="74"/>
        <v>29.114784234000002</v>
      </c>
      <c r="H79" s="11" t="e">
        <f t="shared" si="74"/>
        <v>#DIV/0!</v>
      </c>
      <c r="I79" s="11" t="e">
        <f>AVERAGEIFS($L$86:$L$404,$B$86:$B$404,I$3)</f>
        <v>#DIV/0!</v>
      </c>
      <c r="J79" s="11" t="e">
        <f t="shared" si="74"/>
        <v>#DIV/0!</v>
      </c>
      <c r="K79" s="198">
        <f>AVERAGE(L86:L404)</f>
        <v>17.554674280333337</v>
      </c>
    </row>
    <row r="80" spans="1:17" x14ac:dyDescent="0.2">
      <c r="A80" s="268"/>
      <c r="B80" s="218" t="s">
        <v>219</v>
      </c>
      <c r="C80" s="11">
        <f>AVERAGEIFS($O$86:$O$404,$B$86:$B$404,C$3)</f>
        <v>103</v>
      </c>
      <c r="D80" s="11">
        <f t="shared" ref="D80:J80" si="75">AVERAGEIFS($O$86:$O$404,$B$86:$B$404,D$3)</f>
        <v>100.75</v>
      </c>
      <c r="E80" s="11">
        <f t="shared" si="75"/>
        <v>167.33333333333334</v>
      </c>
      <c r="F80" s="11">
        <f t="shared" si="75"/>
        <v>261.39999999999998</v>
      </c>
      <c r="G80" s="11">
        <f t="shared" si="75"/>
        <v>200.375</v>
      </c>
      <c r="H80" s="11" t="e">
        <f t="shared" si="75"/>
        <v>#DIV/0!</v>
      </c>
      <c r="I80" s="11" t="e">
        <f t="shared" si="75"/>
        <v>#DIV/0!</v>
      </c>
      <c r="J80" s="11" t="e">
        <f t="shared" si="75"/>
        <v>#DIV/0!</v>
      </c>
      <c r="K80" s="198" t="e">
        <f>AVERAGE(O374:O404)</f>
        <v>#DIV/0!</v>
      </c>
      <c r="L80"/>
      <c r="M80"/>
    </row>
    <row r="81" spans="1:25" x14ac:dyDescent="0.2">
      <c r="A81" s="268"/>
      <c r="B81" s="12" t="s">
        <v>231</v>
      </c>
      <c r="C81" s="33">
        <f>AVERAGEIFS($P$86:$P$404,$B$86:$B$404,C$3)</f>
        <v>1.1860699666666668</v>
      </c>
      <c r="D81" s="33">
        <f t="shared" ref="D81:J81" si="76">AVERAGEIFS($P$86:$P$404,$B$86:$B$404,D$3)</f>
        <v>1.2162724616</v>
      </c>
      <c r="E81" s="33">
        <f t="shared" si="76"/>
        <v>1.2850457283333332</v>
      </c>
      <c r="F81" s="33">
        <f t="shared" si="76"/>
        <v>1.292166522</v>
      </c>
      <c r="G81" s="33">
        <f t="shared" si="76"/>
        <v>1.3283735511999999</v>
      </c>
      <c r="H81" s="33" t="e">
        <f t="shared" si="76"/>
        <v>#DIV/0!</v>
      </c>
      <c r="I81" s="33" t="e">
        <f t="shared" si="76"/>
        <v>#DIV/0!</v>
      </c>
      <c r="J81" s="33" t="e">
        <f t="shared" si="76"/>
        <v>#DIV/0!</v>
      </c>
      <c r="K81" s="199" t="e">
        <f>AVERAGE(P374:P404)</f>
        <v>#DIV/0!</v>
      </c>
      <c r="L81"/>
      <c r="M81"/>
    </row>
    <row r="82" spans="1:25" ht="17" thickBot="1" x14ac:dyDescent="0.25">
      <c r="A82" s="269"/>
      <c r="B82" s="12" t="s">
        <v>220</v>
      </c>
      <c r="C82" s="33">
        <f>(SUM(C51,C54,C57,C60)/(SUM(C50,C53,C56,C59)))</f>
        <v>0.25</v>
      </c>
      <c r="D82" s="33">
        <f t="shared" ref="D82:J82" si="77">(SUM(D51,D54,D57,D60)/(SUM(D50,D53,D56,D59)))</f>
        <v>0.2</v>
      </c>
      <c r="E82" s="33">
        <f t="shared" si="77"/>
        <v>0.26315789473684209</v>
      </c>
      <c r="F82" s="33">
        <f t="shared" si="77"/>
        <v>0.42105263157894735</v>
      </c>
      <c r="G82" s="33">
        <f t="shared" si="77"/>
        <v>0.30434782608695654</v>
      </c>
      <c r="H82" s="33" t="e">
        <f t="shared" si="77"/>
        <v>#DIV/0!</v>
      </c>
      <c r="I82" s="33" t="e">
        <f t="shared" si="77"/>
        <v>#DIV/0!</v>
      </c>
      <c r="J82" s="33" t="e">
        <f t="shared" si="77"/>
        <v>#DIV/0!</v>
      </c>
      <c r="K82" s="200">
        <f>(SUM(D51:G51)+SUM(D54:G54)+SUM(D57:G57)+SUM(D60:G60))/(SUM(D50:G50)+SUM(D53:G53)+SUM(D56:G56)+SUM(D59:G59))</f>
        <v>0.30263157894736842</v>
      </c>
      <c r="L82"/>
      <c r="M82"/>
    </row>
    <row r="83" spans="1:25" x14ac:dyDescent="0.2">
      <c r="C83"/>
      <c r="D83"/>
      <c r="E83"/>
      <c r="F83"/>
      <c r="G83"/>
      <c r="H83"/>
      <c r="I83"/>
      <c r="J83"/>
      <c r="K83"/>
      <c r="L83"/>
      <c r="M83"/>
      <c r="W83" s="220"/>
    </row>
    <row r="84" spans="1:25" x14ac:dyDescent="0.2">
      <c r="H84" s="10"/>
      <c r="I84" s="10"/>
    </row>
    <row r="85" spans="1:25" x14ac:dyDescent="0.2">
      <c r="H85" s="10"/>
      <c r="I85" s="10"/>
    </row>
    <row r="86" spans="1:25" s="6" customFormat="1" x14ac:dyDescent="0.2">
      <c r="A86" s="6" t="s">
        <v>0</v>
      </c>
      <c r="B86" s="6" t="s">
        <v>1</v>
      </c>
      <c r="C86" s="6" t="s">
        <v>2</v>
      </c>
      <c r="D86" s="6" t="s">
        <v>3</v>
      </c>
      <c r="E86" s="12" t="s">
        <v>31</v>
      </c>
      <c r="F86" s="15" t="s">
        <v>30</v>
      </c>
      <c r="G86" s="18" t="s">
        <v>5</v>
      </c>
      <c r="H86" s="18" t="s">
        <v>32</v>
      </c>
      <c r="I86" s="21" t="s">
        <v>203</v>
      </c>
      <c r="J86" s="6" t="s">
        <v>4</v>
      </c>
      <c r="K86" s="15" t="s">
        <v>6</v>
      </c>
      <c r="L86" s="15" t="s">
        <v>7</v>
      </c>
      <c r="M86" s="15" t="s">
        <v>8</v>
      </c>
      <c r="N86" s="15" t="s">
        <v>9</v>
      </c>
      <c r="O86" s="15" t="s">
        <v>11</v>
      </c>
      <c r="P86" s="15" t="s">
        <v>12</v>
      </c>
      <c r="Q86" s="171" t="s">
        <v>15</v>
      </c>
    </row>
    <row r="87" spans="1:25" x14ac:dyDescent="0.2">
      <c r="A87" t="s">
        <v>201</v>
      </c>
      <c r="B87" s="1">
        <v>46193</v>
      </c>
      <c r="C87" s="2">
        <v>0.88023148148148145</v>
      </c>
      <c r="D87" t="s">
        <v>28</v>
      </c>
      <c r="E87" s="10" t="s">
        <v>37</v>
      </c>
      <c r="F87" s="11">
        <v>72.539799047000002</v>
      </c>
      <c r="G87" s="4">
        <v>2399.1506300000001</v>
      </c>
      <c r="H87" s="20">
        <v>0</v>
      </c>
      <c r="I87" s="17"/>
      <c r="J87" t="s">
        <v>20</v>
      </c>
      <c r="K87" s="11"/>
      <c r="L87" s="11"/>
      <c r="M87" s="11"/>
      <c r="N87" s="11"/>
      <c r="O87" s="11"/>
      <c r="P87" s="11"/>
      <c r="Q87" s="33"/>
      <c r="T87" s="10" t="s">
        <v>33</v>
      </c>
      <c r="U87" s="20">
        <v>0</v>
      </c>
      <c r="V87" s="17"/>
      <c r="X87" s="13" t="s">
        <v>35</v>
      </c>
      <c r="Y87" s="19" t="s">
        <v>39</v>
      </c>
    </row>
    <row r="88" spans="1:25" x14ac:dyDescent="0.2">
      <c r="A88" t="s">
        <v>201</v>
      </c>
      <c r="B88" s="1">
        <v>46193</v>
      </c>
      <c r="C88" s="2">
        <v>0.8806018518518518</v>
      </c>
      <c r="D88" t="s">
        <v>28</v>
      </c>
      <c r="E88" s="10" t="s">
        <v>33</v>
      </c>
      <c r="F88" s="11">
        <v>78.193074749999994</v>
      </c>
      <c r="G88" s="4">
        <v>2250.0163600000001</v>
      </c>
      <c r="H88" s="20">
        <v>0</v>
      </c>
      <c r="I88" s="17"/>
      <c r="J88" t="s">
        <v>20</v>
      </c>
      <c r="K88" s="11"/>
      <c r="L88" s="11"/>
      <c r="M88" s="11"/>
      <c r="N88" s="11"/>
      <c r="O88" s="11"/>
      <c r="P88" s="11"/>
      <c r="Q88" s="33"/>
      <c r="T88" s="10" t="s">
        <v>33</v>
      </c>
      <c r="U88" s="20">
        <v>0</v>
      </c>
      <c r="V88" s="17"/>
      <c r="X88" s="13" t="s">
        <v>35</v>
      </c>
      <c r="Y88" s="19"/>
    </row>
    <row r="89" spans="1:25" x14ac:dyDescent="0.2">
      <c r="A89" t="s">
        <v>201</v>
      </c>
      <c r="B89" s="1">
        <v>46193</v>
      </c>
      <c r="C89" s="2">
        <v>0.88092592592592589</v>
      </c>
      <c r="D89" t="s">
        <v>28</v>
      </c>
      <c r="E89" s="10" t="s">
        <v>37</v>
      </c>
      <c r="F89" s="11">
        <v>74.254842444000005</v>
      </c>
      <c r="G89" s="4">
        <v>826.78729199999998</v>
      </c>
      <c r="H89" s="20">
        <v>1</v>
      </c>
      <c r="I89" s="17" t="s">
        <v>39</v>
      </c>
      <c r="J89" t="s">
        <v>20</v>
      </c>
      <c r="K89" s="11"/>
      <c r="L89" s="11">
        <v>-64.6048203</v>
      </c>
      <c r="M89" s="11">
        <v>8.11265182</v>
      </c>
      <c r="N89" s="11">
        <v>61.418367293999999</v>
      </c>
      <c r="O89" s="11">
        <v>5</v>
      </c>
      <c r="P89" s="11"/>
      <c r="Q89" s="33"/>
      <c r="T89" s="10" t="s">
        <v>33</v>
      </c>
      <c r="U89" s="20">
        <v>0</v>
      </c>
      <c r="V89" s="17"/>
      <c r="X89" s="13" t="s">
        <v>35</v>
      </c>
      <c r="Y89" s="19" t="s">
        <v>39</v>
      </c>
    </row>
    <row r="90" spans="1:25" x14ac:dyDescent="0.2">
      <c r="A90" t="s">
        <v>201</v>
      </c>
      <c r="B90" s="1">
        <v>46193</v>
      </c>
      <c r="C90" s="2">
        <v>0.88138888888888889</v>
      </c>
      <c r="D90" t="s">
        <v>28</v>
      </c>
      <c r="E90" s="10" t="s">
        <v>37</v>
      </c>
      <c r="F90" s="11">
        <v>73.683158328999994</v>
      </c>
      <c r="G90" s="4">
        <v>2399.0546899999999</v>
      </c>
      <c r="H90" s="20">
        <v>1</v>
      </c>
      <c r="I90" s="17" t="s">
        <v>40</v>
      </c>
      <c r="J90" t="s">
        <v>20</v>
      </c>
      <c r="K90" s="11">
        <v>67.590327162999998</v>
      </c>
      <c r="L90" s="11">
        <v>16.1042843</v>
      </c>
      <c r="M90" s="11">
        <v>-10.1593122</v>
      </c>
      <c r="N90" s="11">
        <v>64.340376800000001</v>
      </c>
      <c r="O90" s="11">
        <v>146</v>
      </c>
      <c r="P90" s="11">
        <v>1.05051184</v>
      </c>
      <c r="Q90" s="33">
        <v>0.71243858299999996</v>
      </c>
      <c r="T90" s="10" t="s">
        <v>33</v>
      </c>
      <c r="U90" s="20">
        <v>1</v>
      </c>
      <c r="V90" s="17" t="s">
        <v>38</v>
      </c>
      <c r="X90" s="13" t="s">
        <v>35</v>
      </c>
      <c r="Y90" s="19"/>
    </row>
    <row r="91" spans="1:25" x14ac:dyDescent="0.2">
      <c r="A91" t="s">
        <v>201</v>
      </c>
      <c r="B91" s="1">
        <v>46193</v>
      </c>
      <c r="C91" s="2">
        <v>0.88190972222222219</v>
      </c>
      <c r="D91" t="s">
        <v>28</v>
      </c>
      <c r="E91" s="10" t="s">
        <v>33</v>
      </c>
      <c r="F91" s="11">
        <v>77.351433396000004</v>
      </c>
      <c r="G91" s="4">
        <v>2203.2800000000002</v>
      </c>
      <c r="H91" s="20">
        <v>0</v>
      </c>
      <c r="I91" s="17"/>
      <c r="J91" t="s">
        <v>20</v>
      </c>
      <c r="K91" s="11"/>
      <c r="L91" s="11"/>
      <c r="M91" s="11"/>
      <c r="N91" s="11"/>
      <c r="O91" s="11"/>
      <c r="P91" s="11"/>
      <c r="Q91" s="33"/>
      <c r="T91" s="10" t="s">
        <v>33</v>
      </c>
      <c r="U91" s="20">
        <v>0</v>
      </c>
      <c r="V91" s="17"/>
      <c r="X91" s="13" t="s">
        <v>35</v>
      </c>
      <c r="Y91" s="19"/>
    </row>
    <row r="92" spans="1:25" x14ac:dyDescent="0.2">
      <c r="A92" t="s">
        <v>201</v>
      </c>
      <c r="B92" s="1">
        <v>46193</v>
      </c>
      <c r="C92" s="2">
        <v>0.88253472222222218</v>
      </c>
      <c r="D92" t="s">
        <v>28</v>
      </c>
      <c r="E92" s="10" t="s">
        <v>33</v>
      </c>
      <c r="F92" s="11">
        <v>76.779758005000005</v>
      </c>
      <c r="G92" s="4">
        <v>2150.97192</v>
      </c>
      <c r="H92" s="20">
        <v>0</v>
      </c>
      <c r="I92" s="17"/>
      <c r="J92" t="s">
        <v>17</v>
      </c>
      <c r="K92" s="11"/>
      <c r="L92" s="11"/>
      <c r="M92" s="11"/>
      <c r="N92" s="11"/>
      <c r="O92" s="11"/>
      <c r="P92" s="11"/>
      <c r="Q92" s="33"/>
      <c r="T92" s="10" t="s">
        <v>33</v>
      </c>
      <c r="U92" s="20">
        <v>0</v>
      </c>
      <c r="V92" s="17"/>
      <c r="X92" s="13" t="s">
        <v>35</v>
      </c>
      <c r="Y92" s="19"/>
    </row>
    <row r="93" spans="1:25" x14ac:dyDescent="0.2">
      <c r="A93" t="s">
        <v>201</v>
      </c>
      <c r="B93" s="1">
        <v>46193</v>
      </c>
      <c r="C93" s="2">
        <v>0.88269675925925928</v>
      </c>
      <c r="D93" t="s">
        <v>28</v>
      </c>
      <c r="E93" s="10" t="s">
        <v>37</v>
      </c>
      <c r="F93" s="11">
        <v>73.047961561999998</v>
      </c>
      <c r="G93" s="4">
        <v>2337.05908</v>
      </c>
      <c r="H93" s="20">
        <v>0</v>
      </c>
      <c r="I93" s="17"/>
      <c r="J93" t="s">
        <v>17</v>
      </c>
      <c r="K93" s="11"/>
      <c r="L93" s="11"/>
      <c r="M93" s="11"/>
      <c r="N93" s="11"/>
      <c r="O93" s="11"/>
      <c r="P93" s="11"/>
      <c r="Q93" s="172"/>
      <c r="T93" s="10" t="s">
        <v>33</v>
      </c>
      <c r="U93" s="20">
        <v>1</v>
      </c>
      <c r="V93" s="17" t="s">
        <v>38</v>
      </c>
      <c r="X93" s="10" t="s">
        <v>35</v>
      </c>
      <c r="Y93" s="17"/>
    </row>
    <row r="94" spans="1:25" x14ac:dyDescent="0.2">
      <c r="A94" t="s">
        <v>201</v>
      </c>
      <c r="B94" s="1">
        <v>46193</v>
      </c>
      <c r="C94" s="2">
        <v>0.88296296296296295</v>
      </c>
      <c r="D94" t="s">
        <v>28</v>
      </c>
      <c r="E94" s="10" t="s">
        <v>33</v>
      </c>
      <c r="F94" s="11">
        <v>76.414518477000001</v>
      </c>
      <c r="G94" s="4">
        <v>2101.2841800000001</v>
      </c>
      <c r="H94" s="20">
        <v>1</v>
      </c>
      <c r="I94" s="17" t="s">
        <v>38</v>
      </c>
      <c r="J94" t="s">
        <v>17</v>
      </c>
      <c r="K94" s="11">
        <v>86.997759087000006</v>
      </c>
      <c r="L94" s="11">
        <v>20.655521400000001</v>
      </c>
      <c r="M94" s="11">
        <v>-42.9856148</v>
      </c>
      <c r="N94" s="11">
        <v>66.925229943000005</v>
      </c>
      <c r="O94" s="11">
        <v>254</v>
      </c>
      <c r="P94" s="11">
        <v>1.2999247300000001</v>
      </c>
      <c r="Q94" s="33">
        <v>0.88288246199999998</v>
      </c>
      <c r="T94" s="10" t="s">
        <v>37</v>
      </c>
      <c r="U94" s="20">
        <v>0</v>
      </c>
      <c r="V94" s="17"/>
      <c r="X94" s="10" t="s">
        <v>35</v>
      </c>
      <c r="Y94" s="17"/>
    </row>
    <row r="95" spans="1:25" x14ac:dyDescent="0.2">
      <c r="A95" t="s">
        <v>201</v>
      </c>
      <c r="B95" s="1">
        <v>46193</v>
      </c>
      <c r="C95" s="2">
        <v>0.88321759259259258</v>
      </c>
      <c r="D95" t="s">
        <v>28</v>
      </c>
      <c r="E95" s="10" t="s">
        <v>37</v>
      </c>
      <c r="F95" s="11">
        <v>70.475400605000004</v>
      </c>
      <c r="G95" s="4">
        <v>1212.64075</v>
      </c>
      <c r="H95" s="20">
        <v>1</v>
      </c>
      <c r="I95" s="17"/>
      <c r="J95" t="s">
        <v>17</v>
      </c>
      <c r="K95" s="11"/>
      <c r="L95" s="11"/>
      <c r="M95" s="11"/>
      <c r="N95" s="11"/>
      <c r="O95" s="11"/>
      <c r="P95" s="11"/>
      <c r="Q95" s="33"/>
      <c r="T95" s="10" t="s">
        <v>37</v>
      </c>
      <c r="U95" s="20">
        <v>1</v>
      </c>
      <c r="V95" s="17" t="s">
        <v>39</v>
      </c>
      <c r="X95" s="10" t="s">
        <v>35</v>
      </c>
      <c r="Y95" s="17" t="s">
        <v>39</v>
      </c>
    </row>
    <row r="96" spans="1:25" x14ac:dyDescent="0.2">
      <c r="A96" t="s">
        <v>201</v>
      </c>
      <c r="B96" s="1">
        <v>46193</v>
      </c>
      <c r="C96" s="2">
        <v>0.88350694444444444</v>
      </c>
      <c r="D96" t="s">
        <v>28</v>
      </c>
      <c r="E96" s="10" t="s">
        <v>33</v>
      </c>
      <c r="F96" s="11">
        <v>78.002519120000002</v>
      </c>
      <c r="G96" s="4">
        <v>2182.9226100000001</v>
      </c>
      <c r="H96" s="20">
        <v>0</v>
      </c>
      <c r="I96" s="17"/>
      <c r="J96" t="s">
        <v>17</v>
      </c>
      <c r="K96" s="11"/>
      <c r="L96" s="11"/>
      <c r="M96" s="11"/>
      <c r="N96" s="11"/>
      <c r="O96" s="11"/>
      <c r="P96" s="11"/>
      <c r="Q96" s="33"/>
      <c r="T96" s="10" t="s">
        <v>37</v>
      </c>
      <c r="U96" s="20">
        <v>1</v>
      </c>
      <c r="V96" s="17" t="s">
        <v>40</v>
      </c>
      <c r="X96" s="10" t="s">
        <v>35</v>
      </c>
      <c r="Y96" s="17"/>
    </row>
    <row r="97" spans="1:64" x14ac:dyDescent="0.2">
      <c r="A97" t="s">
        <v>201</v>
      </c>
      <c r="B97" s="1">
        <v>46193</v>
      </c>
      <c r="C97" s="2">
        <v>0.88376157407407407</v>
      </c>
      <c r="D97" t="s">
        <v>28</v>
      </c>
      <c r="E97" s="10" t="s">
        <v>37</v>
      </c>
      <c r="F97" s="11">
        <v>72.666841801000004</v>
      </c>
      <c r="G97" s="4">
        <v>1280.44031</v>
      </c>
      <c r="H97" s="20">
        <v>0</v>
      </c>
      <c r="I97" s="17"/>
      <c r="J97" t="s">
        <v>17</v>
      </c>
      <c r="K97" s="11"/>
      <c r="L97" s="11"/>
      <c r="M97" s="11"/>
      <c r="N97" s="11"/>
      <c r="O97" s="11"/>
      <c r="P97" s="11"/>
      <c r="Q97" s="33"/>
      <c r="T97" s="10" t="s">
        <v>37</v>
      </c>
      <c r="U97" s="20">
        <v>0</v>
      </c>
      <c r="V97" s="17"/>
      <c r="X97" s="10" t="s">
        <v>35</v>
      </c>
      <c r="Y97" s="17"/>
    </row>
    <row r="98" spans="1:64" x14ac:dyDescent="0.2">
      <c r="A98" t="s">
        <v>201</v>
      </c>
      <c r="B98" s="1">
        <v>46193</v>
      </c>
      <c r="C98" s="2">
        <v>0.88443287037037033</v>
      </c>
      <c r="D98" t="s">
        <v>28</v>
      </c>
      <c r="E98" s="10" t="s">
        <v>37</v>
      </c>
      <c r="F98" s="11">
        <v>72.714482722</v>
      </c>
      <c r="G98" s="4">
        <v>2443.71387</v>
      </c>
      <c r="H98" s="20">
        <v>0</v>
      </c>
      <c r="I98" s="17"/>
      <c r="J98" t="s">
        <v>19</v>
      </c>
      <c r="K98" s="11"/>
      <c r="L98" s="11"/>
      <c r="M98" s="11"/>
      <c r="N98" s="11"/>
      <c r="O98" s="11"/>
      <c r="P98" s="11"/>
      <c r="Q98" s="33"/>
      <c r="T98" s="10" t="s">
        <v>37</v>
      </c>
      <c r="U98" s="20">
        <v>1</v>
      </c>
      <c r="V98" s="17"/>
      <c r="X98" s="10" t="s">
        <v>35</v>
      </c>
      <c r="Y98" s="17" t="s">
        <v>255</v>
      </c>
    </row>
    <row r="99" spans="1:64" x14ac:dyDescent="0.2">
      <c r="A99" t="s">
        <v>201</v>
      </c>
      <c r="B99" s="1">
        <v>46193</v>
      </c>
      <c r="C99" s="2">
        <v>0.88462962962962965</v>
      </c>
      <c r="D99" t="s">
        <v>28</v>
      </c>
      <c r="E99" s="10" t="s">
        <v>37</v>
      </c>
      <c r="F99" s="11">
        <v>71.317041958999994</v>
      </c>
      <c r="G99" s="4">
        <v>1254.8211699999999</v>
      </c>
      <c r="H99" s="20">
        <v>0</v>
      </c>
      <c r="I99" s="17"/>
      <c r="J99" t="s">
        <v>19</v>
      </c>
      <c r="K99" s="11"/>
      <c r="L99" s="11"/>
      <c r="M99" s="11"/>
      <c r="N99" s="11"/>
      <c r="O99" s="11"/>
      <c r="P99" s="11"/>
      <c r="Q99" s="33"/>
      <c r="T99" s="10" t="s">
        <v>37</v>
      </c>
      <c r="U99" s="20">
        <v>0</v>
      </c>
      <c r="V99" s="17"/>
      <c r="W99" s="220"/>
      <c r="X99" s="10" t="s">
        <v>33</v>
      </c>
      <c r="Y99" s="17"/>
    </row>
    <row r="100" spans="1:64" x14ac:dyDescent="0.2">
      <c r="A100" t="s">
        <v>201</v>
      </c>
      <c r="B100" s="1">
        <v>46193</v>
      </c>
      <c r="C100" s="2">
        <v>0.88482638888888887</v>
      </c>
      <c r="D100" t="s">
        <v>28</v>
      </c>
      <c r="E100" s="10" t="s">
        <v>33</v>
      </c>
      <c r="F100" s="11">
        <v>75.652280746000002</v>
      </c>
      <c r="G100" s="4">
        <v>2034.4204099999999</v>
      </c>
      <c r="H100" s="20">
        <v>0</v>
      </c>
      <c r="I100" s="17"/>
      <c r="J100" t="s">
        <v>19</v>
      </c>
      <c r="K100" s="11"/>
      <c r="L100" s="11"/>
      <c r="M100" s="11"/>
      <c r="N100" s="11"/>
      <c r="O100" s="11"/>
      <c r="P100" s="11"/>
      <c r="Q100" s="33"/>
      <c r="T100" s="10" t="s">
        <v>37</v>
      </c>
      <c r="U100" s="20">
        <v>0</v>
      </c>
      <c r="V100" s="17"/>
      <c r="X100" s="10" t="s">
        <v>33</v>
      </c>
      <c r="Y100" s="17"/>
    </row>
    <row r="101" spans="1:64" x14ac:dyDescent="0.2">
      <c r="A101" t="s">
        <v>201</v>
      </c>
      <c r="B101" s="1">
        <v>46193</v>
      </c>
      <c r="C101" s="2">
        <v>0.88510416666666669</v>
      </c>
      <c r="D101" t="s">
        <v>28</v>
      </c>
      <c r="E101" s="10" t="s">
        <v>37</v>
      </c>
      <c r="F101" s="11">
        <v>71.968123433000002</v>
      </c>
      <c r="G101" s="4">
        <v>1250.33887</v>
      </c>
      <c r="H101" s="20">
        <v>0</v>
      </c>
      <c r="I101" s="17"/>
      <c r="J101" t="s">
        <v>19</v>
      </c>
      <c r="K101" s="11"/>
      <c r="L101" s="11"/>
      <c r="M101" s="11"/>
      <c r="N101" s="11"/>
      <c r="O101" s="11"/>
      <c r="P101" s="11"/>
      <c r="Q101" s="33"/>
      <c r="T101" s="10" t="s">
        <v>37</v>
      </c>
      <c r="U101" s="20">
        <v>0</v>
      </c>
      <c r="V101" s="17"/>
      <c r="X101" s="10" t="s">
        <v>33</v>
      </c>
      <c r="Y101" s="17" t="s">
        <v>38</v>
      </c>
    </row>
    <row r="102" spans="1:64" s="115" customFormat="1" ht="17" thickBot="1" x14ac:dyDescent="0.25">
      <c r="A102" s="115" t="s">
        <v>201</v>
      </c>
      <c r="B102" s="116">
        <v>46193</v>
      </c>
      <c r="C102" s="117">
        <v>0.88553240740740746</v>
      </c>
      <c r="D102" s="115" t="s">
        <v>28</v>
      </c>
      <c r="E102" s="118" t="s">
        <v>33</v>
      </c>
      <c r="F102" s="119">
        <v>76.922680990999993</v>
      </c>
      <c r="G102" s="130">
        <v>1081.79333</v>
      </c>
      <c r="H102" s="121">
        <v>1</v>
      </c>
      <c r="I102" s="120" t="s">
        <v>38</v>
      </c>
      <c r="J102" s="115" t="s">
        <v>19</v>
      </c>
      <c r="K102" s="119">
        <v>76.215497834000004</v>
      </c>
      <c r="L102" s="119">
        <v>-13.547279400000001</v>
      </c>
      <c r="M102" s="119">
        <v>-32.391033200000003</v>
      </c>
      <c r="N102" s="119">
        <v>63.104141724999998</v>
      </c>
      <c r="O102" s="119">
        <v>7</v>
      </c>
      <c r="P102" s="119">
        <v>1.20777333</v>
      </c>
      <c r="Q102" s="173">
        <v>0.81324729899999904</v>
      </c>
      <c r="S102"/>
      <c r="T102" s="118" t="s">
        <v>37</v>
      </c>
      <c r="U102" s="121">
        <v>0</v>
      </c>
      <c r="V102" s="120"/>
      <c r="W102"/>
      <c r="X102" s="10" t="s">
        <v>33</v>
      </c>
      <c r="Y102" s="17" t="s">
        <v>48</v>
      </c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</row>
    <row r="103" spans="1:64" x14ac:dyDescent="0.2">
      <c r="A103">
        <v>1</v>
      </c>
      <c r="B103" s="1">
        <v>46197</v>
      </c>
      <c r="C103" s="2">
        <v>0.58819444444444446</v>
      </c>
      <c r="D103" t="s">
        <v>28</v>
      </c>
      <c r="E103" s="10" t="s">
        <v>33</v>
      </c>
      <c r="F103" s="11">
        <v>76.795638237999995</v>
      </c>
      <c r="G103" s="4">
        <v>1997.59412</v>
      </c>
      <c r="H103" s="20">
        <v>0</v>
      </c>
      <c r="I103" s="17"/>
      <c r="J103" t="s">
        <v>29</v>
      </c>
      <c r="K103" s="11"/>
      <c r="L103" s="11"/>
      <c r="M103" s="11"/>
      <c r="N103" s="11"/>
      <c r="O103" s="11"/>
      <c r="P103" s="11"/>
      <c r="Q103" s="33"/>
      <c r="S103" s="10"/>
      <c r="T103" s="13"/>
      <c r="U103" s="22"/>
      <c r="V103" s="19"/>
      <c r="W103" s="4"/>
      <c r="X103" s="10" t="s">
        <v>33</v>
      </c>
      <c r="Y103" s="17" t="s">
        <v>255</v>
      </c>
    </row>
    <row r="104" spans="1:64" x14ac:dyDescent="0.2">
      <c r="A104">
        <v>2</v>
      </c>
      <c r="B104" s="1">
        <v>46197</v>
      </c>
      <c r="C104" s="2">
        <v>0.58843749999999995</v>
      </c>
      <c r="D104" t="s">
        <v>28</v>
      </c>
      <c r="E104" s="10" t="s">
        <v>33</v>
      </c>
      <c r="F104" s="11">
        <v>77.748433613000003</v>
      </c>
      <c r="G104" s="4">
        <v>2025.38843</v>
      </c>
      <c r="H104" s="20">
        <v>0</v>
      </c>
      <c r="I104" s="17"/>
      <c r="J104" t="s">
        <v>29</v>
      </c>
      <c r="K104" s="11"/>
      <c r="L104" s="11"/>
      <c r="M104" s="11"/>
      <c r="N104" s="11"/>
      <c r="O104" s="11"/>
      <c r="P104" s="11"/>
      <c r="Q104" s="33"/>
      <c r="S104" s="10"/>
      <c r="T104" s="13"/>
      <c r="U104" s="22"/>
      <c r="V104" s="19"/>
      <c r="W104" s="4"/>
      <c r="X104" s="10" t="s">
        <v>33</v>
      </c>
      <c r="Y104" s="17" t="s">
        <v>255</v>
      </c>
    </row>
    <row r="105" spans="1:64" x14ac:dyDescent="0.2">
      <c r="A105">
        <v>3</v>
      </c>
      <c r="B105" s="1">
        <v>46197</v>
      </c>
      <c r="C105" s="2">
        <v>0.58868055555555554</v>
      </c>
      <c r="D105" t="s">
        <v>28</v>
      </c>
      <c r="E105" s="10" t="s">
        <v>33</v>
      </c>
      <c r="F105" s="11">
        <v>77.367313851999995</v>
      </c>
      <c r="G105" s="4">
        <v>2021.0567599999999</v>
      </c>
      <c r="H105" s="20">
        <v>1</v>
      </c>
      <c r="I105" s="17" t="s">
        <v>38</v>
      </c>
      <c r="J105" t="s">
        <v>29</v>
      </c>
      <c r="K105" s="11">
        <v>81.510906949000002</v>
      </c>
      <c r="L105" s="11">
        <v>50.241889999999998</v>
      </c>
      <c r="M105" s="11"/>
      <c r="N105" s="11">
        <v>63.553681081000001</v>
      </c>
      <c r="O105" s="11">
        <v>286</v>
      </c>
      <c r="P105" s="11">
        <v>1.2825521200000001</v>
      </c>
      <c r="Q105" s="33">
        <v>0.85969306899999998</v>
      </c>
      <c r="S105" s="10"/>
      <c r="T105" s="10"/>
      <c r="U105" s="20"/>
      <c r="V105" s="17"/>
      <c r="W105" s="4"/>
      <c r="X105" s="10" t="s">
        <v>33</v>
      </c>
      <c r="Y105" s="17"/>
    </row>
    <row r="106" spans="1:64" x14ac:dyDescent="0.2">
      <c r="A106">
        <v>4</v>
      </c>
      <c r="B106" s="1">
        <v>46197</v>
      </c>
      <c r="C106" s="2">
        <v>0.58893518518518517</v>
      </c>
      <c r="D106" t="s">
        <v>28</v>
      </c>
      <c r="E106" s="10" t="s">
        <v>37</v>
      </c>
      <c r="F106" s="11">
        <v>73.746679705999995</v>
      </c>
      <c r="G106" s="4">
        <v>2426.1586900000002</v>
      </c>
      <c r="H106" s="20">
        <v>0</v>
      </c>
      <c r="I106" s="17"/>
      <c r="J106" t="s">
        <v>29</v>
      </c>
      <c r="K106" s="11"/>
      <c r="L106" s="11"/>
      <c r="M106" s="11"/>
      <c r="N106" s="11"/>
      <c r="O106" s="11"/>
      <c r="P106" s="11"/>
      <c r="Q106" s="33"/>
      <c r="S106" s="10"/>
      <c r="T106" s="10"/>
      <c r="U106" s="20"/>
      <c r="V106" s="17"/>
      <c r="W106" s="4"/>
      <c r="X106" s="10" t="s">
        <v>33</v>
      </c>
      <c r="Y106" s="17"/>
    </row>
    <row r="107" spans="1:64" x14ac:dyDescent="0.2">
      <c r="A107">
        <v>5</v>
      </c>
      <c r="B107" s="1">
        <v>46197</v>
      </c>
      <c r="C107" s="2">
        <v>0.58915509259259258</v>
      </c>
      <c r="D107" t="s">
        <v>28</v>
      </c>
      <c r="E107" s="10" t="s">
        <v>33</v>
      </c>
      <c r="F107" s="11">
        <v>77.938997743000002</v>
      </c>
      <c r="G107" s="4">
        <v>2020.1521</v>
      </c>
      <c r="H107" s="20">
        <v>0</v>
      </c>
      <c r="I107" s="17" t="s">
        <v>48</v>
      </c>
      <c r="J107" t="s">
        <v>29</v>
      </c>
      <c r="K107" s="11"/>
      <c r="L107" s="11"/>
      <c r="M107" s="11"/>
      <c r="N107" s="11"/>
      <c r="O107" s="11"/>
      <c r="P107" s="11"/>
      <c r="Q107" s="33"/>
      <c r="S107" s="10"/>
      <c r="T107" s="10"/>
      <c r="U107" s="20"/>
      <c r="V107" s="17"/>
      <c r="W107" s="4"/>
      <c r="X107" s="158" t="s">
        <v>33</v>
      </c>
      <c r="Y107" s="162"/>
    </row>
    <row r="108" spans="1:64" x14ac:dyDescent="0.2">
      <c r="A108">
        <v>6</v>
      </c>
      <c r="B108" s="1">
        <v>46197</v>
      </c>
      <c r="C108" s="2">
        <v>0.5893518518518519</v>
      </c>
      <c r="D108" t="s">
        <v>28</v>
      </c>
      <c r="E108" s="10" t="s">
        <v>33</v>
      </c>
      <c r="F108" s="11">
        <v>77.684920735999995</v>
      </c>
      <c r="G108" s="4">
        <v>2074.0563999999999</v>
      </c>
      <c r="H108" s="20">
        <v>1</v>
      </c>
      <c r="I108" s="17" t="s">
        <v>255</v>
      </c>
      <c r="J108" t="s">
        <v>29</v>
      </c>
      <c r="K108" s="11"/>
      <c r="L108" s="11"/>
      <c r="M108" s="11"/>
      <c r="N108" s="11">
        <v>70.409161350999995</v>
      </c>
      <c r="O108" s="11"/>
      <c r="P108" s="11"/>
      <c r="Q108" s="33"/>
      <c r="S108" s="10"/>
      <c r="T108" s="10"/>
      <c r="U108" s="20"/>
      <c r="V108" s="17"/>
      <c r="W108" s="4"/>
      <c r="X108" s="10" t="s">
        <v>33</v>
      </c>
      <c r="Y108" s="17"/>
    </row>
    <row r="109" spans="1:64" x14ac:dyDescent="0.2">
      <c r="A109">
        <v>7</v>
      </c>
      <c r="B109" s="1">
        <v>46197</v>
      </c>
      <c r="C109" s="2">
        <v>0.58983796296296298</v>
      </c>
      <c r="D109" t="s">
        <v>28</v>
      </c>
      <c r="E109" s="10" t="s">
        <v>33</v>
      </c>
      <c r="F109" s="11">
        <v>79.606400218999994</v>
      </c>
      <c r="G109" s="4">
        <v>2069.1145000000001</v>
      </c>
      <c r="H109" s="20">
        <v>1</v>
      </c>
      <c r="I109" s="17" t="s">
        <v>255</v>
      </c>
      <c r="J109" t="s">
        <v>23</v>
      </c>
      <c r="K109" s="11">
        <v>87.925185146999993</v>
      </c>
      <c r="L109" s="11">
        <v>-12.5700941</v>
      </c>
      <c r="M109" s="11">
        <v>-22.189109800000001</v>
      </c>
      <c r="N109" s="11">
        <v>62.092676216999998</v>
      </c>
      <c r="O109" s="11">
        <v>16</v>
      </c>
      <c r="P109" s="11">
        <v>1.41603148</v>
      </c>
      <c r="Q109" s="33">
        <v>0.938654404</v>
      </c>
      <c r="S109" s="10"/>
      <c r="T109" s="10"/>
      <c r="U109" s="20"/>
      <c r="V109" s="17"/>
      <c r="W109" s="4"/>
      <c r="X109" s="10" t="s">
        <v>33</v>
      </c>
      <c r="Y109" s="17"/>
    </row>
    <row r="110" spans="1:64" x14ac:dyDescent="0.2">
      <c r="A110">
        <v>8</v>
      </c>
      <c r="B110" s="1">
        <v>46197</v>
      </c>
      <c r="C110" s="2">
        <v>0.59020833333333333</v>
      </c>
      <c r="D110" t="s">
        <v>28</v>
      </c>
      <c r="E110" s="10" t="s">
        <v>37</v>
      </c>
      <c r="F110" s="11">
        <v>72.523918590999997</v>
      </c>
      <c r="G110" s="4">
        <v>2426.4875499999998</v>
      </c>
      <c r="H110" s="20">
        <v>0</v>
      </c>
      <c r="I110" s="17"/>
      <c r="J110" t="s">
        <v>19</v>
      </c>
      <c r="K110" s="11"/>
      <c r="L110" s="11"/>
      <c r="M110" s="11"/>
      <c r="N110" s="11"/>
      <c r="O110" s="11"/>
      <c r="P110" s="11"/>
      <c r="Q110" s="33"/>
      <c r="S110" s="10"/>
      <c r="T110" s="10"/>
      <c r="U110" s="20"/>
      <c r="V110" s="17"/>
      <c r="W110" s="4"/>
      <c r="X110" s="10" t="s">
        <v>33</v>
      </c>
      <c r="Y110" s="17"/>
    </row>
    <row r="111" spans="1:64" x14ac:dyDescent="0.2">
      <c r="A111">
        <v>9</v>
      </c>
      <c r="B111" s="1">
        <v>46197</v>
      </c>
      <c r="C111" s="2">
        <v>0.59038194444444447</v>
      </c>
      <c r="D111" t="s">
        <v>28</v>
      </c>
      <c r="E111" s="10" t="s">
        <v>33</v>
      </c>
      <c r="F111" s="11">
        <v>78.240715894000004</v>
      </c>
      <c r="G111" s="4">
        <v>1052.63708</v>
      </c>
      <c r="H111" s="20">
        <v>1</v>
      </c>
      <c r="I111" s="17"/>
      <c r="J111" t="s">
        <v>19</v>
      </c>
      <c r="K111" s="11"/>
      <c r="L111" s="11"/>
      <c r="M111" s="11"/>
      <c r="N111" s="11"/>
      <c r="O111" s="11"/>
      <c r="P111" s="11"/>
      <c r="Q111" s="33"/>
      <c r="S111" s="10"/>
      <c r="T111" s="13"/>
      <c r="U111" s="22"/>
      <c r="V111" s="19"/>
      <c r="W111" s="4"/>
      <c r="X111" s="10" t="s">
        <v>33</v>
      </c>
      <c r="Y111" s="17"/>
    </row>
    <row r="112" spans="1:64" x14ac:dyDescent="0.2">
      <c r="A112">
        <v>10</v>
      </c>
      <c r="B112" s="1">
        <v>46197</v>
      </c>
      <c r="C112" s="2">
        <v>0.59057870370370369</v>
      </c>
      <c r="D112" t="s">
        <v>28</v>
      </c>
      <c r="E112" s="10" t="s">
        <v>33</v>
      </c>
      <c r="F112" s="11">
        <v>78.812400233000005</v>
      </c>
      <c r="G112" s="4">
        <v>2072.8496100000002</v>
      </c>
      <c r="H112" s="20">
        <v>0</v>
      </c>
      <c r="I112" s="17"/>
      <c r="J112" t="s">
        <v>19</v>
      </c>
      <c r="K112" s="11"/>
      <c r="L112" s="11"/>
      <c r="M112" s="11"/>
      <c r="N112" s="11"/>
      <c r="O112" s="11"/>
      <c r="P112" s="11"/>
      <c r="Q112" s="33"/>
      <c r="S112" s="10"/>
      <c r="T112" s="13"/>
      <c r="U112" s="22"/>
      <c r="V112" s="19"/>
      <c r="W112" s="4"/>
      <c r="X112" s="10" t="s">
        <v>33</v>
      </c>
      <c r="Y112" s="17" t="s">
        <v>39</v>
      </c>
    </row>
    <row r="113" spans="1:64" x14ac:dyDescent="0.2">
      <c r="A113">
        <v>11</v>
      </c>
      <c r="B113" s="1">
        <v>46197</v>
      </c>
      <c r="C113" s="2">
        <v>0.59076388888888887</v>
      </c>
      <c r="D113" t="s">
        <v>28</v>
      </c>
      <c r="E113" s="10" t="s">
        <v>33</v>
      </c>
      <c r="F113" s="11">
        <v>76.462159622000001</v>
      </c>
      <c r="G113" s="4">
        <v>2005</v>
      </c>
      <c r="H113" s="20">
        <v>0</v>
      </c>
      <c r="I113" s="17"/>
      <c r="J113" t="s">
        <v>19</v>
      </c>
      <c r="K113" s="11"/>
      <c r="L113" s="11"/>
      <c r="M113" s="11"/>
      <c r="N113" s="11"/>
      <c r="O113" s="11"/>
      <c r="P113" s="11"/>
      <c r="Q113" s="33"/>
      <c r="S113" s="10"/>
      <c r="T113" s="13"/>
      <c r="U113" s="22"/>
      <c r="V113" s="19"/>
      <c r="W113" s="4"/>
      <c r="X113" s="10" t="s">
        <v>33</v>
      </c>
      <c r="Y113" s="17"/>
    </row>
    <row r="114" spans="1:64" x14ac:dyDescent="0.2">
      <c r="A114">
        <v>12</v>
      </c>
      <c r="B114" s="1">
        <v>46197</v>
      </c>
      <c r="C114" s="2">
        <v>0.59094907407407404</v>
      </c>
      <c r="D114" t="s">
        <v>28</v>
      </c>
      <c r="E114" s="10" t="s">
        <v>33</v>
      </c>
      <c r="F114" s="11">
        <v>76.732116860999994</v>
      </c>
      <c r="G114" s="4">
        <v>1997</v>
      </c>
      <c r="H114" s="20">
        <v>1</v>
      </c>
      <c r="I114" s="17"/>
      <c r="J114" t="s">
        <v>19</v>
      </c>
      <c r="K114" s="11"/>
      <c r="L114" s="11"/>
      <c r="M114" s="11"/>
      <c r="N114" s="11"/>
      <c r="O114" s="11"/>
      <c r="P114" s="11"/>
      <c r="Q114" s="33"/>
      <c r="S114" s="10"/>
      <c r="T114" s="13"/>
      <c r="U114" s="22"/>
      <c r="V114" s="19"/>
      <c r="W114" s="4"/>
      <c r="X114" s="10" t="s">
        <v>33</v>
      </c>
      <c r="Y114" s="17"/>
    </row>
    <row r="115" spans="1:64" x14ac:dyDescent="0.2">
      <c r="A115">
        <v>13</v>
      </c>
      <c r="B115" s="1">
        <v>46197</v>
      </c>
      <c r="C115" s="2">
        <v>0.59116898148148145</v>
      </c>
      <c r="D115" t="s">
        <v>28</v>
      </c>
      <c r="E115" s="10" t="s">
        <v>37</v>
      </c>
      <c r="F115" s="11">
        <v>71.777559303000004</v>
      </c>
      <c r="G115" s="4">
        <v>2408.69263</v>
      </c>
      <c r="H115" s="20">
        <v>0</v>
      </c>
      <c r="I115" s="17" t="s">
        <v>48</v>
      </c>
      <c r="J115" t="s">
        <v>19</v>
      </c>
      <c r="K115" s="11"/>
      <c r="L115" s="11"/>
      <c r="M115" s="11"/>
      <c r="N115" s="11"/>
      <c r="O115" s="11"/>
      <c r="P115" s="11"/>
      <c r="Q115" s="33"/>
      <c r="S115" s="10"/>
      <c r="T115" s="13"/>
      <c r="U115" s="22"/>
      <c r="V115" s="19"/>
      <c r="W115" s="4"/>
      <c r="X115" s="10" t="s">
        <v>33</v>
      </c>
      <c r="Y115" s="17" t="s">
        <v>255</v>
      </c>
    </row>
    <row r="116" spans="1:64" x14ac:dyDescent="0.2">
      <c r="A116">
        <v>14</v>
      </c>
      <c r="B116" s="1">
        <v>46197</v>
      </c>
      <c r="C116" s="2">
        <v>0.5914814814814815</v>
      </c>
      <c r="D116" t="s">
        <v>28</v>
      </c>
      <c r="E116" s="10" t="s">
        <v>33</v>
      </c>
      <c r="F116" s="11">
        <v>78.955314494999996</v>
      </c>
      <c r="G116" s="4">
        <v>2128.0383299999999</v>
      </c>
      <c r="H116" s="20">
        <v>0</v>
      </c>
      <c r="I116" s="17"/>
      <c r="J116" t="s">
        <v>19</v>
      </c>
      <c r="K116" s="11"/>
      <c r="L116" s="11"/>
      <c r="M116" s="11"/>
      <c r="N116" s="11"/>
      <c r="O116" s="11"/>
      <c r="P116" s="11"/>
      <c r="Q116" s="33"/>
      <c r="S116" s="10"/>
      <c r="T116" s="13"/>
      <c r="U116" s="22"/>
      <c r="V116" s="19"/>
      <c r="W116" s="4"/>
      <c r="X116" s="10" t="s">
        <v>33</v>
      </c>
      <c r="Y116" s="17"/>
    </row>
    <row r="117" spans="1:64" x14ac:dyDescent="0.2">
      <c r="A117">
        <v>15</v>
      </c>
      <c r="B117" s="1">
        <v>46197</v>
      </c>
      <c r="C117" s="2">
        <v>0.59201388888888884</v>
      </c>
      <c r="D117" t="s">
        <v>28</v>
      </c>
      <c r="E117" s="10" t="s">
        <v>33</v>
      </c>
      <c r="F117" s="11">
        <v>78.574194509999998</v>
      </c>
      <c r="G117" s="4">
        <v>2112.3071300000001</v>
      </c>
      <c r="H117" s="20">
        <v>0</v>
      </c>
      <c r="I117" s="17"/>
      <c r="J117" t="s">
        <v>24</v>
      </c>
      <c r="K117" s="11"/>
      <c r="L117" s="11"/>
      <c r="M117" s="11"/>
      <c r="N117" s="11"/>
      <c r="O117" s="11"/>
      <c r="P117" s="11"/>
      <c r="Q117" s="33"/>
      <c r="S117" s="10"/>
      <c r="T117" s="13"/>
      <c r="U117" s="22"/>
      <c r="V117" s="19"/>
      <c r="W117" s="4"/>
      <c r="X117" s="10" t="s">
        <v>33</v>
      </c>
      <c r="Y117" s="17"/>
    </row>
    <row r="118" spans="1:64" x14ac:dyDescent="0.2">
      <c r="A118">
        <v>16</v>
      </c>
      <c r="B118" s="1">
        <v>46197</v>
      </c>
      <c r="C118" s="2">
        <v>0.59244212962962961</v>
      </c>
      <c r="D118" t="s">
        <v>28</v>
      </c>
      <c r="E118" s="10" t="s">
        <v>33</v>
      </c>
      <c r="F118" s="11">
        <v>77.938997743000002</v>
      </c>
      <c r="G118" s="4">
        <v>1994.864685</v>
      </c>
      <c r="H118" s="20">
        <v>0</v>
      </c>
      <c r="I118" s="17"/>
      <c r="J118" t="s">
        <v>24</v>
      </c>
      <c r="K118" s="11"/>
      <c r="L118" s="11"/>
      <c r="M118" s="11"/>
      <c r="N118" s="11"/>
      <c r="O118" s="11"/>
      <c r="P118" s="11"/>
      <c r="Q118" s="33"/>
      <c r="S118" s="10"/>
      <c r="T118" s="13"/>
      <c r="U118" s="22"/>
      <c r="V118" s="19"/>
      <c r="W118" s="4"/>
      <c r="X118" s="10" t="s">
        <v>33</v>
      </c>
      <c r="Y118" s="17" t="s">
        <v>255</v>
      </c>
    </row>
    <row r="119" spans="1:64" x14ac:dyDescent="0.2">
      <c r="A119">
        <v>17</v>
      </c>
      <c r="B119" s="1">
        <v>46197</v>
      </c>
      <c r="C119" s="2">
        <v>0.59265046296296298</v>
      </c>
      <c r="D119" t="s">
        <v>28</v>
      </c>
      <c r="E119" s="10" t="s">
        <v>33</v>
      </c>
      <c r="F119" s="11">
        <v>78.463040712999998</v>
      </c>
      <c r="G119" s="4">
        <v>2033.07251</v>
      </c>
      <c r="H119" s="20">
        <v>1</v>
      </c>
      <c r="I119" s="17" t="s">
        <v>39</v>
      </c>
      <c r="J119" t="s">
        <v>24</v>
      </c>
      <c r="K119" s="11"/>
      <c r="L119" s="11"/>
      <c r="M119" s="11"/>
      <c r="N119" s="11">
        <v>68.667195758999995</v>
      </c>
      <c r="O119" s="11"/>
      <c r="P119" s="11"/>
      <c r="Q119" s="33"/>
      <c r="S119" s="10"/>
      <c r="T119" s="13"/>
      <c r="U119" s="22"/>
      <c r="V119" s="19"/>
      <c r="W119" s="4"/>
      <c r="X119" s="10" t="s">
        <v>33</v>
      </c>
      <c r="Y119" s="17" t="s">
        <v>255</v>
      </c>
    </row>
    <row r="120" spans="1:64" x14ac:dyDescent="0.2">
      <c r="A120">
        <v>18</v>
      </c>
      <c r="B120" s="1">
        <v>46197</v>
      </c>
      <c r="C120" s="2">
        <v>0.59290509259259261</v>
      </c>
      <c r="D120" t="s">
        <v>28</v>
      </c>
      <c r="E120" s="10" t="s">
        <v>37</v>
      </c>
      <c r="F120" s="11">
        <v>71.76167907</v>
      </c>
      <c r="G120" s="4">
        <v>2353.0661599999999</v>
      </c>
      <c r="H120" s="20">
        <v>1</v>
      </c>
      <c r="I120" s="17" t="s">
        <v>254</v>
      </c>
      <c r="J120" t="s">
        <v>24</v>
      </c>
      <c r="K120" s="11">
        <v>87.714926137000006</v>
      </c>
      <c r="L120" s="11">
        <v>-23.6558876</v>
      </c>
      <c r="M120" s="11">
        <v>-35.477027900000003</v>
      </c>
      <c r="N120" s="11">
        <v>68.498617354000004</v>
      </c>
      <c r="O120" s="11"/>
      <c r="P120" s="11">
        <v>1.2805356999999999</v>
      </c>
      <c r="Q120" s="33">
        <v>0.88359649699999998</v>
      </c>
      <c r="S120" s="10"/>
      <c r="T120" s="10"/>
      <c r="U120" s="20"/>
      <c r="V120" s="17"/>
      <c r="W120" s="4"/>
      <c r="X120" s="10" t="s">
        <v>33</v>
      </c>
      <c r="Y120" s="17"/>
    </row>
    <row r="121" spans="1:64" x14ac:dyDescent="0.2">
      <c r="A121">
        <v>19</v>
      </c>
      <c r="B121" s="1">
        <v>46197</v>
      </c>
      <c r="C121" s="2">
        <v>0.59329861111111115</v>
      </c>
      <c r="D121" t="s">
        <v>28</v>
      </c>
      <c r="E121" s="10" t="s">
        <v>33</v>
      </c>
      <c r="F121" s="11">
        <v>77.557877981999994</v>
      </c>
      <c r="G121" s="4">
        <v>2070.69751</v>
      </c>
      <c r="H121" s="20">
        <v>0</v>
      </c>
      <c r="I121" s="17"/>
      <c r="J121" t="s">
        <v>22</v>
      </c>
      <c r="K121" s="11"/>
      <c r="L121" s="11"/>
      <c r="M121" s="11"/>
      <c r="N121" s="11"/>
      <c r="O121" s="11"/>
      <c r="P121" s="11"/>
      <c r="Q121" s="33"/>
      <c r="S121" s="10"/>
      <c r="T121" s="10"/>
      <c r="U121" s="20"/>
      <c r="V121" s="17"/>
      <c r="W121" s="4"/>
      <c r="X121" s="10" t="s">
        <v>33</v>
      </c>
      <c r="Y121" s="17" t="s">
        <v>48</v>
      </c>
    </row>
    <row r="122" spans="1:64" x14ac:dyDescent="0.2">
      <c r="A122">
        <v>20</v>
      </c>
      <c r="B122" s="1">
        <v>46197</v>
      </c>
      <c r="C122" s="2">
        <v>0.59350694444444441</v>
      </c>
      <c r="D122" t="s">
        <v>28</v>
      </c>
      <c r="E122" s="10" t="s">
        <v>33</v>
      </c>
      <c r="F122" s="11">
        <v>77.367313851999995</v>
      </c>
      <c r="G122" s="4">
        <v>2114.84204</v>
      </c>
      <c r="H122" s="20">
        <v>0</v>
      </c>
      <c r="I122" s="17"/>
      <c r="J122" t="s">
        <v>22</v>
      </c>
      <c r="K122" s="11"/>
      <c r="L122" s="11"/>
      <c r="M122" s="11"/>
      <c r="N122" s="11"/>
      <c r="O122" s="11"/>
      <c r="P122" s="11"/>
      <c r="Q122" s="33"/>
      <c r="S122" s="10"/>
      <c r="T122" s="10"/>
      <c r="U122" s="20"/>
      <c r="V122" s="17"/>
      <c r="W122" s="4"/>
      <c r="X122" s="10" t="s">
        <v>33</v>
      </c>
      <c r="Y122" s="17"/>
    </row>
    <row r="123" spans="1:64" s="155" customFormat="1" x14ac:dyDescent="0.2">
      <c r="A123" s="155">
        <v>21</v>
      </c>
      <c r="B123" s="156">
        <v>46197</v>
      </c>
      <c r="C123" s="157">
        <v>0.59373842592592596</v>
      </c>
      <c r="D123" s="155" t="s">
        <v>28</v>
      </c>
      <c r="E123" s="158" t="s">
        <v>33</v>
      </c>
      <c r="F123" s="159">
        <v>76.208073890999998</v>
      </c>
      <c r="G123" s="160">
        <v>2063.5314899999998</v>
      </c>
      <c r="H123" s="161">
        <v>1</v>
      </c>
      <c r="I123" s="162" t="s">
        <v>255</v>
      </c>
      <c r="J123" s="155" t="s">
        <v>22</v>
      </c>
      <c r="K123" s="159">
        <v>52.950472685999998</v>
      </c>
      <c r="L123" s="159">
        <v>-34.8240318</v>
      </c>
      <c r="M123" s="159">
        <v>33.565166499999997</v>
      </c>
      <c r="N123" s="159">
        <v>61.783619573000003</v>
      </c>
      <c r="O123" s="159">
        <v>8</v>
      </c>
      <c r="P123" s="159">
        <v>0.85703092800000003</v>
      </c>
      <c r="Q123" s="174">
        <v>0.57286941499999999</v>
      </c>
      <c r="S123" s="10"/>
      <c r="T123" s="158"/>
      <c r="U123" s="161"/>
      <c r="V123" s="162"/>
      <c r="W123" s="4"/>
      <c r="X123" s="10" t="s">
        <v>33</v>
      </c>
      <c r="Y123" s="17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</row>
    <row r="124" spans="1:64" x14ac:dyDescent="0.2">
      <c r="A124">
        <v>22</v>
      </c>
      <c r="B124" s="1">
        <v>46197</v>
      </c>
      <c r="C124" s="2">
        <v>0.60513888888888889</v>
      </c>
      <c r="D124" t="s">
        <v>28</v>
      </c>
      <c r="E124" s="10" t="s">
        <v>37</v>
      </c>
      <c r="F124" s="11">
        <v>73.857842227000006</v>
      </c>
      <c r="G124" s="4">
        <v>2434.3120100000001</v>
      </c>
      <c r="H124" s="20">
        <v>0</v>
      </c>
      <c r="I124" s="17"/>
      <c r="J124" t="s">
        <v>19</v>
      </c>
      <c r="K124" s="11"/>
      <c r="L124" s="11"/>
      <c r="M124" s="11"/>
      <c r="N124" s="11"/>
      <c r="O124" s="11"/>
      <c r="P124" s="11"/>
      <c r="Q124" s="33"/>
      <c r="S124" s="10"/>
      <c r="T124" s="10"/>
      <c r="U124" s="20"/>
      <c r="V124" s="17"/>
      <c r="W124" s="4"/>
      <c r="X124" s="10" t="s">
        <v>33</v>
      </c>
      <c r="Y124" s="17" t="s">
        <v>200</v>
      </c>
    </row>
    <row r="125" spans="1:64" x14ac:dyDescent="0.2">
      <c r="A125">
        <v>23</v>
      </c>
      <c r="B125" s="1">
        <v>46197</v>
      </c>
      <c r="C125" s="2">
        <v>0.60528935185185184</v>
      </c>
      <c r="D125" t="s">
        <v>28</v>
      </c>
      <c r="E125" s="10" t="s">
        <v>33</v>
      </c>
      <c r="F125" s="11">
        <v>78.193074749999994</v>
      </c>
      <c r="G125" s="4">
        <v>1871.8538799999999</v>
      </c>
      <c r="H125" s="20">
        <v>0</v>
      </c>
      <c r="I125" s="17"/>
      <c r="J125" t="s">
        <v>19</v>
      </c>
      <c r="K125" s="11"/>
      <c r="L125" s="11"/>
      <c r="M125" s="11"/>
      <c r="N125" s="11"/>
      <c r="O125" s="11"/>
      <c r="P125" s="11"/>
      <c r="Q125" s="33"/>
      <c r="S125" s="10"/>
      <c r="T125" s="13"/>
      <c r="U125" s="22"/>
      <c r="V125" s="19"/>
      <c r="W125" s="4"/>
      <c r="X125" s="10" t="s">
        <v>33</v>
      </c>
      <c r="Y125" s="17"/>
    </row>
    <row r="126" spans="1:64" x14ac:dyDescent="0.2">
      <c r="A126">
        <v>24</v>
      </c>
      <c r="B126" s="1">
        <v>46197</v>
      </c>
      <c r="C126" s="2">
        <v>0.60547453703703702</v>
      </c>
      <c r="D126" t="s">
        <v>28</v>
      </c>
      <c r="E126" s="10" t="s">
        <v>33</v>
      </c>
      <c r="F126" s="11">
        <v>78.955314494999996</v>
      </c>
      <c r="G126" s="4">
        <v>2119.9355500000001</v>
      </c>
      <c r="H126" s="20">
        <v>0</v>
      </c>
      <c r="I126" s="17"/>
      <c r="J126" t="s">
        <v>19</v>
      </c>
      <c r="K126" s="11"/>
      <c r="L126" s="11"/>
      <c r="M126" s="11"/>
      <c r="N126" s="11"/>
      <c r="O126" s="11"/>
      <c r="P126" s="11"/>
      <c r="Q126" s="33"/>
      <c r="S126" s="10"/>
      <c r="T126" s="10"/>
      <c r="U126" s="20"/>
      <c r="V126" s="17"/>
      <c r="W126" s="4"/>
      <c r="X126" s="10" t="s">
        <v>33</v>
      </c>
      <c r="Y126" s="17" t="s">
        <v>38</v>
      </c>
    </row>
    <row r="127" spans="1:64" x14ac:dyDescent="0.2">
      <c r="A127">
        <v>25</v>
      </c>
      <c r="B127" s="1">
        <v>46197</v>
      </c>
      <c r="C127" s="2">
        <v>0.60570601851851846</v>
      </c>
      <c r="D127" t="s">
        <v>28</v>
      </c>
      <c r="E127" s="10" t="s">
        <v>33</v>
      </c>
      <c r="F127" s="11">
        <v>76.605074106999993</v>
      </c>
      <c r="G127" s="4">
        <v>1006.67017</v>
      </c>
      <c r="H127" s="20">
        <v>1</v>
      </c>
      <c r="I127" s="17" t="s">
        <v>255</v>
      </c>
      <c r="J127" t="s">
        <v>19</v>
      </c>
      <c r="K127" s="11"/>
      <c r="L127" s="11"/>
      <c r="M127" s="11"/>
      <c r="N127" s="11">
        <v>61.867906650999998</v>
      </c>
      <c r="O127" s="11"/>
      <c r="P127" s="11"/>
      <c r="Q127" s="33"/>
      <c r="S127" s="10"/>
      <c r="T127" s="10"/>
      <c r="U127" s="20"/>
      <c r="V127" s="17"/>
      <c r="W127" s="4"/>
      <c r="X127" s="10" t="s">
        <v>33</v>
      </c>
      <c r="Y127" s="17"/>
    </row>
    <row r="128" spans="1:64" x14ac:dyDescent="0.2">
      <c r="A128">
        <v>26</v>
      </c>
      <c r="B128" s="1">
        <v>46197</v>
      </c>
      <c r="C128" s="2">
        <v>0.60624999999999996</v>
      </c>
      <c r="D128" t="s">
        <v>28</v>
      </c>
      <c r="E128" s="10" t="s">
        <v>33</v>
      </c>
      <c r="F128" s="11">
        <v>79.781075392999995</v>
      </c>
      <c r="G128" s="4">
        <v>2148.7602499999998</v>
      </c>
      <c r="H128" s="20">
        <v>1</v>
      </c>
      <c r="I128" s="17" t="s">
        <v>255</v>
      </c>
      <c r="J128" t="s">
        <v>24</v>
      </c>
      <c r="K128" s="11">
        <v>79.067842217999996</v>
      </c>
      <c r="L128" s="11">
        <v>4.0375623699999998</v>
      </c>
      <c r="M128" s="11">
        <v>-24.478088400000001</v>
      </c>
      <c r="N128" s="11">
        <v>63.497489696999999</v>
      </c>
      <c r="O128" s="11">
        <v>93</v>
      </c>
      <c r="P128" s="11">
        <v>1.2452120799999999</v>
      </c>
      <c r="Q128" s="33">
        <v>0.82905600000000002</v>
      </c>
      <c r="S128" s="10"/>
      <c r="T128" s="10"/>
      <c r="U128" s="20"/>
      <c r="V128" s="17"/>
      <c r="W128" s="4"/>
      <c r="X128" s="10" t="s">
        <v>33</v>
      </c>
      <c r="Y128" s="17" t="s">
        <v>48</v>
      </c>
    </row>
    <row r="129" spans="1:25" x14ac:dyDescent="0.2">
      <c r="A129">
        <v>27</v>
      </c>
      <c r="B129" s="1">
        <v>46197</v>
      </c>
      <c r="C129" s="2">
        <v>0.60666666666666669</v>
      </c>
      <c r="D129" t="s">
        <v>28</v>
      </c>
      <c r="E129" s="10" t="s">
        <v>37</v>
      </c>
      <c r="F129" s="11">
        <v>74.000756713000001</v>
      </c>
      <c r="G129" s="4">
        <v>2431.2040999999999</v>
      </c>
      <c r="H129" s="20">
        <v>0</v>
      </c>
      <c r="I129" s="17"/>
      <c r="J129" t="s">
        <v>22</v>
      </c>
      <c r="K129" s="11"/>
      <c r="L129" s="11"/>
      <c r="M129" s="11"/>
      <c r="N129" s="11"/>
      <c r="O129" s="11"/>
      <c r="P129" s="11"/>
      <c r="Q129" s="33"/>
      <c r="S129" s="10"/>
      <c r="T129" s="10"/>
      <c r="U129" s="20"/>
      <c r="V129" s="17"/>
      <c r="W129" s="4"/>
      <c r="X129" s="10" t="s">
        <v>33</v>
      </c>
      <c r="Y129" s="17"/>
    </row>
    <row r="130" spans="1:25" x14ac:dyDescent="0.2">
      <c r="A130">
        <v>28</v>
      </c>
      <c r="B130" s="1">
        <v>46197</v>
      </c>
      <c r="C130" s="2">
        <v>0.60688657407407409</v>
      </c>
      <c r="D130" t="s">
        <v>28</v>
      </c>
      <c r="E130" s="10" t="s">
        <v>37</v>
      </c>
      <c r="F130" s="11">
        <v>72.793876053999995</v>
      </c>
      <c r="G130" s="4">
        <v>2436.66626</v>
      </c>
      <c r="H130" s="20">
        <v>0</v>
      </c>
      <c r="I130" s="17"/>
      <c r="J130" t="s">
        <v>22</v>
      </c>
      <c r="K130" s="11"/>
      <c r="L130" s="11"/>
      <c r="M130" s="11"/>
      <c r="N130" s="11"/>
      <c r="O130" s="11"/>
      <c r="P130" s="11"/>
      <c r="Q130" s="33"/>
      <c r="S130" s="10"/>
      <c r="T130" s="10"/>
      <c r="U130" s="20"/>
      <c r="V130" s="17"/>
      <c r="W130" s="4"/>
      <c r="X130" s="10" t="s">
        <v>33</v>
      </c>
      <c r="Y130" s="17" t="s">
        <v>38</v>
      </c>
    </row>
    <row r="131" spans="1:25" x14ac:dyDescent="0.2">
      <c r="A131">
        <v>29</v>
      </c>
      <c r="B131" s="1">
        <v>46197</v>
      </c>
      <c r="C131" s="2">
        <v>0.60717592592592595</v>
      </c>
      <c r="D131" t="s">
        <v>28</v>
      </c>
      <c r="E131" s="10" t="s">
        <v>33</v>
      </c>
      <c r="F131" s="11">
        <v>78.574194509999998</v>
      </c>
      <c r="G131" s="4">
        <v>2265.7670899999998</v>
      </c>
      <c r="H131" s="20">
        <v>0</v>
      </c>
      <c r="I131" s="17"/>
      <c r="J131" t="s">
        <v>22</v>
      </c>
      <c r="K131" s="11"/>
      <c r="L131" s="11"/>
      <c r="M131" s="11"/>
      <c r="N131" s="11"/>
      <c r="O131" s="11"/>
      <c r="P131" s="11"/>
      <c r="Q131" s="33"/>
      <c r="S131" s="10"/>
      <c r="T131" s="13"/>
      <c r="U131" s="22"/>
      <c r="V131" s="19"/>
      <c r="W131" s="4"/>
      <c r="X131" s="13" t="s">
        <v>33</v>
      </c>
      <c r="Y131" s="19" t="s">
        <v>38</v>
      </c>
    </row>
    <row r="132" spans="1:25" ht="17" thickBot="1" x14ac:dyDescent="0.25">
      <c r="A132">
        <v>30</v>
      </c>
      <c r="B132" s="1">
        <v>46197</v>
      </c>
      <c r="C132" s="2">
        <v>0.60741898148148143</v>
      </c>
      <c r="D132" t="s">
        <v>28</v>
      </c>
      <c r="E132" s="10" t="s">
        <v>33</v>
      </c>
      <c r="F132" s="11">
        <v>77.351433396000004</v>
      </c>
      <c r="G132" s="4">
        <v>2051.40454</v>
      </c>
      <c r="H132" s="20">
        <v>0</v>
      </c>
      <c r="I132" s="17" t="s">
        <v>48</v>
      </c>
      <c r="J132" t="s">
        <v>22</v>
      </c>
      <c r="K132" s="11"/>
      <c r="L132" s="11"/>
      <c r="M132" s="11"/>
      <c r="N132" s="11"/>
      <c r="O132" s="11"/>
      <c r="P132" s="11"/>
      <c r="Q132" s="33"/>
      <c r="S132" s="10"/>
      <c r="T132" s="13"/>
      <c r="U132" s="22"/>
      <c r="V132" s="19"/>
      <c r="W132" s="4"/>
      <c r="X132" s="125" t="s">
        <v>33</v>
      </c>
      <c r="Y132" s="127"/>
    </row>
    <row r="133" spans="1:25" x14ac:dyDescent="0.2">
      <c r="A133">
        <v>31</v>
      </c>
      <c r="B133" s="1">
        <v>46197</v>
      </c>
      <c r="C133" s="2">
        <v>0.6076273148148148</v>
      </c>
      <c r="D133" t="s">
        <v>28</v>
      </c>
      <c r="E133" s="10" t="s">
        <v>33</v>
      </c>
      <c r="F133" s="11">
        <v>77.684920735999995</v>
      </c>
      <c r="G133" s="4">
        <v>2116.6481899999999</v>
      </c>
      <c r="H133" s="20">
        <v>0</v>
      </c>
      <c r="I133" s="17"/>
      <c r="J133" t="s">
        <v>22</v>
      </c>
      <c r="K133" s="11"/>
      <c r="L133" s="11"/>
      <c r="M133" s="11"/>
      <c r="N133" s="11"/>
      <c r="O133" s="11"/>
      <c r="P133" s="11"/>
      <c r="Q133" s="33"/>
      <c r="S133" s="10"/>
      <c r="T133" s="13"/>
      <c r="U133" s="22"/>
      <c r="V133" s="19"/>
      <c r="W133" s="4"/>
      <c r="X133" s="13" t="s">
        <v>33</v>
      </c>
      <c r="Y133" s="19" t="s">
        <v>254</v>
      </c>
    </row>
    <row r="134" spans="1:25" x14ac:dyDescent="0.2">
      <c r="A134">
        <v>32</v>
      </c>
      <c r="B134" s="1">
        <v>46197</v>
      </c>
      <c r="C134" s="2">
        <v>0.60796296296296293</v>
      </c>
      <c r="D134" t="s">
        <v>28</v>
      </c>
      <c r="E134" s="10" t="s">
        <v>33</v>
      </c>
      <c r="F134" s="11">
        <v>78.193074749999994</v>
      </c>
      <c r="G134" s="4">
        <v>2122.5668900000001</v>
      </c>
      <c r="H134" s="20">
        <v>0</v>
      </c>
      <c r="I134" s="17"/>
      <c r="J134" t="s">
        <v>17</v>
      </c>
      <c r="K134" s="11"/>
      <c r="L134" s="11"/>
      <c r="M134" s="11"/>
      <c r="N134" s="11"/>
      <c r="O134" s="11"/>
      <c r="P134" s="11"/>
      <c r="Q134" s="33"/>
      <c r="S134" s="10"/>
      <c r="T134" s="10"/>
      <c r="U134" s="20"/>
      <c r="V134" s="17"/>
      <c r="W134" s="4"/>
      <c r="X134" s="13" t="s">
        <v>33</v>
      </c>
      <c r="Y134" s="19" t="s">
        <v>41</v>
      </c>
    </row>
    <row r="135" spans="1:25" x14ac:dyDescent="0.2">
      <c r="A135">
        <v>33</v>
      </c>
      <c r="B135" s="1">
        <v>46197</v>
      </c>
      <c r="C135" s="2">
        <v>0.60817129629629629</v>
      </c>
      <c r="D135" t="s">
        <v>28</v>
      </c>
      <c r="E135" s="10" t="s">
        <v>33</v>
      </c>
      <c r="F135" s="11">
        <v>76.478039854000002</v>
      </c>
      <c r="G135" s="4">
        <v>2051.8474099999999</v>
      </c>
      <c r="H135" s="20">
        <v>0</v>
      </c>
      <c r="I135" s="17" t="s">
        <v>200</v>
      </c>
      <c r="J135" t="s">
        <v>17</v>
      </c>
      <c r="K135" s="11"/>
      <c r="L135" s="11"/>
      <c r="M135" s="11"/>
      <c r="N135" s="11"/>
      <c r="O135" s="11"/>
      <c r="P135" s="11"/>
      <c r="Q135" s="33"/>
      <c r="S135" s="10"/>
      <c r="T135" s="10"/>
      <c r="U135" s="20"/>
      <c r="V135" s="17"/>
      <c r="W135" s="4"/>
      <c r="X135" s="13" t="s">
        <v>33</v>
      </c>
      <c r="Y135" s="19" t="s">
        <v>39</v>
      </c>
    </row>
    <row r="136" spans="1:25" x14ac:dyDescent="0.2">
      <c r="A136">
        <v>34</v>
      </c>
      <c r="B136" s="1">
        <v>46197</v>
      </c>
      <c r="C136" s="2">
        <v>0.61148148148148151</v>
      </c>
      <c r="D136" t="s">
        <v>28</v>
      </c>
      <c r="E136" s="10" t="s">
        <v>33</v>
      </c>
      <c r="F136" s="11">
        <v>78.320117503999995</v>
      </c>
      <c r="G136" s="4">
        <v>1056.7506100000001</v>
      </c>
      <c r="H136" s="20">
        <v>0</v>
      </c>
      <c r="I136" s="17"/>
      <c r="J136" t="s">
        <v>17</v>
      </c>
      <c r="K136" s="11"/>
      <c r="L136" s="11"/>
      <c r="M136" s="11"/>
      <c r="N136" s="11"/>
      <c r="O136" s="11"/>
      <c r="P136" s="11"/>
      <c r="Q136" s="33"/>
      <c r="S136" s="10"/>
      <c r="T136" s="10"/>
      <c r="U136" s="20"/>
      <c r="V136" s="17"/>
      <c r="W136" s="4"/>
      <c r="X136" s="13" t="s">
        <v>33</v>
      </c>
      <c r="Y136" s="19" t="s">
        <v>38</v>
      </c>
    </row>
    <row r="137" spans="1:25" x14ac:dyDescent="0.2">
      <c r="A137">
        <v>35</v>
      </c>
      <c r="B137" s="1">
        <v>46197</v>
      </c>
      <c r="C137" s="2">
        <v>0.6116435185185185</v>
      </c>
      <c r="D137" t="s">
        <v>28</v>
      </c>
      <c r="E137" s="10" t="s">
        <v>33</v>
      </c>
      <c r="F137" s="11">
        <v>78.002519120000002</v>
      </c>
      <c r="G137" s="4">
        <v>2137.8645000000001</v>
      </c>
      <c r="H137" s="20">
        <v>1</v>
      </c>
      <c r="I137" s="17" t="s">
        <v>38</v>
      </c>
      <c r="J137" t="s">
        <v>17</v>
      </c>
      <c r="K137" s="11"/>
      <c r="L137" s="11"/>
      <c r="M137" s="11"/>
      <c r="N137" s="11">
        <v>61.025019323000002</v>
      </c>
      <c r="O137" s="11"/>
      <c r="P137" s="11"/>
      <c r="Q137" s="33"/>
      <c r="S137" s="10"/>
      <c r="T137" s="10"/>
      <c r="U137" s="20"/>
      <c r="V137" s="17"/>
      <c r="W137" s="4"/>
      <c r="X137" s="13" t="s">
        <v>33</v>
      </c>
      <c r="Y137" s="19"/>
    </row>
    <row r="138" spans="1:25" x14ac:dyDescent="0.2">
      <c r="A138">
        <v>36</v>
      </c>
      <c r="B138" s="1">
        <v>46197</v>
      </c>
      <c r="C138" s="2">
        <v>0.61207175925925927</v>
      </c>
      <c r="D138" t="s">
        <v>28</v>
      </c>
      <c r="E138" s="10" t="s">
        <v>37</v>
      </c>
      <c r="F138" s="11">
        <v>74.191321067000004</v>
      </c>
      <c r="G138" s="4">
        <v>2522.86816</v>
      </c>
      <c r="H138" s="20">
        <v>0</v>
      </c>
      <c r="I138" s="17"/>
      <c r="J138" t="s">
        <v>17</v>
      </c>
      <c r="K138" s="11"/>
      <c r="L138" s="11"/>
      <c r="M138" s="11"/>
      <c r="N138" s="11"/>
      <c r="O138" s="11"/>
      <c r="P138" s="11"/>
      <c r="Q138" s="33"/>
      <c r="S138" s="10"/>
      <c r="T138" s="10"/>
      <c r="U138" s="20"/>
      <c r="V138" s="17"/>
      <c r="W138" s="4"/>
      <c r="X138" s="13" t="s">
        <v>33</v>
      </c>
      <c r="Y138" s="19" t="s">
        <v>38</v>
      </c>
    </row>
    <row r="139" spans="1:25" x14ac:dyDescent="0.2">
      <c r="A139">
        <v>37</v>
      </c>
      <c r="B139" s="1">
        <v>46197</v>
      </c>
      <c r="C139" s="2">
        <v>0.61246527777777782</v>
      </c>
      <c r="D139" t="s">
        <v>28</v>
      </c>
      <c r="E139" s="10" t="s">
        <v>37</v>
      </c>
      <c r="F139" s="11">
        <v>75.207637594999994</v>
      </c>
      <c r="G139" s="4">
        <v>872.09515399999998</v>
      </c>
      <c r="H139" s="20">
        <v>1</v>
      </c>
      <c r="I139" s="17" t="s">
        <v>39</v>
      </c>
      <c r="J139" t="s">
        <v>17</v>
      </c>
      <c r="K139" s="11"/>
      <c r="L139" s="11"/>
      <c r="M139" s="11"/>
      <c r="N139" s="11">
        <v>63.385102676000002</v>
      </c>
      <c r="O139" s="11"/>
      <c r="P139" s="11"/>
      <c r="Q139" s="33"/>
      <c r="S139" s="10"/>
      <c r="T139" s="13"/>
      <c r="U139" s="22"/>
      <c r="V139" s="19"/>
      <c r="W139" s="4"/>
      <c r="X139" s="13" t="s">
        <v>33</v>
      </c>
      <c r="Y139" s="19" t="s">
        <v>38</v>
      </c>
    </row>
    <row r="140" spans="1:25" x14ac:dyDescent="0.2">
      <c r="A140">
        <v>38</v>
      </c>
      <c r="B140" s="1">
        <v>46197</v>
      </c>
      <c r="C140" s="2">
        <v>0.61265046296296299</v>
      </c>
      <c r="D140" t="s">
        <v>28</v>
      </c>
      <c r="E140" s="10" t="s">
        <v>37</v>
      </c>
      <c r="F140" s="11">
        <v>74.191321067000004</v>
      </c>
      <c r="G140" s="4">
        <v>2638.6835900000001</v>
      </c>
      <c r="H140" s="20">
        <v>1</v>
      </c>
      <c r="I140" s="17" t="s">
        <v>38</v>
      </c>
      <c r="J140" t="s">
        <v>17</v>
      </c>
      <c r="K140" s="11"/>
      <c r="L140" s="11"/>
      <c r="M140" s="11"/>
      <c r="N140" s="11">
        <v>59.451631912000003</v>
      </c>
      <c r="O140" s="11"/>
      <c r="P140" s="11"/>
      <c r="Q140" s="33"/>
      <c r="S140" s="10"/>
      <c r="T140" s="13"/>
      <c r="U140" s="22"/>
      <c r="V140" s="19"/>
      <c r="W140" s="4"/>
      <c r="X140" s="13" t="s">
        <v>33</v>
      </c>
      <c r="Y140" s="19"/>
    </row>
    <row r="141" spans="1:25" x14ac:dyDescent="0.2">
      <c r="A141">
        <v>39</v>
      </c>
      <c r="B141" s="1">
        <v>46197</v>
      </c>
      <c r="C141" s="2">
        <v>0.61296296296296293</v>
      </c>
      <c r="D141" t="s">
        <v>28</v>
      </c>
      <c r="E141" s="10" t="s">
        <v>33</v>
      </c>
      <c r="F141" s="11">
        <v>78.891792894000005</v>
      </c>
      <c r="G141" s="4">
        <v>2113.5625</v>
      </c>
      <c r="H141" s="20">
        <v>0</v>
      </c>
      <c r="I141" s="17"/>
      <c r="J141" t="s">
        <v>17</v>
      </c>
      <c r="K141" s="11"/>
      <c r="L141" s="11"/>
      <c r="M141" s="11"/>
      <c r="N141" s="11"/>
      <c r="O141" s="11"/>
      <c r="P141" s="11"/>
      <c r="Q141" s="33"/>
      <c r="S141" s="10"/>
      <c r="T141" s="10"/>
      <c r="U141" s="20"/>
      <c r="V141" s="17"/>
      <c r="W141" s="4"/>
      <c r="X141" s="13" t="s">
        <v>33</v>
      </c>
      <c r="Y141" s="19"/>
    </row>
    <row r="142" spans="1:25" x14ac:dyDescent="0.2">
      <c r="A142">
        <v>40</v>
      </c>
      <c r="B142" s="1">
        <v>46197</v>
      </c>
      <c r="C142" s="2">
        <v>0.61318287037037034</v>
      </c>
      <c r="D142" t="s">
        <v>28</v>
      </c>
      <c r="E142" s="10" t="s">
        <v>37</v>
      </c>
      <c r="F142" s="11">
        <v>74.762996458000003</v>
      </c>
      <c r="G142" s="4">
        <v>266.304596</v>
      </c>
      <c r="H142" s="20">
        <v>1</v>
      </c>
      <c r="I142" s="17" t="s">
        <v>38</v>
      </c>
      <c r="J142" t="s">
        <v>17</v>
      </c>
      <c r="K142" s="11"/>
      <c r="L142" s="11"/>
      <c r="M142" s="11"/>
      <c r="N142" s="11">
        <v>58.777318739999998</v>
      </c>
      <c r="O142" s="11"/>
      <c r="P142" s="11"/>
      <c r="Q142" s="33"/>
      <c r="S142" s="10"/>
      <c r="T142" s="13"/>
      <c r="U142" s="22"/>
      <c r="V142" s="19"/>
      <c r="W142" s="4"/>
      <c r="X142" s="13" t="s">
        <v>33</v>
      </c>
      <c r="Y142" s="19"/>
    </row>
    <row r="143" spans="1:25" x14ac:dyDescent="0.2">
      <c r="A143">
        <v>41</v>
      </c>
      <c r="B143" s="1">
        <v>46197</v>
      </c>
      <c r="C143" s="2">
        <v>0.6134722222222222</v>
      </c>
      <c r="D143" t="s">
        <v>28</v>
      </c>
      <c r="E143" s="10" t="s">
        <v>33</v>
      </c>
      <c r="F143" s="11">
        <v>77.811954989</v>
      </c>
      <c r="G143" s="4">
        <v>2071.80566</v>
      </c>
      <c r="H143" s="20">
        <v>0</v>
      </c>
      <c r="I143" s="17" t="s">
        <v>48</v>
      </c>
      <c r="J143" t="s">
        <v>17</v>
      </c>
      <c r="K143" s="11"/>
      <c r="L143" s="11"/>
      <c r="M143" s="11"/>
      <c r="N143" s="11"/>
      <c r="O143" s="11"/>
      <c r="P143" s="11"/>
      <c r="Q143" s="33"/>
      <c r="S143" s="10"/>
      <c r="T143" s="13"/>
      <c r="U143" s="22"/>
      <c r="V143" s="19"/>
      <c r="W143" s="4"/>
      <c r="X143" s="13" t="s">
        <v>33</v>
      </c>
      <c r="Y143" s="19"/>
    </row>
    <row r="144" spans="1:25" x14ac:dyDescent="0.2">
      <c r="A144">
        <v>42</v>
      </c>
      <c r="B144" s="1">
        <v>46197</v>
      </c>
      <c r="C144" s="2">
        <v>0.61365740740740737</v>
      </c>
      <c r="D144" t="s">
        <v>28</v>
      </c>
      <c r="E144" s="10" t="s">
        <v>33</v>
      </c>
      <c r="F144" s="11">
        <v>76.970313634999997</v>
      </c>
      <c r="G144" s="4">
        <v>2171.4694800000002</v>
      </c>
      <c r="H144" s="20">
        <v>0</v>
      </c>
      <c r="I144" s="17"/>
      <c r="J144" t="s">
        <v>17</v>
      </c>
      <c r="K144" s="11"/>
      <c r="L144" s="11"/>
      <c r="M144" s="11"/>
      <c r="N144" s="11"/>
      <c r="O144" s="11"/>
      <c r="P144" s="11"/>
      <c r="Q144" s="33"/>
      <c r="S144" s="10"/>
      <c r="T144" s="10"/>
      <c r="U144" s="20"/>
      <c r="V144" s="17"/>
      <c r="W144" s="4"/>
      <c r="X144" s="13" t="s">
        <v>33</v>
      </c>
      <c r="Y144" s="19" t="s">
        <v>48</v>
      </c>
    </row>
    <row r="145" spans="1:64" x14ac:dyDescent="0.2">
      <c r="A145">
        <v>43</v>
      </c>
      <c r="B145" s="1">
        <v>46197</v>
      </c>
      <c r="C145" s="2">
        <v>0.61406249999999996</v>
      </c>
      <c r="D145" t="s">
        <v>28</v>
      </c>
      <c r="E145" s="10" t="s">
        <v>37</v>
      </c>
      <c r="F145" s="11">
        <v>73.857842227000006</v>
      </c>
      <c r="G145" s="4">
        <v>1192.5979</v>
      </c>
      <c r="H145" s="20">
        <v>1</v>
      </c>
      <c r="I145" s="17" t="s">
        <v>38</v>
      </c>
      <c r="J145" t="s">
        <v>20</v>
      </c>
      <c r="K145" s="11"/>
      <c r="L145" s="11"/>
      <c r="M145" s="11"/>
      <c r="N145" s="11">
        <v>65.408033693999997</v>
      </c>
      <c r="O145" s="11"/>
      <c r="P145" s="11"/>
      <c r="Q145" s="33"/>
      <c r="S145" s="10"/>
      <c r="T145" s="10"/>
      <c r="U145" s="20"/>
      <c r="V145" s="17"/>
      <c r="W145" s="4"/>
      <c r="X145" s="13" t="s">
        <v>33</v>
      </c>
      <c r="Y145" s="19" t="s">
        <v>274</v>
      </c>
    </row>
    <row r="146" spans="1:64" x14ac:dyDescent="0.2">
      <c r="A146">
        <v>44</v>
      </c>
      <c r="B146" s="1">
        <v>46197</v>
      </c>
      <c r="C146" s="2">
        <v>0.61458333333333337</v>
      </c>
      <c r="D146" t="s">
        <v>28</v>
      </c>
      <c r="E146" s="10" t="s">
        <v>37</v>
      </c>
      <c r="F146" s="11">
        <v>73.222636735999998</v>
      </c>
      <c r="G146" s="4">
        <v>2425.2949199999998</v>
      </c>
      <c r="H146" s="20">
        <v>0</v>
      </c>
      <c r="I146" s="17"/>
      <c r="J146" t="s">
        <v>20</v>
      </c>
      <c r="K146" s="11"/>
      <c r="L146" s="11"/>
      <c r="M146" s="11"/>
      <c r="N146" s="11"/>
      <c r="O146" s="11"/>
      <c r="P146" s="11"/>
      <c r="Q146" s="33"/>
      <c r="S146" s="10"/>
      <c r="T146" s="10"/>
      <c r="U146" s="20"/>
      <c r="V146" s="17"/>
      <c r="W146" s="4"/>
      <c r="X146" s="13" t="s">
        <v>33</v>
      </c>
      <c r="Y146" s="19"/>
    </row>
    <row r="147" spans="1:64" x14ac:dyDescent="0.2">
      <c r="A147">
        <v>45</v>
      </c>
      <c r="B147" s="1">
        <v>46197</v>
      </c>
      <c r="C147" s="2">
        <v>0.61478009259259259</v>
      </c>
      <c r="D147" t="s">
        <v>28</v>
      </c>
      <c r="E147" s="10" t="s">
        <v>33</v>
      </c>
      <c r="F147" s="11">
        <v>77.494356605999997</v>
      </c>
      <c r="G147" s="4">
        <v>2193.4067399999999</v>
      </c>
      <c r="H147" s="20">
        <v>1</v>
      </c>
      <c r="I147" s="17" t="s">
        <v>38</v>
      </c>
      <c r="J147" t="s">
        <v>20</v>
      </c>
      <c r="K147" s="11"/>
      <c r="L147" s="11"/>
      <c r="M147" s="11"/>
      <c r="N147" s="11">
        <v>70.465352736</v>
      </c>
      <c r="O147" s="11"/>
      <c r="P147" s="11"/>
      <c r="Q147" s="33"/>
      <c r="S147" s="10"/>
      <c r="T147" s="10"/>
      <c r="U147" s="20"/>
      <c r="V147" s="17"/>
      <c r="W147" s="4"/>
      <c r="X147" s="13" t="s">
        <v>33</v>
      </c>
      <c r="Y147" s="19"/>
    </row>
    <row r="148" spans="1:64" s="115" customFormat="1" ht="17" thickBot="1" x14ac:dyDescent="0.25">
      <c r="A148" s="115">
        <v>46</v>
      </c>
      <c r="B148" s="116">
        <v>46197</v>
      </c>
      <c r="C148" s="117">
        <v>0.61505787037037041</v>
      </c>
      <c r="D148" s="115" t="s">
        <v>28</v>
      </c>
      <c r="E148" s="118" t="s">
        <v>37</v>
      </c>
      <c r="F148" s="119">
        <v>73.603756720000007</v>
      </c>
      <c r="G148" s="130">
        <v>2372.4421400000001</v>
      </c>
      <c r="H148" s="121">
        <v>1</v>
      </c>
      <c r="I148" s="120" t="s">
        <v>45</v>
      </c>
      <c r="J148" s="115" t="s">
        <v>20</v>
      </c>
      <c r="K148" s="119"/>
      <c r="L148" s="119"/>
      <c r="M148" s="119"/>
      <c r="N148" s="119">
        <v>60.463093170999997</v>
      </c>
      <c r="O148" s="119"/>
      <c r="P148" s="119"/>
      <c r="Q148" s="173"/>
      <c r="S148" s="10"/>
      <c r="T148" s="118"/>
      <c r="U148" s="121"/>
      <c r="V148" s="120"/>
      <c r="W148" s="4"/>
      <c r="X148" s="13" t="s">
        <v>33</v>
      </c>
      <c r="Y148" s="19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</row>
    <row r="149" spans="1:64" x14ac:dyDescent="0.2">
      <c r="A149">
        <v>47</v>
      </c>
      <c r="B149" s="8">
        <v>46203</v>
      </c>
      <c r="C149" s="9">
        <v>0.78437500000000004</v>
      </c>
      <c r="D149" s="7" t="s">
        <v>28</v>
      </c>
      <c r="E149" s="13" t="s">
        <v>33</v>
      </c>
      <c r="F149" s="16">
        <v>78.002519100000001</v>
      </c>
      <c r="G149" s="129">
        <v>2128.68921</v>
      </c>
      <c r="H149" s="22">
        <v>1</v>
      </c>
      <c r="I149" s="19" t="s">
        <v>38</v>
      </c>
      <c r="J149" s="7" t="s">
        <v>17</v>
      </c>
      <c r="K149" s="16">
        <v>61.838850899999997</v>
      </c>
      <c r="L149" s="16">
        <v>-23.239725</v>
      </c>
      <c r="M149" s="16"/>
      <c r="N149" s="16">
        <v>63.834642000000002</v>
      </c>
      <c r="O149" s="16">
        <v>8</v>
      </c>
      <c r="P149" s="16">
        <v>0.96873500000000001</v>
      </c>
      <c r="Q149" s="175">
        <v>0.64882622000000001</v>
      </c>
      <c r="S149" s="13"/>
      <c r="T149" s="10"/>
      <c r="U149" s="20"/>
      <c r="V149" s="17"/>
      <c r="X149" s="13" t="s">
        <v>33</v>
      </c>
      <c r="Y149" s="19"/>
    </row>
    <row r="150" spans="1:64" x14ac:dyDescent="0.2">
      <c r="A150">
        <v>48</v>
      </c>
      <c r="B150" s="8">
        <v>46203</v>
      </c>
      <c r="C150" s="9">
        <v>0.78459490740740745</v>
      </c>
      <c r="D150" s="7" t="s">
        <v>28</v>
      </c>
      <c r="E150" s="13" t="s">
        <v>37</v>
      </c>
      <c r="F150" s="16">
        <v>73.9213551</v>
      </c>
      <c r="G150" s="129">
        <v>1582.8161600000001</v>
      </c>
      <c r="H150" s="22">
        <v>0</v>
      </c>
      <c r="I150" s="19" t="s">
        <v>41</v>
      </c>
      <c r="J150" s="7" t="s">
        <v>17</v>
      </c>
      <c r="K150" s="16"/>
      <c r="L150" s="16"/>
      <c r="M150" s="16"/>
      <c r="N150" s="16"/>
      <c r="O150" s="16"/>
      <c r="P150" s="16"/>
      <c r="Q150" s="175"/>
      <c r="S150" s="13"/>
      <c r="T150" s="10"/>
      <c r="U150" s="20"/>
      <c r="V150" s="17"/>
      <c r="X150" s="13" t="s">
        <v>33</v>
      </c>
      <c r="Y150" s="19" t="s">
        <v>45</v>
      </c>
    </row>
    <row r="151" spans="1:64" x14ac:dyDescent="0.2">
      <c r="A151">
        <v>49</v>
      </c>
      <c r="B151" s="8">
        <v>46203</v>
      </c>
      <c r="C151" s="9">
        <v>0.78497685185185184</v>
      </c>
      <c r="D151" s="7" t="s">
        <v>28</v>
      </c>
      <c r="E151" s="13" t="s">
        <v>33</v>
      </c>
      <c r="F151" s="16">
        <v>76.970313599999997</v>
      </c>
      <c r="G151" s="129">
        <v>2159.7490200000002</v>
      </c>
      <c r="H151" s="22">
        <v>0</v>
      </c>
      <c r="I151" s="19"/>
      <c r="J151" s="7" t="s">
        <v>17</v>
      </c>
      <c r="K151" s="16"/>
      <c r="L151" s="16"/>
      <c r="M151" s="16"/>
      <c r="N151" s="16"/>
      <c r="O151" s="16"/>
      <c r="P151" s="16"/>
      <c r="Q151" s="175"/>
      <c r="S151" s="13"/>
      <c r="T151" s="10"/>
      <c r="U151" s="20"/>
      <c r="V151" s="17"/>
      <c r="X151" s="13" t="s">
        <v>33</v>
      </c>
      <c r="Y151" s="19"/>
    </row>
    <row r="152" spans="1:64" x14ac:dyDescent="0.2">
      <c r="A152">
        <v>50</v>
      </c>
      <c r="B152" s="8">
        <v>46203</v>
      </c>
      <c r="C152" s="9">
        <v>0.78519675925925925</v>
      </c>
      <c r="D152" s="7" t="s">
        <v>28</v>
      </c>
      <c r="E152" s="13" t="s">
        <v>33</v>
      </c>
      <c r="F152" s="16">
        <v>75.525236000000007</v>
      </c>
      <c r="G152" s="129">
        <v>2083.73828</v>
      </c>
      <c r="H152" s="22">
        <v>1</v>
      </c>
      <c r="I152" s="19" t="s">
        <v>254</v>
      </c>
      <c r="J152" s="7" t="s">
        <v>17</v>
      </c>
      <c r="K152" s="16">
        <v>99.463883300000006</v>
      </c>
      <c r="L152" s="16">
        <v>10.3057289</v>
      </c>
      <c r="M152" s="16">
        <v>-11.79813</v>
      </c>
      <c r="N152" s="16">
        <v>65.127068499999993</v>
      </c>
      <c r="O152" s="16">
        <v>207</v>
      </c>
      <c r="P152" s="16">
        <v>1.527228</v>
      </c>
      <c r="Q152" s="175">
        <v>1</v>
      </c>
      <c r="S152" s="13"/>
      <c r="T152" s="10"/>
      <c r="U152" s="20"/>
      <c r="V152" s="17"/>
      <c r="X152" s="166" t="s">
        <v>33</v>
      </c>
      <c r="Y152" s="170"/>
    </row>
    <row r="153" spans="1:64" x14ac:dyDescent="0.2">
      <c r="A153">
        <v>51</v>
      </c>
      <c r="B153" s="8">
        <v>46203</v>
      </c>
      <c r="C153" s="9">
        <v>0.78561342592592598</v>
      </c>
      <c r="D153" s="7" t="s">
        <v>28</v>
      </c>
      <c r="E153" s="13" t="s">
        <v>37</v>
      </c>
      <c r="F153" s="16">
        <v>72.158679100000001</v>
      </c>
      <c r="G153" s="129">
        <v>2346.3220200000001</v>
      </c>
      <c r="H153" s="22">
        <v>0</v>
      </c>
      <c r="I153" s="19"/>
      <c r="J153" s="7" t="s">
        <v>23</v>
      </c>
      <c r="K153" s="16"/>
      <c r="L153" s="16"/>
      <c r="M153" s="16"/>
      <c r="N153" s="16"/>
      <c r="O153" s="16"/>
      <c r="P153" s="16"/>
      <c r="Q153" s="175"/>
      <c r="S153" s="13"/>
      <c r="T153" s="10"/>
      <c r="U153" s="20"/>
      <c r="V153" s="17"/>
      <c r="X153" s="13" t="s">
        <v>33</v>
      </c>
      <c r="Y153" s="19" t="s">
        <v>38</v>
      </c>
    </row>
    <row r="154" spans="1:64" x14ac:dyDescent="0.2">
      <c r="A154">
        <v>52</v>
      </c>
      <c r="B154" s="8">
        <v>46203</v>
      </c>
      <c r="C154" s="9">
        <v>0.78598379629629633</v>
      </c>
      <c r="D154" s="7" t="s">
        <v>28</v>
      </c>
      <c r="E154" s="13" t="s">
        <v>33</v>
      </c>
      <c r="F154" s="16">
        <v>76.033398700000006</v>
      </c>
      <c r="G154" s="129">
        <v>2119.5007300000002</v>
      </c>
      <c r="H154" s="22">
        <v>0</v>
      </c>
      <c r="I154" s="19" t="s">
        <v>41</v>
      </c>
      <c r="J154" s="7" t="s">
        <v>23</v>
      </c>
      <c r="K154" s="16"/>
      <c r="L154" s="16"/>
      <c r="M154" s="16"/>
      <c r="N154" s="16"/>
      <c r="O154" s="16"/>
      <c r="P154" s="16"/>
      <c r="Q154" s="175"/>
      <c r="S154" s="13"/>
      <c r="T154" s="10"/>
      <c r="U154" s="20"/>
      <c r="V154" s="17"/>
      <c r="X154" s="13" t="s">
        <v>33</v>
      </c>
      <c r="Y154" s="19" t="s">
        <v>38</v>
      </c>
    </row>
    <row r="155" spans="1:64" x14ac:dyDescent="0.2">
      <c r="A155">
        <v>53</v>
      </c>
      <c r="B155" s="8">
        <v>46203</v>
      </c>
      <c r="C155" s="9">
        <v>0.78643518518518518</v>
      </c>
      <c r="D155" s="7" t="s">
        <v>28</v>
      </c>
      <c r="E155" s="13" t="s">
        <v>33</v>
      </c>
      <c r="F155" s="16">
        <v>76.033398700000006</v>
      </c>
      <c r="G155" s="129">
        <v>1962.1671100000001</v>
      </c>
      <c r="H155" s="22">
        <v>1</v>
      </c>
      <c r="I155" s="19" t="s">
        <v>39</v>
      </c>
      <c r="J155" s="7" t="s">
        <v>23</v>
      </c>
      <c r="K155" s="16"/>
      <c r="L155" s="16"/>
      <c r="M155" s="16"/>
      <c r="N155" s="16">
        <v>56.136274200000003</v>
      </c>
      <c r="O155" s="16"/>
      <c r="P155" s="16"/>
      <c r="Q155" s="175"/>
      <c r="S155" s="13"/>
      <c r="T155" s="10"/>
      <c r="U155" s="20"/>
      <c r="V155" s="17"/>
      <c r="X155" s="13" t="s">
        <v>33</v>
      </c>
      <c r="Y155" s="19"/>
    </row>
    <row r="156" spans="1:64" x14ac:dyDescent="0.2">
      <c r="A156">
        <v>54</v>
      </c>
      <c r="B156" s="8">
        <v>46203</v>
      </c>
      <c r="C156" s="9">
        <v>0.78668981481481481</v>
      </c>
      <c r="D156" s="7" t="s">
        <v>28</v>
      </c>
      <c r="E156" s="13" t="s">
        <v>37</v>
      </c>
      <c r="F156" s="16">
        <v>72.476279000000005</v>
      </c>
      <c r="G156" s="129">
        <v>808.32318099999998</v>
      </c>
      <c r="H156" s="22">
        <v>0</v>
      </c>
      <c r="I156" s="19"/>
      <c r="J156" s="7" t="s">
        <v>23</v>
      </c>
      <c r="K156" s="16"/>
      <c r="L156" s="16"/>
      <c r="M156" s="16"/>
      <c r="N156" s="16"/>
      <c r="O156" s="16"/>
      <c r="P156" s="16"/>
      <c r="Q156" s="175"/>
      <c r="S156" s="13"/>
      <c r="T156" s="10"/>
      <c r="U156" s="20"/>
      <c r="V156" s="17"/>
      <c r="X156" s="13" t="s">
        <v>33</v>
      </c>
      <c r="Y156" s="19"/>
    </row>
    <row r="157" spans="1:64" x14ac:dyDescent="0.2">
      <c r="A157">
        <v>55</v>
      </c>
      <c r="B157" s="8">
        <v>46203</v>
      </c>
      <c r="C157" s="9">
        <v>0.78689814814814818</v>
      </c>
      <c r="D157" s="7" t="s">
        <v>28</v>
      </c>
      <c r="E157" s="13" t="s">
        <v>33</v>
      </c>
      <c r="F157" s="16">
        <v>75.715800299999998</v>
      </c>
      <c r="G157" s="129">
        <v>2127.1755400000002</v>
      </c>
      <c r="H157" s="22">
        <v>1</v>
      </c>
      <c r="I157" s="19" t="s">
        <v>38</v>
      </c>
      <c r="J157" s="7" t="s">
        <v>23</v>
      </c>
      <c r="K157" s="16"/>
      <c r="L157" s="16"/>
      <c r="M157" s="16"/>
      <c r="N157" s="16">
        <v>59.788784200000002</v>
      </c>
      <c r="O157" s="16"/>
      <c r="P157" s="16"/>
      <c r="Q157" s="175"/>
      <c r="S157" s="13"/>
      <c r="T157" s="10"/>
      <c r="U157" s="20"/>
      <c r="V157" s="17"/>
      <c r="X157" s="13" t="s">
        <v>33</v>
      </c>
      <c r="Y157" s="19" t="s">
        <v>38</v>
      </c>
    </row>
    <row r="158" spans="1:64" x14ac:dyDescent="0.2">
      <c r="A158">
        <v>56</v>
      </c>
      <c r="B158" s="8">
        <v>46203</v>
      </c>
      <c r="C158" s="9">
        <v>0.78719907407407408</v>
      </c>
      <c r="D158" s="7" t="s">
        <v>28</v>
      </c>
      <c r="E158" s="13" t="s">
        <v>37</v>
      </c>
      <c r="F158" s="16">
        <v>72.857397399999996</v>
      </c>
      <c r="G158" s="129">
        <v>793.559753</v>
      </c>
      <c r="H158" s="22">
        <v>0</v>
      </c>
      <c r="I158" s="19"/>
      <c r="J158" s="7" t="s">
        <v>23</v>
      </c>
      <c r="K158" s="16"/>
      <c r="L158" s="16"/>
      <c r="M158" s="16"/>
      <c r="N158" s="16"/>
      <c r="O158" s="16"/>
      <c r="P158" s="16"/>
      <c r="Q158" s="175"/>
      <c r="S158" s="13"/>
      <c r="T158" s="10"/>
      <c r="U158" s="20"/>
      <c r="V158" s="17"/>
      <c r="X158" s="13" t="s">
        <v>33</v>
      </c>
      <c r="Y158" s="19"/>
    </row>
    <row r="159" spans="1:64" x14ac:dyDescent="0.2">
      <c r="A159">
        <v>57</v>
      </c>
      <c r="B159" s="8">
        <v>46203</v>
      </c>
      <c r="C159" s="9">
        <v>0.78741898148148148</v>
      </c>
      <c r="D159" s="7" t="s">
        <v>28</v>
      </c>
      <c r="E159" s="13" t="s">
        <v>37</v>
      </c>
      <c r="F159" s="16">
        <v>72.920918799999995</v>
      </c>
      <c r="G159" s="129">
        <v>2458.0207500000001</v>
      </c>
      <c r="H159" s="22">
        <v>1</v>
      </c>
      <c r="I159" s="19" t="s">
        <v>45</v>
      </c>
      <c r="J159" s="7" t="s">
        <v>23</v>
      </c>
      <c r="K159" s="16"/>
      <c r="L159" s="16"/>
      <c r="M159" s="16"/>
      <c r="N159" s="16">
        <v>54.843847799999999</v>
      </c>
      <c r="O159" s="16"/>
      <c r="P159" s="16"/>
      <c r="Q159" s="175"/>
      <c r="S159" s="13"/>
      <c r="T159" s="10"/>
      <c r="U159" s="20"/>
      <c r="V159" s="17"/>
      <c r="X159" s="13" t="s">
        <v>33</v>
      </c>
      <c r="Y159" s="19" t="s">
        <v>48</v>
      </c>
    </row>
    <row r="160" spans="1:64" x14ac:dyDescent="0.2">
      <c r="A160">
        <v>58</v>
      </c>
      <c r="B160" s="8">
        <v>46203</v>
      </c>
      <c r="C160" s="9">
        <v>0.78785879629629629</v>
      </c>
      <c r="D160" s="7" t="s">
        <v>28</v>
      </c>
      <c r="E160" s="13" t="s">
        <v>33</v>
      </c>
      <c r="F160" s="16">
        <v>77.160877799999994</v>
      </c>
      <c r="G160" s="129">
        <v>2130.6335399999998</v>
      </c>
      <c r="H160" s="22">
        <v>0</v>
      </c>
      <c r="I160" s="19"/>
      <c r="J160" s="7" t="s">
        <v>22</v>
      </c>
      <c r="K160" s="16"/>
      <c r="L160" s="16"/>
      <c r="M160" s="16"/>
      <c r="N160" s="16"/>
      <c r="O160" s="16"/>
      <c r="P160" s="16"/>
      <c r="Q160" s="175"/>
      <c r="S160" s="13"/>
      <c r="T160" s="10"/>
      <c r="U160" s="20"/>
      <c r="V160" s="17"/>
      <c r="X160" s="13" t="s">
        <v>33</v>
      </c>
      <c r="Y160" s="19"/>
    </row>
    <row r="161" spans="1:64" x14ac:dyDescent="0.2">
      <c r="A161">
        <v>59</v>
      </c>
      <c r="B161" s="8">
        <v>46203</v>
      </c>
      <c r="C161" s="9">
        <v>0.78806712962962966</v>
      </c>
      <c r="D161" s="7" t="s">
        <v>28</v>
      </c>
      <c r="E161" s="13" t="s">
        <v>33</v>
      </c>
      <c r="F161" s="16">
        <v>74.7629965</v>
      </c>
      <c r="G161" s="129">
        <v>1984.85815</v>
      </c>
      <c r="H161" s="22">
        <v>1</v>
      </c>
      <c r="I161" s="19" t="s">
        <v>38</v>
      </c>
      <c r="J161" s="7" t="s">
        <v>22</v>
      </c>
      <c r="K161" s="16"/>
      <c r="L161" s="16"/>
      <c r="M161" s="16"/>
      <c r="N161" s="16">
        <v>59.957362400000001</v>
      </c>
      <c r="O161" s="16"/>
      <c r="P161" s="16"/>
      <c r="Q161" s="175"/>
      <c r="S161" s="13"/>
      <c r="T161" s="10"/>
      <c r="U161" s="20"/>
      <c r="V161" s="17"/>
      <c r="X161" s="13" t="s">
        <v>33</v>
      </c>
      <c r="Y161" s="19"/>
    </row>
    <row r="162" spans="1:64" x14ac:dyDescent="0.2">
      <c r="A162">
        <v>60</v>
      </c>
      <c r="B162" s="8">
        <v>46203</v>
      </c>
      <c r="C162" s="9">
        <v>0.78836805555555556</v>
      </c>
      <c r="D162" s="7" t="s">
        <v>28</v>
      </c>
      <c r="E162" s="13" t="s">
        <v>37</v>
      </c>
      <c r="F162" s="16">
        <v>72.031636300000002</v>
      </c>
      <c r="G162" s="129">
        <v>818.14837599999998</v>
      </c>
      <c r="H162" s="22">
        <v>0</v>
      </c>
      <c r="I162" s="19"/>
      <c r="J162" s="7" t="s">
        <v>22</v>
      </c>
      <c r="K162" s="16"/>
      <c r="L162" s="16"/>
      <c r="M162" s="16"/>
      <c r="N162" s="16"/>
      <c r="O162" s="16"/>
      <c r="P162" s="16"/>
      <c r="Q162" s="175"/>
      <c r="S162" s="13"/>
      <c r="T162" s="10"/>
      <c r="U162" s="20"/>
      <c r="V162" s="17"/>
      <c r="X162" s="13" t="s">
        <v>33</v>
      </c>
      <c r="Y162" s="19" t="s">
        <v>45</v>
      </c>
    </row>
    <row r="163" spans="1:64" x14ac:dyDescent="0.2">
      <c r="A163">
        <v>61</v>
      </c>
      <c r="B163" s="8">
        <v>46203</v>
      </c>
      <c r="C163" s="9">
        <v>0.78857638888888892</v>
      </c>
      <c r="D163" s="7" t="s">
        <v>28</v>
      </c>
      <c r="E163" s="13" t="s">
        <v>33</v>
      </c>
      <c r="F163" s="16">
        <v>76.859159599999998</v>
      </c>
      <c r="G163" s="129">
        <v>2103.67236</v>
      </c>
      <c r="H163" s="22">
        <v>1</v>
      </c>
      <c r="I163" s="19" t="s">
        <v>38</v>
      </c>
      <c r="J163" s="7" t="s">
        <v>22</v>
      </c>
      <c r="K163" s="16"/>
      <c r="L163" s="16"/>
      <c r="M163" s="16"/>
      <c r="N163" s="16"/>
      <c r="O163" s="16"/>
      <c r="P163" s="16"/>
      <c r="Q163" s="175"/>
      <c r="S163" s="13"/>
      <c r="T163" s="10"/>
      <c r="U163" s="20"/>
      <c r="V163" s="17"/>
      <c r="X163" s="13" t="s">
        <v>33</v>
      </c>
      <c r="Y163" s="19"/>
    </row>
    <row r="164" spans="1:64" x14ac:dyDescent="0.2">
      <c r="A164">
        <v>62</v>
      </c>
      <c r="B164" s="8">
        <v>46203</v>
      </c>
      <c r="C164" s="9">
        <v>0.78886574074074078</v>
      </c>
      <c r="D164" s="7" t="s">
        <v>28</v>
      </c>
      <c r="E164" s="13" t="s">
        <v>37</v>
      </c>
      <c r="F164" s="16">
        <v>72.920918799999995</v>
      </c>
      <c r="G164" s="129">
        <v>2397.38</v>
      </c>
      <c r="H164" s="22">
        <v>1</v>
      </c>
      <c r="I164" s="19" t="s">
        <v>38</v>
      </c>
      <c r="J164" s="7" t="s">
        <v>22</v>
      </c>
      <c r="K164" s="16"/>
      <c r="L164" s="16"/>
      <c r="M164" s="16"/>
      <c r="N164" s="16">
        <v>53.607612699999997</v>
      </c>
      <c r="O164" s="16"/>
      <c r="P164" s="16"/>
      <c r="Q164" s="175"/>
      <c r="S164" s="13"/>
      <c r="T164" s="10"/>
      <c r="U164" s="20"/>
      <c r="V164" s="17"/>
      <c r="X164" s="13" t="s">
        <v>33</v>
      </c>
      <c r="Y164" s="19"/>
    </row>
    <row r="165" spans="1:64" x14ac:dyDescent="0.2">
      <c r="A165">
        <v>63</v>
      </c>
      <c r="B165" s="8">
        <v>46203</v>
      </c>
      <c r="C165" s="9">
        <v>0.78923611111111114</v>
      </c>
      <c r="D165" s="7" t="s">
        <v>28</v>
      </c>
      <c r="E165" s="13" t="s">
        <v>33</v>
      </c>
      <c r="F165" s="16">
        <v>76.922680999999997</v>
      </c>
      <c r="G165" s="129">
        <v>2159.4123500000001</v>
      </c>
      <c r="H165" s="22">
        <v>0</v>
      </c>
      <c r="I165" s="19"/>
      <c r="J165" s="7" t="s">
        <v>22</v>
      </c>
      <c r="K165" s="16"/>
      <c r="L165" s="16"/>
      <c r="M165" s="16"/>
      <c r="N165" s="16"/>
      <c r="O165" s="16"/>
      <c r="P165" s="16"/>
      <c r="Q165" s="175"/>
      <c r="S165" s="13"/>
      <c r="T165" s="10"/>
      <c r="U165" s="20"/>
      <c r="V165" s="17"/>
      <c r="X165" s="13" t="s">
        <v>33</v>
      </c>
      <c r="Y165" s="19"/>
    </row>
    <row r="166" spans="1:64" x14ac:dyDescent="0.2">
      <c r="A166">
        <v>64</v>
      </c>
      <c r="B166" s="8">
        <v>46203</v>
      </c>
      <c r="C166" s="9">
        <v>0.78957175925925926</v>
      </c>
      <c r="D166" s="7" t="s">
        <v>28</v>
      </c>
      <c r="E166" s="13" t="s">
        <v>37</v>
      </c>
      <c r="F166" s="16">
        <v>73.174995800000005</v>
      </c>
      <c r="G166" s="129">
        <v>2383.6550299999999</v>
      </c>
      <c r="H166" s="22">
        <v>1</v>
      </c>
      <c r="I166" s="19" t="s">
        <v>45</v>
      </c>
      <c r="J166" s="7" t="s">
        <v>22</v>
      </c>
      <c r="K166" s="16"/>
      <c r="L166" s="16"/>
      <c r="M166" s="16"/>
      <c r="N166" s="16">
        <v>57.709661799999999</v>
      </c>
      <c r="O166" s="16"/>
      <c r="P166" s="16"/>
      <c r="Q166" s="175"/>
      <c r="S166" s="13"/>
      <c r="T166" s="10"/>
      <c r="U166" s="20"/>
      <c r="V166" s="17"/>
      <c r="X166" s="13" t="s">
        <v>33</v>
      </c>
      <c r="Y166" s="19" t="s">
        <v>38</v>
      </c>
    </row>
    <row r="167" spans="1:64" x14ac:dyDescent="0.2">
      <c r="A167">
        <v>65</v>
      </c>
      <c r="B167" s="8">
        <v>46203</v>
      </c>
      <c r="C167" s="9">
        <v>0.78989583333333335</v>
      </c>
      <c r="D167" s="7" t="s">
        <v>28</v>
      </c>
      <c r="E167" s="13" t="s">
        <v>37</v>
      </c>
      <c r="F167" s="16">
        <v>71.904602100000005</v>
      </c>
      <c r="G167" s="129">
        <v>229.89762899999999</v>
      </c>
      <c r="H167" s="22">
        <v>1</v>
      </c>
      <c r="I167" s="19" t="s">
        <v>39</v>
      </c>
      <c r="J167" s="7" t="s">
        <v>24</v>
      </c>
      <c r="K167" s="16"/>
      <c r="L167" s="16"/>
      <c r="M167" s="16"/>
      <c r="N167" s="16">
        <v>61.109306400000001</v>
      </c>
      <c r="O167" s="16"/>
      <c r="P167" s="16"/>
      <c r="Q167" s="175"/>
      <c r="S167" s="13"/>
      <c r="T167" s="10"/>
      <c r="U167" s="20"/>
      <c r="V167" s="17"/>
      <c r="X167" s="13" t="s">
        <v>33</v>
      </c>
      <c r="Y167" s="19" t="s">
        <v>38</v>
      </c>
    </row>
    <row r="168" spans="1:64" s="155" customFormat="1" x14ac:dyDescent="0.2">
      <c r="A168" s="155">
        <v>66</v>
      </c>
      <c r="B168" s="163">
        <v>46203</v>
      </c>
      <c r="C168" s="164">
        <v>0.79025462962962967</v>
      </c>
      <c r="D168" s="165" t="s">
        <v>28</v>
      </c>
      <c r="E168" s="166" t="s">
        <v>37</v>
      </c>
      <c r="F168" s="167">
        <v>74.381876700000007</v>
      </c>
      <c r="G168" s="168">
        <v>2451.6435499999998</v>
      </c>
      <c r="H168" s="169">
        <v>1</v>
      </c>
      <c r="I168" s="170" t="s">
        <v>255</v>
      </c>
      <c r="J168" s="165" t="s">
        <v>24</v>
      </c>
      <c r="K168" s="167"/>
      <c r="L168" s="167"/>
      <c r="M168" s="167"/>
      <c r="N168" s="167">
        <v>68.667195800000002</v>
      </c>
      <c r="O168" s="167"/>
      <c r="P168" s="167"/>
      <c r="Q168" s="176"/>
      <c r="S168" s="13"/>
      <c r="T168" s="158"/>
      <c r="U168" s="161"/>
      <c r="V168" s="162"/>
      <c r="W168"/>
      <c r="X168" s="13" t="s">
        <v>33</v>
      </c>
      <c r="Y168" s="19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</row>
    <row r="169" spans="1:64" x14ac:dyDescent="0.2">
      <c r="A169">
        <v>67</v>
      </c>
      <c r="B169" s="8">
        <v>46203</v>
      </c>
      <c r="C169" s="9">
        <v>0.80001157407407408</v>
      </c>
      <c r="D169" s="7" t="s">
        <v>28</v>
      </c>
      <c r="E169" s="13" t="s">
        <v>33</v>
      </c>
      <c r="F169" s="16">
        <v>76.350997100000001</v>
      </c>
      <c r="G169" s="129">
        <v>2012.8970899999999</v>
      </c>
      <c r="H169" s="22">
        <v>0</v>
      </c>
      <c r="I169" s="19"/>
      <c r="J169" s="7" t="s">
        <v>29</v>
      </c>
      <c r="K169" s="16"/>
      <c r="L169" s="16"/>
      <c r="M169" s="16"/>
      <c r="N169" s="16"/>
      <c r="O169" s="16"/>
      <c r="P169" s="16"/>
      <c r="Q169" s="175"/>
      <c r="S169" s="13"/>
      <c r="T169" s="13"/>
      <c r="U169" s="22"/>
      <c r="V169" s="19"/>
      <c r="X169" s="13" t="s">
        <v>33</v>
      </c>
      <c r="Y169" s="19" t="s">
        <v>39</v>
      </c>
    </row>
    <row r="170" spans="1:64" x14ac:dyDescent="0.2">
      <c r="A170">
        <v>68</v>
      </c>
      <c r="B170" s="8">
        <v>46203</v>
      </c>
      <c r="C170" s="9">
        <v>0.80018518518518522</v>
      </c>
      <c r="D170" s="7" t="s">
        <v>28</v>
      </c>
      <c r="E170" s="13" t="s">
        <v>33</v>
      </c>
      <c r="F170" s="16">
        <v>74.890039200000004</v>
      </c>
      <c r="G170" s="129">
        <v>2068.6967800000002</v>
      </c>
      <c r="H170" s="22">
        <v>0</v>
      </c>
      <c r="I170" s="19"/>
      <c r="J170" s="7" t="s">
        <v>29</v>
      </c>
      <c r="K170" s="16"/>
      <c r="L170" s="16"/>
      <c r="M170" s="16"/>
      <c r="N170" s="16"/>
      <c r="O170" s="16"/>
      <c r="P170" s="16"/>
      <c r="Q170" s="175"/>
      <c r="S170" s="13"/>
      <c r="T170" s="13"/>
      <c r="U170" s="22"/>
      <c r="V170" s="19"/>
      <c r="X170" s="13" t="s">
        <v>33</v>
      </c>
      <c r="Y170" s="19"/>
    </row>
    <row r="171" spans="1:64" x14ac:dyDescent="0.2">
      <c r="A171">
        <v>69</v>
      </c>
      <c r="B171" s="8">
        <v>46203</v>
      </c>
      <c r="C171" s="9">
        <v>0.80041666666666667</v>
      </c>
      <c r="D171" s="7" t="s">
        <v>28</v>
      </c>
      <c r="E171" s="13" t="s">
        <v>33</v>
      </c>
      <c r="F171" s="16">
        <v>74.683594600000006</v>
      </c>
      <c r="G171" s="129">
        <v>2108.6950700000002</v>
      </c>
      <c r="H171" s="22">
        <v>0</v>
      </c>
      <c r="I171" s="19"/>
      <c r="J171" s="7" t="s">
        <v>29</v>
      </c>
      <c r="K171" s="16"/>
      <c r="L171" s="16"/>
      <c r="M171" s="16"/>
      <c r="N171" s="16"/>
      <c r="O171" s="16"/>
      <c r="P171" s="16"/>
      <c r="Q171" s="175"/>
      <c r="S171" s="13"/>
      <c r="T171" s="13"/>
      <c r="U171" s="22"/>
      <c r="V171" s="19"/>
      <c r="X171" s="13" t="s">
        <v>33</v>
      </c>
      <c r="Y171" s="19" t="s">
        <v>48</v>
      </c>
    </row>
    <row r="172" spans="1:64" x14ac:dyDescent="0.2">
      <c r="A172">
        <v>70</v>
      </c>
      <c r="B172" s="8">
        <v>46203</v>
      </c>
      <c r="C172" s="9">
        <v>0.80071759259259256</v>
      </c>
      <c r="D172" s="7" t="s">
        <v>28</v>
      </c>
      <c r="E172" s="13" t="s">
        <v>33</v>
      </c>
      <c r="F172" s="16">
        <v>74.937680400000005</v>
      </c>
      <c r="G172" s="129">
        <v>1080.8228799999999</v>
      </c>
      <c r="H172" s="22">
        <v>0</v>
      </c>
      <c r="I172" s="19" t="s">
        <v>48</v>
      </c>
      <c r="J172" s="7" t="s">
        <v>29</v>
      </c>
      <c r="K172" s="16"/>
      <c r="L172" s="16"/>
      <c r="M172" s="16"/>
      <c r="N172" s="16"/>
      <c r="O172" s="16"/>
      <c r="P172" s="16"/>
      <c r="Q172" s="177"/>
      <c r="S172" s="13"/>
      <c r="T172" s="13"/>
      <c r="U172" s="22"/>
      <c r="V172" s="19"/>
      <c r="X172" s="13" t="s">
        <v>33</v>
      </c>
      <c r="Y172" s="19"/>
    </row>
    <row r="173" spans="1:64" x14ac:dyDescent="0.2">
      <c r="A173">
        <v>71</v>
      </c>
      <c r="B173" s="8">
        <v>46203</v>
      </c>
      <c r="C173" s="9">
        <v>0.80092592592592593</v>
      </c>
      <c r="D173" s="7" t="s">
        <v>28</v>
      </c>
      <c r="E173" s="13" t="s">
        <v>33</v>
      </c>
      <c r="F173" s="16">
        <v>72.539799000000002</v>
      </c>
      <c r="G173" s="129">
        <v>1973.9798599999999</v>
      </c>
      <c r="H173" s="22">
        <v>1</v>
      </c>
      <c r="I173" s="19" t="s">
        <v>274</v>
      </c>
      <c r="J173" s="7" t="s">
        <v>29</v>
      </c>
      <c r="K173" s="16">
        <v>72.851603299999994</v>
      </c>
      <c r="L173" s="16">
        <v>-15.006752000000001</v>
      </c>
      <c r="M173" s="16">
        <v>-3.5560808000000002</v>
      </c>
      <c r="N173" s="16">
        <v>58.608744600000001</v>
      </c>
      <c r="O173" s="16">
        <v>18</v>
      </c>
      <c r="P173" s="16">
        <v>1.2430158899999999</v>
      </c>
      <c r="Q173" s="175">
        <v>0.83103888999999997</v>
      </c>
      <c r="S173" s="13"/>
      <c r="T173" s="13"/>
      <c r="U173" s="22"/>
      <c r="V173" s="19"/>
      <c r="X173" s="13" t="s">
        <v>33</v>
      </c>
      <c r="Y173" s="19" t="s">
        <v>255</v>
      </c>
    </row>
    <row r="174" spans="1:64" x14ac:dyDescent="0.2">
      <c r="A174">
        <v>72</v>
      </c>
      <c r="B174" s="8">
        <v>46203</v>
      </c>
      <c r="C174" s="9">
        <v>0.80138888888888893</v>
      </c>
      <c r="D174" s="7" t="s">
        <v>28</v>
      </c>
      <c r="E174" s="13" t="s">
        <v>37</v>
      </c>
      <c r="F174" s="16">
        <v>70.681840899999997</v>
      </c>
      <c r="G174" s="129">
        <v>2282.77441</v>
      </c>
      <c r="H174" s="22">
        <v>0</v>
      </c>
      <c r="I174" s="19"/>
      <c r="J174" s="7" t="s">
        <v>17</v>
      </c>
      <c r="K174" s="16"/>
      <c r="L174" s="16"/>
      <c r="M174" s="16"/>
      <c r="N174" s="16"/>
      <c r="O174" s="16"/>
      <c r="P174" s="16"/>
      <c r="Q174" s="175"/>
      <c r="S174" s="13"/>
      <c r="T174" s="13"/>
      <c r="U174" s="22"/>
      <c r="V174" s="19"/>
      <c r="X174" s="10" t="s">
        <v>33</v>
      </c>
      <c r="Y174" s="17"/>
    </row>
    <row r="175" spans="1:64" x14ac:dyDescent="0.2">
      <c r="A175">
        <v>73</v>
      </c>
      <c r="B175" s="8">
        <v>46203</v>
      </c>
      <c r="C175" s="9">
        <v>0.80159722222222218</v>
      </c>
      <c r="D175" s="7" t="s">
        <v>28</v>
      </c>
      <c r="E175" s="13" t="s">
        <v>33</v>
      </c>
      <c r="F175" s="16">
        <v>73.984876499999999</v>
      </c>
      <c r="G175" s="129">
        <v>2076.22363</v>
      </c>
      <c r="H175" s="22">
        <v>0</v>
      </c>
      <c r="I175" s="19"/>
      <c r="J175" s="7" t="s">
        <v>17</v>
      </c>
      <c r="K175" s="16"/>
      <c r="L175" s="16"/>
      <c r="M175" s="16"/>
      <c r="N175" s="16"/>
      <c r="O175" s="16"/>
      <c r="P175" s="16"/>
      <c r="Q175" s="175"/>
      <c r="S175" s="13"/>
      <c r="T175" s="13"/>
      <c r="U175" s="22"/>
      <c r="V175" s="19"/>
      <c r="X175" s="10" t="s">
        <v>33</v>
      </c>
      <c r="Y175" s="17"/>
    </row>
    <row r="176" spans="1:64" x14ac:dyDescent="0.2">
      <c r="A176">
        <v>74</v>
      </c>
      <c r="B176" s="8">
        <v>46203</v>
      </c>
      <c r="C176" s="9">
        <v>0.80184027777777778</v>
      </c>
      <c r="D176" s="7" t="s">
        <v>28</v>
      </c>
      <c r="E176" s="13" t="s">
        <v>37</v>
      </c>
      <c r="F176" s="16">
        <v>72.031636300000002</v>
      </c>
      <c r="G176" s="129">
        <v>831.87341300000003</v>
      </c>
      <c r="H176" s="22">
        <v>1</v>
      </c>
      <c r="I176" s="19"/>
      <c r="J176" s="7" t="s">
        <v>17</v>
      </c>
      <c r="K176" s="16"/>
      <c r="L176" s="16"/>
      <c r="M176" s="16"/>
      <c r="N176" s="16"/>
      <c r="O176" s="16"/>
      <c r="P176" s="16"/>
      <c r="Q176" s="175"/>
      <c r="S176" s="13"/>
      <c r="T176" s="13"/>
      <c r="U176" s="22"/>
      <c r="V176" s="19"/>
      <c r="X176" s="10" t="s">
        <v>33</v>
      </c>
      <c r="Y176" s="17"/>
    </row>
    <row r="177" spans="1:25" ht="17" thickBot="1" x14ac:dyDescent="0.25">
      <c r="A177">
        <v>75</v>
      </c>
      <c r="B177" s="8">
        <v>46203</v>
      </c>
      <c r="C177" s="9">
        <v>0.80214120370370368</v>
      </c>
      <c r="D177" s="7" t="s">
        <v>28</v>
      </c>
      <c r="E177" s="13" t="s">
        <v>37</v>
      </c>
      <c r="F177" s="16">
        <v>73.302038600000003</v>
      </c>
      <c r="G177" s="129">
        <v>828.29846199999997</v>
      </c>
      <c r="H177" s="22">
        <v>1</v>
      </c>
      <c r="I177" s="19"/>
      <c r="J177" s="7" t="s">
        <v>17</v>
      </c>
      <c r="K177" s="16"/>
      <c r="L177" s="16"/>
      <c r="M177" s="16"/>
      <c r="N177" s="16"/>
      <c r="O177" s="16"/>
      <c r="P177" s="16"/>
      <c r="Q177" s="175"/>
      <c r="S177" s="13"/>
      <c r="T177" s="13"/>
      <c r="U177" s="22"/>
      <c r="V177" s="19"/>
      <c r="X177" s="118" t="s">
        <v>33</v>
      </c>
      <c r="Y177" s="120" t="s">
        <v>38</v>
      </c>
    </row>
    <row r="178" spans="1:25" x14ac:dyDescent="0.2">
      <c r="A178">
        <v>76</v>
      </c>
      <c r="B178" s="8">
        <v>46203</v>
      </c>
      <c r="C178" s="9">
        <v>0.80236111111111108</v>
      </c>
      <c r="D178" s="7" t="s">
        <v>28</v>
      </c>
      <c r="E178" s="13" t="s">
        <v>33</v>
      </c>
      <c r="F178" s="16">
        <v>75.001201699999996</v>
      </c>
      <c r="G178" s="129">
        <v>2108.1862799999999</v>
      </c>
      <c r="H178" s="22">
        <v>0</v>
      </c>
      <c r="I178" s="19"/>
      <c r="J178" s="7" t="s">
        <v>17</v>
      </c>
      <c r="K178" s="16"/>
      <c r="L178" s="16"/>
      <c r="M178" s="16"/>
      <c r="N178" s="16"/>
      <c r="O178" s="16"/>
      <c r="P178" s="16"/>
      <c r="Q178" s="175"/>
      <c r="S178" s="13"/>
      <c r="T178" s="13"/>
      <c r="U178" s="22"/>
      <c r="V178" s="19"/>
      <c r="X178" s="10" t="s">
        <v>33</v>
      </c>
      <c r="Y178" s="17" t="s">
        <v>38</v>
      </c>
    </row>
    <row r="179" spans="1:25" x14ac:dyDescent="0.2">
      <c r="A179">
        <v>77</v>
      </c>
      <c r="B179" s="8">
        <v>46203</v>
      </c>
      <c r="C179" s="9">
        <v>0.8026388888888889</v>
      </c>
      <c r="D179" s="7" t="s">
        <v>28</v>
      </c>
      <c r="E179" s="13" t="s">
        <v>37</v>
      </c>
      <c r="F179" s="16">
        <v>72.984440199999995</v>
      </c>
      <c r="G179" s="129">
        <v>2499.8012699999999</v>
      </c>
      <c r="H179" s="22">
        <v>1</v>
      </c>
      <c r="I179" s="19" t="s">
        <v>254</v>
      </c>
      <c r="J179" s="7" t="s">
        <v>17</v>
      </c>
      <c r="K179" s="16">
        <v>85.532116400000007</v>
      </c>
      <c r="L179" s="16">
        <v>25.807251000000001</v>
      </c>
      <c r="M179" s="16">
        <v>6.9241414099999998</v>
      </c>
      <c r="N179" s="16">
        <v>58.468262099999997</v>
      </c>
      <c r="O179" s="16">
        <v>280</v>
      </c>
      <c r="P179" s="16">
        <v>1.46288109</v>
      </c>
      <c r="Q179" s="175">
        <v>0.97330733999999997</v>
      </c>
      <c r="S179" s="13"/>
      <c r="T179" s="13"/>
      <c r="U179" s="22"/>
      <c r="V179" s="19"/>
      <c r="X179" s="10" t="s">
        <v>33</v>
      </c>
      <c r="Y179" s="17" t="s">
        <v>255</v>
      </c>
    </row>
    <row r="180" spans="1:25" x14ac:dyDescent="0.2">
      <c r="A180">
        <v>78</v>
      </c>
      <c r="B180" s="8">
        <v>46203</v>
      </c>
      <c r="C180" s="9">
        <v>0.80317129629629624</v>
      </c>
      <c r="D180" s="7" t="s">
        <v>28</v>
      </c>
      <c r="E180" s="13" t="s">
        <v>37</v>
      </c>
      <c r="F180" s="16">
        <v>72.603320400000001</v>
      </c>
      <c r="G180" s="129">
        <v>2490.0627399999998</v>
      </c>
      <c r="H180" s="22">
        <v>1</v>
      </c>
      <c r="I180" s="19" t="s">
        <v>38</v>
      </c>
      <c r="J180" s="7" t="s">
        <v>23</v>
      </c>
      <c r="K180" s="16">
        <v>66.236930799999996</v>
      </c>
      <c r="L180" s="16">
        <v>35.850311300000001</v>
      </c>
      <c r="M180" s="16"/>
      <c r="N180" s="16">
        <v>53.832382199999998</v>
      </c>
      <c r="O180" s="16">
        <v>222</v>
      </c>
      <c r="P180" s="16">
        <v>1.2304291700000001</v>
      </c>
      <c r="Q180" s="175">
        <v>0.80463477999999999</v>
      </c>
      <c r="S180" s="13"/>
      <c r="T180" s="13"/>
      <c r="U180" s="22"/>
      <c r="V180" s="19"/>
      <c r="X180" s="10" t="s">
        <v>33</v>
      </c>
      <c r="Y180" s="17"/>
    </row>
    <row r="181" spans="1:25" x14ac:dyDescent="0.2">
      <c r="A181">
        <v>79</v>
      </c>
      <c r="B181" s="8">
        <v>46203</v>
      </c>
      <c r="C181" s="9">
        <v>0.80350694444444448</v>
      </c>
      <c r="D181" s="7" t="s">
        <v>28</v>
      </c>
      <c r="E181" s="13" t="s">
        <v>33</v>
      </c>
      <c r="F181" s="16">
        <v>76.287475700000002</v>
      </c>
      <c r="G181" s="129">
        <v>2037.1522199999999</v>
      </c>
      <c r="H181" s="22">
        <v>0</v>
      </c>
      <c r="I181" s="19"/>
      <c r="J181" s="7" t="s">
        <v>23</v>
      </c>
      <c r="K181" s="16"/>
      <c r="L181" s="16"/>
      <c r="M181" s="16"/>
      <c r="N181" s="16"/>
      <c r="O181" s="16"/>
      <c r="P181" s="16"/>
      <c r="Q181" s="175"/>
      <c r="S181" s="13"/>
      <c r="T181" s="13"/>
      <c r="U181" s="22"/>
      <c r="V181" s="19"/>
      <c r="X181" s="10" t="s">
        <v>33</v>
      </c>
      <c r="Y181" s="17" t="s">
        <v>254</v>
      </c>
    </row>
    <row r="182" spans="1:25" x14ac:dyDescent="0.2">
      <c r="A182">
        <v>80</v>
      </c>
      <c r="B182" s="8">
        <v>46203</v>
      </c>
      <c r="C182" s="9">
        <v>0.80396990740740737</v>
      </c>
      <c r="D182" s="7" t="s">
        <v>28</v>
      </c>
      <c r="E182" s="13" t="s">
        <v>37</v>
      </c>
      <c r="F182" s="16">
        <v>71.205879699999997</v>
      </c>
      <c r="G182" s="129">
        <v>349.92468300000002</v>
      </c>
      <c r="H182" s="22">
        <v>1</v>
      </c>
      <c r="I182" s="19" t="s">
        <v>38</v>
      </c>
      <c r="J182" s="7" t="s">
        <v>23</v>
      </c>
      <c r="K182" s="16"/>
      <c r="L182" s="16"/>
      <c r="M182" s="16"/>
      <c r="N182" s="16">
        <v>56.922970200000002</v>
      </c>
      <c r="O182" s="16"/>
      <c r="P182" s="16"/>
      <c r="Q182" s="175"/>
      <c r="S182" s="13"/>
      <c r="T182" s="13"/>
      <c r="U182" s="22"/>
      <c r="V182" s="19"/>
      <c r="X182" s="10" t="s">
        <v>33</v>
      </c>
      <c r="Y182" s="17"/>
    </row>
    <row r="183" spans="1:25" x14ac:dyDescent="0.2">
      <c r="A183">
        <v>81</v>
      </c>
      <c r="B183" s="8">
        <v>46203</v>
      </c>
      <c r="C183" s="9">
        <v>0.80427083333333338</v>
      </c>
      <c r="D183" s="7" t="s">
        <v>28</v>
      </c>
      <c r="E183" s="13" t="s">
        <v>37</v>
      </c>
      <c r="F183" s="16">
        <v>71.952243199999998</v>
      </c>
      <c r="G183" s="129">
        <v>2416.9155300000002</v>
      </c>
      <c r="H183" s="22">
        <v>0</v>
      </c>
      <c r="I183" s="19"/>
      <c r="J183" s="7" t="s">
        <v>23</v>
      </c>
      <c r="K183" s="16"/>
      <c r="L183" s="16"/>
      <c r="M183" s="16"/>
      <c r="N183" s="16"/>
      <c r="O183" s="16"/>
      <c r="P183" s="16"/>
      <c r="Q183" s="175"/>
      <c r="S183" s="13"/>
      <c r="T183" s="13"/>
      <c r="U183" s="22"/>
      <c r="V183" s="19"/>
      <c r="X183" s="10" t="s">
        <v>33</v>
      </c>
      <c r="Y183" s="17"/>
    </row>
    <row r="184" spans="1:25" x14ac:dyDescent="0.2">
      <c r="A184">
        <v>82</v>
      </c>
      <c r="B184" s="8">
        <v>46203</v>
      </c>
      <c r="C184" s="9">
        <v>0.80461805555555554</v>
      </c>
      <c r="D184" s="7" t="s">
        <v>28</v>
      </c>
      <c r="E184" s="13" t="s">
        <v>33</v>
      </c>
      <c r="F184" s="16">
        <v>75.334680300000002</v>
      </c>
      <c r="G184" s="129">
        <v>2134.97534</v>
      </c>
      <c r="H184" s="22">
        <v>0</v>
      </c>
      <c r="I184" s="19"/>
      <c r="J184" s="7" t="s">
        <v>23</v>
      </c>
      <c r="K184" s="16"/>
      <c r="L184" s="16"/>
      <c r="M184" s="16"/>
      <c r="N184" s="16"/>
      <c r="O184" s="16"/>
      <c r="P184" s="16"/>
      <c r="Q184" s="175"/>
      <c r="S184" s="13"/>
      <c r="T184" s="13"/>
      <c r="U184" s="22"/>
      <c r="V184" s="19"/>
      <c r="X184" s="10" t="s">
        <v>33</v>
      </c>
      <c r="Y184" s="17" t="s">
        <v>38</v>
      </c>
    </row>
    <row r="185" spans="1:25" x14ac:dyDescent="0.2">
      <c r="A185">
        <v>83</v>
      </c>
      <c r="B185" s="8">
        <v>46203</v>
      </c>
      <c r="C185" s="9">
        <v>0.80484953703703699</v>
      </c>
      <c r="D185" s="7" t="s">
        <v>28</v>
      </c>
      <c r="E185" s="13" t="s">
        <v>33</v>
      </c>
      <c r="F185" s="16">
        <v>76.970313599999997</v>
      </c>
      <c r="G185" s="129">
        <v>2123.8181199999999</v>
      </c>
      <c r="H185" s="22">
        <v>1</v>
      </c>
      <c r="I185" s="19" t="s">
        <v>45</v>
      </c>
      <c r="J185" s="7" t="s">
        <v>23</v>
      </c>
      <c r="K185" s="16"/>
      <c r="L185" s="16"/>
      <c r="M185" s="16"/>
      <c r="N185" s="16">
        <v>59.564013299999999</v>
      </c>
      <c r="O185" s="16"/>
      <c r="P185" s="16"/>
      <c r="Q185" s="175"/>
      <c r="S185" s="13"/>
      <c r="T185" s="13"/>
      <c r="U185" s="22"/>
      <c r="V185" s="19"/>
      <c r="X185" s="10" t="s">
        <v>33</v>
      </c>
      <c r="Y185" s="17"/>
    </row>
    <row r="186" spans="1:25" x14ac:dyDescent="0.2">
      <c r="A186">
        <v>84</v>
      </c>
      <c r="B186" s="8">
        <v>46203</v>
      </c>
      <c r="C186" s="9">
        <v>0.80523148148148149</v>
      </c>
      <c r="D186" s="7" t="s">
        <v>28</v>
      </c>
      <c r="E186" s="13" t="s">
        <v>33</v>
      </c>
      <c r="F186" s="16">
        <v>75.652280700000006</v>
      </c>
      <c r="G186" s="129">
        <v>2074.1633299999999</v>
      </c>
      <c r="H186" s="22">
        <v>0</v>
      </c>
      <c r="I186" s="19"/>
      <c r="J186" s="7" t="s">
        <v>22</v>
      </c>
      <c r="K186" s="16"/>
      <c r="L186" s="16"/>
      <c r="M186" s="16"/>
      <c r="N186" s="16"/>
      <c r="O186" s="16"/>
      <c r="P186" s="16"/>
      <c r="Q186" s="175"/>
      <c r="S186" s="13"/>
      <c r="T186" s="13"/>
      <c r="U186" s="22"/>
      <c r="V186" s="19"/>
      <c r="X186" s="10" t="s">
        <v>33</v>
      </c>
      <c r="Y186" s="17"/>
    </row>
    <row r="187" spans="1:25" x14ac:dyDescent="0.2">
      <c r="A187">
        <v>85</v>
      </c>
      <c r="B187" s="8">
        <v>46203</v>
      </c>
      <c r="C187" s="9">
        <v>0.80542824074074071</v>
      </c>
      <c r="D187" s="7" t="s">
        <v>28</v>
      </c>
      <c r="E187" s="13" t="s">
        <v>37</v>
      </c>
      <c r="F187" s="16">
        <v>69.983122600000002</v>
      </c>
      <c r="G187" s="129">
        <v>793.654358</v>
      </c>
      <c r="H187" s="22">
        <v>0</v>
      </c>
      <c r="I187" s="19"/>
      <c r="J187" s="7" t="s">
        <v>22</v>
      </c>
      <c r="K187" s="16"/>
      <c r="L187" s="16"/>
      <c r="M187" s="16"/>
      <c r="N187" s="16"/>
      <c r="O187" s="16"/>
      <c r="P187" s="16"/>
      <c r="Q187" s="175"/>
      <c r="S187" s="13"/>
      <c r="T187" s="13"/>
      <c r="U187" s="22"/>
      <c r="V187" s="19"/>
      <c r="X187" s="10" t="s">
        <v>33</v>
      </c>
      <c r="Y187" s="17"/>
    </row>
    <row r="188" spans="1:25" x14ac:dyDescent="0.2">
      <c r="A188">
        <v>86</v>
      </c>
      <c r="B188" s="8">
        <v>46203</v>
      </c>
      <c r="C188" s="9">
        <v>0.80570601851851853</v>
      </c>
      <c r="D188" s="7" t="s">
        <v>28</v>
      </c>
      <c r="E188" s="13" t="s">
        <v>33</v>
      </c>
      <c r="F188" s="16">
        <v>76.732116899999994</v>
      </c>
      <c r="G188" s="129">
        <v>2134.6752900000001</v>
      </c>
      <c r="H188" s="22">
        <v>0</v>
      </c>
      <c r="I188" s="19"/>
      <c r="J188" s="7" t="s">
        <v>22</v>
      </c>
      <c r="K188" s="16"/>
      <c r="L188" s="16"/>
      <c r="M188" s="16"/>
      <c r="N188" s="16"/>
      <c r="O188" s="16"/>
      <c r="P188" s="16"/>
      <c r="Q188" s="175"/>
      <c r="S188" s="13"/>
      <c r="T188" s="13"/>
      <c r="U188" s="22"/>
      <c r="V188" s="19"/>
      <c r="X188" s="10" t="s">
        <v>33</v>
      </c>
      <c r="Y188" s="17"/>
    </row>
    <row r="189" spans="1:25" x14ac:dyDescent="0.2">
      <c r="A189">
        <v>87</v>
      </c>
      <c r="B189" s="8">
        <v>46203</v>
      </c>
      <c r="C189" s="9">
        <v>0.80594907407407412</v>
      </c>
      <c r="D189" s="7" t="s">
        <v>28</v>
      </c>
      <c r="E189" s="13" t="s">
        <v>33</v>
      </c>
      <c r="F189" s="16">
        <v>76.795638199999999</v>
      </c>
      <c r="G189" s="129">
        <v>1053.90588</v>
      </c>
      <c r="H189" s="22">
        <v>1</v>
      </c>
      <c r="I189" s="19" t="s">
        <v>38</v>
      </c>
      <c r="J189" s="7" t="s">
        <v>22</v>
      </c>
      <c r="K189" s="16"/>
      <c r="L189" s="16"/>
      <c r="M189" s="16"/>
      <c r="N189" s="16">
        <v>64.003220200000001</v>
      </c>
      <c r="O189" s="16"/>
      <c r="P189" s="16"/>
      <c r="Q189" s="175"/>
      <c r="S189" s="13"/>
      <c r="T189" s="13"/>
      <c r="U189" s="22"/>
      <c r="V189" s="19"/>
      <c r="X189" s="10" t="s">
        <v>33</v>
      </c>
      <c r="Y189" s="17" t="s">
        <v>38</v>
      </c>
    </row>
    <row r="190" spans="1:25" x14ac:dyDescent="0.2">
      <c r="A190">
        <v>88</v>
      </c>
      <c r="B190" s="8">
        <v>46203</v>
      </c>
      <c r="C190" s="9">
        <v>0.80622685185185183</v>
      </c>
      <c r="D190" s="7" t="s">
        <v>28</v>
      </c>
      <c r="E190" s="13" t="s">
        <v>33</v>
      </c>
      <c r="F190" s="16">
        <v>75.652280700000006</v>
      </c>
      <c r="G190" s="129">
        <v>2055.5964399999998</v>
      </c>
      <c r="H190" s="22">
        <v>1</v>
      </c>
      <c r="I190" s="19" t="s">
        <v>38</v>
      </c>
      <c r="J190" s="7" t="s">
        <v>22</v>
      </c>
      <c r="K190" s="16"/>
      <c r="L190" s="16"/>
      <c r="M190" s="16"/>
      <c r="N190" s="16">
        <v>62.542215599999999</v>
      </c>
      <c r="O190" s="16"/>
      <c r="P190" s="16"/>
      <c r="Q190" s="175"/>
      <c r="S190" s="13"/>
      <c r="T190" s="13"/>
      <c r="U190" s="22"/>
      <c r="V190" s="19"/>
      <c r="X190" s="10" t="s">
        <v>33</v>
      </c>
      <c r="Y190" s="17"/>
    </row>
    <row r="191" spans="1:25" x14ac:dyDescent="0.2">
      <c r="A191">
        <v>89</v>
      </c>
      <c r="B191" s="8">
        <v>46203</v>
      </c>
      <c r="C191" s="9">
        <v>0.80655092592592592</v>
      </c>
      <c r="D191" s="7" t="s">
        <v>28</v>
      </c>
      <c r="E191" s="13" t="s">
        <v>37</v>
      </c>
      <c r="F191" s="16">
        <v>72.857397399999996</v>
      </c>
      <c r="G191" s="129">
        <v>2452.5009799999998</v>
      </c>
      <c r="H191" s="22">
        <v>1</v>
      </c>
      <c r="I191" s="19" t="s">
        <v>38</v>
      </c>
      <c r="J191" s="7" t="s">
        <v>22</v>
      </c>
      <c r="K191" s="16">
        <v>78.060886400000001</v>
      </c>
      <c r="L191" s="16">
        <v>50.898849499999997</v>
      </c>
      <c r="M191" s="16">
        <v>33.5339508</v>
      </c>
      <c r="N191" s="16">
        <v>61.0812107</v>
      </c>
      <c r="O191" s="16">
        <v>269</v>
      </c>
      <c r="P191" s="16">
        <v>1.2779852199999999</v>
      </c>
      <c r="Q191" s="175">
        <v>0.85855064000000003</v>
      </c>
      <c r="S191" s="13"/>
      <c r="T191" s="13"/>
      <c r="U191" s="22"/>
      <c r="V191" s="19"/>
      <c r="X191" s="10" t="s">
        <v>33</v>
      </c>
      <c r="Y191" s="17" t="s">
        <v>254</v>
      </c>
    </row>
    <row r="192" spans="1:25" x14ac:dyDescent="0.2">
      <c r="A192">
        <v>90</v>
      </c>
      <c r="B192" s="8">
        <v>46203</v>
      </c>
      <c r="C192" s="9">
        <v>0.80688657407407405</v>
      </c>
      <c r="D192" s="7" t="s">
        <v>28</v>
      </c>
      <c r="E192" s="13" t="s">
        <v>37</v>
      </c>
      <c r="F192" s="16">
        <v>72.920918799999995</v>
      </c>
      <c r="G192" s="129">
        <v>834.89569100000006</v>
      </c>
      <c r="H192" s="22">
        <v>0</v>
      </c>
      <c r="I192" s="19" t="s">
        <v>48</v>
      </c>
      <c r="J192" s="7" t="s">
        <v>22</v>
      </c>
      <c r="K192" s="16"/>
      <c r="L192" s="16"/>
      <c r="M192" s="16"/>
      <c r="N192" s="16"/>
      <c r="O192" s="16"/>
      <c r="P192" s="16"/>
      <c r="Q192" s="175"/>
      <c r="S192" s="13"/>
      <c r="T192" s="10"/>
      <c r="U192" s="20"/>
      <c r="V192" s="17"/>
      <c r="X192" s="10" t="s">
        <v>33</v>
      </c>
      <c r="Y192" s="17" t="s">
        <v>39</v>
      </c>
    </row>
    <row r="193" spans="1:64" s="115" customFormat="1" ht="17" thickBot="1" x14ac:dyDescent="0.25">
      <c r="A193" s="115">
        <v>91</v>
      </c>
      <c r="B193" s="123">
        <v>46203</v>
      </c>
      <c r="C193" s="124">
        <v>0.80722222222222217</v>
      </c>
      <c r="D193" s="122" t="s">
        <v>28</v>
      </c>
      <c r="E193" s="125" t="s">
        <v>33</v>
      </c>
      <c r="F193" s="126">
        <v>75.1917574</v>
      </c>
      <c r="G193" s="132">
        <v>1022.8707900000001</v>
      </c>
      <c r="H193" s="128">
        <v>0</v>
      </c>
      <c r="I193" s="127"/>
      <c r="J193" s="122" t="s">
        <v>22</v>
      </c>
      <c r="K193" s="126"/>
      <c r="L193" s="126"/>
      <c r="M193" s="126"/>
      <c r="N193" s="126"/>
      <c r="O193" s="126"/>
      <c r="P193" s="126"/>
      <c r="Q193" s="178"/>
      <c r="S193" s="13"/>
      <c r="T193" s="118"/>
      <c r="U193" s="121"/>
      <c r="V193" s="120"/>
      <c r="W193"/>
      <c r="X193" s="10" t="s">
        <v>33</v>
      </c>
      <c r="Y193" s="17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</row>
    <row r="194" spans="1:64" x14ac:dyDescent="0.2">
      <c r="A194">
        <v>92</v>
      </c>
      <c r="B194" s="8">
        <v>46218</v>
      </c>
      <c r="C194" s="9">
        <v>0.44512731481481482</v>
      </c>
      <c r="D194" s="7" t="s">
        <v>28</v>
      </c>
      <c r="E194" s="13" t="s">
        <v>33</v>
      </c>
      <c r="F194" s="16">
        <v>76.859159599999998</v>
      </c>
      <c r="G194" s="129">
        <v>1842.09961</v>
      </c>
      <c r="H194" s="22">
        <v>0</v>
      </c>
      <c r="I194" s="19"/>
      <c r="J194" s="7" t="s">
        <v>19</v>
      </c>
      <c r="K194" s="16"/>
      <c r="L194" s="16"/>
      <c r="M194" s="16"/>
      <c r="N194" s="16"/>
      <c r="O194" s="16"/>
      <c r="P194" s="16"/>
      <c r="Q194" s="175"/>
      <c r="T194" s="10"/>
      <c r="U194" s="20"/>
      <c r="V194" s="17"/>
      <c r="X194" s="10" t="s">
        <v>33</v>
      </c>
      <c r="Y194" s="17"/>
    </row>
    <row r="195" spans="1:64" x14ac:dyDescent="0.2">
      <c r="A195">
        <v>93</v>
      </c>
      <c r="B195" s="8">
        <v>46218</v>
      </c>
      <c r="C195" s="9">
        <v>0.44533564814814813</v>
      </c>
      <c r="D195" s="7" t="s">
        <v>28</v>
      </c>
      <c r="E195" s="13" t="s">
        <v>37</v>
      </c>
      <c r="F195" s="16">
        <v>70.872400799999994</v>
      </c>
      <c r="G195" s="129">
        <v>2255.2888200000002</v>
      </c>
      <c r="H195" s="22">
        <v>0</v>
      </c>
      <c r="I195" s="19"/>
      <c r="J195" s="7" t="s">
        <v>19</v>
      </c>
      <c r="K195" s="16"/>
      <c r="L195" s="16"/>
      <c r="M195" s="16"/>
      <c r="N195" s="16"/>
      <c r="O195" s="16"/>
      <c r="P195" s="16"/>
      <c r="Q195" s="175"/>
      <c r="T195" s="10"/>
      <c r="U195" s="20"/>
      <c r="V195" s="17"/>
      <c r="X195" s="10" t="s">
        <v>33</v>
      </c>
      <c r="Y195" s="17"/>
    </row>
    <row r="196" spans="1:64" x14ac:dyDescent="0.2">
      <c r="A196">
        <v>94</v>
      </c>
      <c r="B196" s="8">
        <v>46218</v>
      </c>
      <c r="C196" s="9">
        <v>0.4455324074074074</v>
      </c>
      <c r="D196" s="7" t="s">
        <v>28</v>
      </c>
      <c r="E196" s="13" t="s">
        <v>37</v>
      </c>
      <c r="F196" s="16">
        <v>71.253520600000002</v>
      </c>
      <c r="G196" s="129">
        <v>2276.2399999999998</v>
      </c>
      <c r="H196" s="22">
        <v>0</v>
      </c>
      <c r="I196" s="19"/>
      <c r="J196" s="7" t="s">
        <v>19</v>
      </c>
      <c r="K196" s="16"/>
      <c r="L196" s="16"/>
      <c r="M196" s="16"/>
      <c r="N196" s="16"/>
      <c r="O196" s="16"/>
      <c r="P196" s="16"/>
      <c r="Q196" s="175"/>
      <c r="T196" s="10"/>
      <c r="U196" s="20"/>
      <c r="V196" s="17"/>
      <c r="X196" s="10" t="s">
        <v>33</v>
      </c>
      <c r="Y196" s="17" t="s">
        <v>255</v>
      </c>
    </row>
    <row r="197" spans="1:64" x14ac:dyDescent="0.2">
      <c r="A197">
        <v>95</v>
      </c>
      <c r="B197" s="8">
        <v>46218</v>
      </c>
      <c r="C197" s="9">
        <v>0.44574074074074072</v>
      </c>
      <c r="D197" s="7" t="s">
        <v>28</v>
      </c>
      <c r="E197" s="13" t="s">
        <v>33</v>
      </c>
      <c r="F197" s="16">
        <v>77.303801000000007</v>
      </c>
      <c r="G197" s="129">
        <v>1916.5095200000001</v>
      </c>
      <c r="H197" s="22">
        <v>1</v>
      </c>
      <c r="I197" s="19" t="s">
        <v>38</v>
      </c>
      <c r="J197" s="7" t="s">
        <v>19</v>
      </c>
      <c r="K197" s="16"/>
      <c r="L197" s="16"/>
      <c r="M197" s="16"/>
      <c r="N197" s="16">
        <v>61.899607600000003</v>
      </c>
      <c r="O197" s="16"/>
      <c r="P197" s="16"/>
      <c r="Q197" s="175"/>
      <c r="T197" s="10"/>
      <c r="U197" s="20"/>
      <c r="V197" s="17"/>
      <c r="X197" s="10" t="s">
        <v>33</v>
      </c>
      <c r="Y197" s="17" t="s">
        <v>38</v>
      </c>
    </row>
    <row r="198" spans="1:64" x14ac:dyDescent="0.2">
      <c r="A198">
        <v>96</v>
      </c>
      <c r="B198" s="8">
        <v>46218</v>
      </c>
      <c r="C198" s="9">
        <v>0.44633101851851853</v>
      </c>
      <c r="D198" s="7" t="s">
        <v>28</v>
      </c>
      <c r="E198" s="13" t="s">
        <v>37</v>
      </c>
      <c r="F198" s="16">
        <v>71.571118999999996</v>
      </c>
      <c r="G198" s="129">
        <v>2280.2277800000002</v>
      </c>
      <c r="H198" s="22">
        <v>1</v>
      </c>
      <c r="I198" s="19"/>
      <c r="J198" s="7" t="s">
        <v>19</v>
      </c>
      <c r="K198" s="16"/>
      <c r="L198" s="16"/>
      <c r="M198" s="16"/>
      <c r="N198" s="16"/>
      <c r="O198" s="16"/>
      <c r="P198" s="16"/>
      <c r="Q198" s="175"/>
      <c r="T198" s="10"/>
      <c r="U198" s="20"/>
      <c r="V198" s="17"/>
      <c r="X198" s="10" t="s">
        <v>33</v>
      </c>
      <c r="Y198" s="17"/>
    </row>
    <row r="199" spans="1:64" x14ac:dyDescent="0.2">
      <c r="A199">
        <v>97</v>
      </c>
      <c r="B199" s="8">
        <v>46218</v>
      </c>
      <c r="C199" s="9">
        <v>0.44651620370370371</v>
      </c>
      <c r="D199" s="7" t="s">
        <v>28</v>
      </c>
      <c r="E199" s="13" t="s">
        <v>37</v>
      </c>
      <c r="F199" s="16">
        <v>71.062960700000005</v>
      </c>
      <c r="G199" s="129">
        <v>2258.6372099999999</v>
      </c>
      <c r="H199" s="22">
        <v>1</v>
      </c>
      <c r="I199" s="19" t="s">
        <v>45</v>
      </c>
      <c r="J199" s="7" t="s">
        <v>19</v>
      </c>
      <c r="K199" s="16"/>
      <c r="L199" s="16"/>
      <c r="M199" s="16"/>
      <c r="N199" s="16">
        <v>58.172077700000003</v>
      </c>
      <c r="O199" s="16"/>
      <c r="P199" s="16"/>
      <c r="Q199" s="175"/>
      <c r="T199" s="10"/>
      <c r="U199" s="20"/>
      <c r="V199" s="17"/>
      <c r="X199" s="158" t="s">
        <v>33</v>
      </c>
      <c r="Y199" s="162" t="s">
        <v>254</v>
      </c>
    </row>
    <row r="200" spans="1:64" x14ac:dyDescent="0.2">
      <c r="A200">
        <v>98</v>
      </c>
      <c r="B200" s="8">
        <v>46218</v>
      </c>
      <c r="C200" s="9">
        <v>0.44697916666666665</v>
      </c>
      <c r="D200" s="7" t="s">
        <v>28</v>
      </c>
      <c r="E200" s="13" t="s">
        <v>33</v>
      </c>
      <c r="F200" s="16">
        <v>77.176758000000007</v>
      </c>
      <c r="G200" s="129">
        <v>1939.6510000000001</v>
      </c>
      <c r="H200" s="22">
        <v>0</v>
      </c>
      <c r="I200" s="19"/>
      <c r="J200" s="7" t="s">
        <v>22</v>
      </c>
      <c r="K200" s="16"/>
      <c r="L200" s="16"/>
      <c r="M200" s="16"/>
      <c r="N200" s="16"/>
      <c r="O200" s="16"/>
      <c r="P200" s="16"/>
      <c r="Q200" s="175"/>
      <c r="T200" s="10"/>
      <c r="U200" s="20"/>
      <c r="V200" s="17"/>
      <c r="X200" s="10" t="s">
        <v>37</v>
      </c>
      <c r="Y200" s="17"/>
    </row>
    <row r="201" spans="1:64" x14ac:dyDescent="0.2">
      <c r="A201">
        <v>99</v>
      </c>
      <c r="B201" s="8">
        <v>46218</v>
      </c>
      <c r="C201" s="9">
        <v>0.44717592592592592</v>
      </c>
      <c r="D201" s="7" t="s">
        <v>28</v>
      </c>
      <c r="E201" s="13" t="s">
        <v>35</v>
      </c>
      <c r="F201" s="16">
        <v>73.857842199999993</v>
      </c>
      <c r="G201" s="129">
        <v>1576.9271200000001</v>
      </c>
      <c r="H201" s="22">
        <v>1</v>
      </c>
      <c r="I201" s="19" t="s">
        <v>39</v>
      </c>
      <c r="J201" s="7" t="s">
        <v>22</v>
      </c>
      <c r="K201" s="16"/>
      <c r="L201" s="16"/>
      <c r="M201" s="16"/>
      <c r="N201" s="16">
        <v>61.956084699999998</v>
      </c>
      <c r="O201" s="16"/>
      <c r="P201" s="16"/>
      <c r="Q201" s="175"/>
      <c r="T201" s="10"/>
      <c r="U201" s="20"/>
      <c r="V201" s="17"/>
      <c r="X201" s="10" t="s">
        <v>37</v>
      </c>
      <c r="Y201" s="17"/>
    </row>
    <row r="202" spans="1:64" x14ac:dyDescent="0.2">
      <c r="A202">
        <v>100</v>
      </c>
      <c r="B202" s="8">
        <v>46218</v>
      </c>
      <c r="C202" s="9">
        <v>0.44738425925925923</v>
      </c>
      <c r="D202" s="7" t="s">
        <v>28</v>
      </c>
      <c r="E202" s="13" t="s">
        <v>37</v>
      </c>
      <c r="F202" s="16">
        <v>72.412756099999996</v>
      </c>
      <c r="G202" s="129">
        <v>2360.9709499999999</v>
      </c>
      <c r="H202" s="22">
        <v>0</v>
      </c>
      <c r="I202" s="19"/>
      <c r="J202" s="7" t="s">
        <v>22</v>
      </c>
      <c r="K202" s="16"/>
      <c r="L202" s="16"/>
      <c r="M202" s="16"/>
      <c r="N202" s="16"/>
      <c r="O202" s="16"/>
      <c r="P202" s="16"/>
      <c r="Q202" s="175"/>
      <c r="T202" s="10"/>
      <c r="U202" s="20"/>
      <c r="V202" s="17"/>
      <c r="X202" s="10" t="s">
        <v>37</v>
      </c>
      <c r="Y202" s="17" t="s">
        <v>48</v>
      </c>
    </row>
    <row r="203" spans="1:64" x14ac:dyDescent="0.2">
      <c r="A203">
        <v>101</v>
      </c>
      <c r="B203" s="8">
        <v>46218</v>
      </c>
      <c r="C203" s="9">
        <v>0.4475925925925926</v>
      </c>
      <c r="D203" s="7" t="s">
        <v>28</v>
      </c>
      <c r="E203" s="13" t="s">
        <v>37</v>
      </c>
      <c r="F203" s="16">
        <v>70.316601399999996</v>
      </c>
      <c r="G203" s="129">
        <v>2374.0864299999998</v>
      </c>
      <c r="H203" s="22">
        <v>0</v>
      </c>
      <c r="I203" s="19"/>
      <c r="J203" s="7" t="s">
        <v>22</v>
      </c>
      <c r="K203" s="16"/>
      <c r="L203" s="16"/>
      <c r="M203" s="16"/>
      <c r="N203" s="16"/>
      <c r="O203" s="16"/>
      <c r="P203" s="16"/>
      <c r="Q203" s="175"/>
      <c r="T203" s="10"/>
      <c r="U203" s="20"/>
      <c r="V203" s="17"/>
      <c r="X203" s="10" t="s">
        <v>37</v>
      </c>
      <c r="Y203" s="17" t="s">
        <v>254</v>
      </c>
    </row>
    <row r="204" spans="1:64" x14ac:dyDescent="0.2">
      <c r="A204">
        <v>102</v>
      </c>
      <c r="B204" s="8">
        <v>46218</v>
      </c>
      <c r="C204" s="9">
        <v>0.4478125</v>
      </c>
      <c r="D204" s="7" t="s">
        <v>28</v>
      </c>
      <c r="E204" s="13" t="s">
        <v>33</v>
      </c>
      <c r="F204" s="16">
        <v>75.461714599999993</v>
      </c>
      <c r="G204" s="129">
        <v>1928.31323</v>
      </c>
      <c r="H204" s="22">
        <v>0</v>
      </c>
      <c r="I204" s="19" t="s">
        <v>48</v>
      </c>
      <c r="J204" s="7" t="s">
        <v>22</v>
      </c>
      <c r="K204" s="16"/>
      <c r="L204" s="16"/>
      <c r="M204" s="16"/>
      <c r="N204" s="16"/>
      <c r="O204" s="16"/>
      <c r="P204" s="16"/>
      <c r="Q204" s="175"/>
      <c r="T204" s="10"/>
      <c r="U204" s="20"/>
      <c r="V204" s="17"/>
      <c r="X204" s="10" t="s">
        <v>37</v>
      </c>
      <c r="Y204" s="17"/>
    </row>
    <row r="205" spans="1:64" x14ac:dyDescent="0.2">
      <c r="A205">
        <v>103</v>
      </c>
      <c r="B205" s="8">
        <v>46218</v>
      </c>
      <c r="C205" s="9">
        <v>0.44802083333333331</v>
      </c>
      <c r="D205" s="7" t="s">
        <v>28</v>
      </c>
      <c r="E205" s="13" t="s">
        <v>33</v>
      </c>
      <c r="F205" s="16">
        <v>76.732116899999994</v>
      </c>
      <c r="G205" s="129">
        <v>2027.5529799999999</v>
      </c>
      <c r="H205" s="22">
        <v>0</v>
      </c>
      <c r="I205" s="19"/>
      <c r="J205" s="7" t="s">
        <v>22</v>
      </c>
      <c r="K205" s="16"/>
      <c r="L205" s="16"/>
      <c r="M205" s="16"/>
      <c r="N205" s="16"/>
      <c r="O205" s="16"/>
      <c r="P205" s="16"/>
      <c r="Q205" s="175"/>
      <c r="T205" s="10"/>
      <c r="U205" s="20"/>
      <c r="V205" s="17"/>
      <c r="X205" s="10" t="s">
        <v>37</v>
      </c>
      <c r="Y205" s="17"/>
    </row>
    <row r="206" spans="1:64" x14ac:dyDescent="0.2">
      <c r="A206">
        <v>104</v>
      </c>
      <c r="B206" s="8">
        <v>46218</v>
      </c>
      <c r="C206" s="9">
        <v>0.44841435185185186</v>
      </c>
      <c r="D206" s="7" t="s">
        <v>28</v>
      </c>
      <c r="E206" s="13" t="s">
        <v>37</v>
      </c>
      <c r="F206" s="16">
        <v>72.539799000000002</v>
      </c>
      <c r="G206" s="129">
        <v>2318.2902800000002</v>
      </c>
      <c r="H206" s="22">
        <v>1</v>
      </c>
      <c r="I206" s="19"/>
      <c r="J206" s="7" t="s">
        <v>17</v>
      </c>
      <c r="K206" s="16"/>
      <c r="L206" s="16"/>
      <c r="M206" s="16"/>
      <c r="N206" s="16"/>
      <c r="O206" s="16"/>
      <c r="P206" s="16"/>
      <c r="Q206" s="175"/>
      <c r="T206" s="10"/>
      <c r="U206" s="20"/>
      <c r="V206" s="17"/>
      <c r="X206" s="10" t="s">
        <v>37</v>
      </c>
      <c r="Y206" s="17"/>
    </row>
    <row r="207" spans="1:64" x14ac:dyDescent="0.2">
      <c r="A207">
        <v>105</v>
      </c>
      <c r="B207" s="8">
        <v>46218</v>
      </c>
      <c r="C207" s="9">
        <v>0.44861111111111113</v>
      </c>
      <c r="D207" s="7" t="s">
        <v>28</v>
      </c>
      <c r="E207" s="13" t="s">
        <v>33</v>
      </c>
      <c r="F207" s="16">
        <v>76.033398700000006</v>
      </c>
      <c r="G207" s="129">
        <v>1935.3021200000001</v>
      </c>
      <c r="H207" s="22">
        <v>0</v>
      </c>
      <c r="I207" s="19"/>
      <c r="J207" s="7" t="s">
        <v>17</v>
      </c>
      <c r="K207" s="16"/>
      <c r="L207" s="16"/>
      <c r="M207" s="16"/>
      <c r="N207" s="16"/>
      <c r="O207" s="16"/>
      <c r="P207" s="16"/>
      <c r="Q207" s="175"/>
      <c r="T207" s="10"/>
      <c r="U207" s="20"/>
      <c r="V207" s="17"/>
      <c r="X207" s="10" t="s">
        <v>37</v>
      </c>
      <c r="Y207" s="17"/>
    </row>
    <row r="208" spans="1:64" x14ac:dyDescent="0.2">
      <c r="A208">
        <v>106</v>
      </c>
      <c r="B208" s="8">
        <v>46218</v>
      </c>
      <c r="C208" s="9">
        <v>0.44884259259259257</v>
      </c>
      <c r="D208" s="7" t="s">
        <v>28</v>
      </c>
      <c r="E208" s="13" t="s">
        <v>35</v>
      </c>
      <c r="F208" s="16">
        <v>74.937680400000005</v>
      </c>
      <c r="G208" s="129">
        <v>1805.43237</v>
      </c>
      <c r="H208" s="22">
        <v>0</v>
      </c>
      <c r="I208" s="19"/>
      <c r="J208" s="7" t="s">
        <v>17</v>
      </c>
      <c r="K208" s="16"/>
      <c r="L208" s="16"/>
      <c r="M208" s="16"/>
      <c r="N208" s="16"/>
      <c r="O208" s="16"/>
      <c r="P208" s="16"/>
      <c r="Q208" s="175"/>
      <c r="T208" s="13"/>
      <c r="U208" s="22"/>
      <c r="V208" s="19"/>
      <c r="X208" s="10" t="s">
        <v>37</v>
      </c>
      <c r="Y208" s="17" t="s">
        <v>39</v>
      </c>
    </row>
    <row r="209" spans="1:64" x14ac:dyDescent="0.2">
      <c r="A209">
        <v>107</v>
      </c>
      <c r="B209" s="8">
        <v>46218</v>
      </c>
      <c r="C209" s="9">
        <v>0.44907407407407407</v>
      </c>
      <c r="D209" s="7" t="s">
        <v>28</v>
      </c>
      <c r="E209" s="13" t="s">
        <v>37</v>
      </c>
      <c r="F209" s="16">
        <v>71.332922400000001</v>
      </c>
      <c r="G209" s="129">
        <v>166.45335399999999</v>
      </c>
      <c r="H209" s="22">
        <v>1</v>
      </c>
      <c r="I209" s="19" t="s">
        <v>38</v>
      </c>
      <c r="J209" s="7" t="s">
        <v>17</v>
      </c>
      <c r="K209" s="16"/>
      <c r="L209" s="16"/>
      <c r="M209" s="16"/>
      <c r="N209" s="16">
        <v>58.397990800000002</v>
      </c>
      <c r="O209" s="16"/>
      <c r="P209" s="16"/>
      <c r="Q209" s="175"/>
      <c r="T209" s="13"/>
      <c r="U209" s="22"/>
      <c r="V209" s="19"/>
      <c r="X209" s="10" t="s">
        <v>37</v>
      </c>
      <c r="Y209" s="17" t="s">
        <v>38</v>
      </c>
    </row>
    <row r="210" spans="1:64" x14ac:dyDescent="0.2">
      <c r="A210">
        <v>108</v>
      </c>
      <c r="B210" s="8">
        <v>46218</v>
      </c>
      <c r="C210" s="9">
        <v>0.44960648148148147</v>
      </c>
      <c r="D210" s="7" t="s">
        <v>28</v>
      </c>
      <c r="E210" s="13" t="s">
        <v>37</v>
      </c>
      <c r="F210" s="16">
        <v>71.968123399999996</v>
      </c>
      <c r="G210" s="129">
        <v>1159.2100800000001</v>
      </c>
      <c r="H210" s="22">
        <v>1</v>
      </c>
      <c r="I210" s="19" t="s">
        <v>45</v>
      </c>
      <c r="J210" s="7" t="s">
        <v>17</v>
      </c>
      <c r="K210" s="16"/>
      <c r="L210" s="16"/>
      <c r="M210" s="16"/>
      <c r="N210" s="16">
        <v>61.673698799999997</v>
      </c>
      <c r="O210" s="16"/>
      <c r="P210" s="16"/>
      <c r="Q210" s="175"/>
      <c r="T210" s="10"/>
      <c r="U210" s="20"/>
      <c r="V210" s="17"/>
      <c r="X210" s="10" t="s">
        <v>37</v>
      </c>
      <c r="Y210" s="17" t="s">
        <v>38</v>
      </c>
    </row>
    <row r="211" spans="1:64" x14ac:dyDescent="0.2">
      <c r="A211">
        <v>109</v>
      </c>
      <c r="B211" s="8">
        <v>46218</v>
      </c>
      <c r="C211" s="9">
        <v>0.45004629629629628</v>
      </c>
      <c r="D211" s="7" t="s">
        <v>28</v>
      </c>
      <c r="E211" s="13" t="s">
        <v>37</v>
      </c>
      <c r="F211" s="16">
        <v>70.681840899999997</v>
      </c>
      <c r="G211" s="129">
        <v>2343.4147899999998</v>
      </c>
      <c r="H211" s="22">
        <v>0</v>
      </c>
      <c r="I211" s="19"/>
      <c r="J211" s="7" t="s">
        <v>20</v>
      </c>
      <c r="K211" s="16"/>
      <c r="L211" s="16"/>
      <c r="M211" s="16"/>
      <c r="N211" s="16"/>
      <c r="O211" s="16"/>
      <c r="P211" s="16"/>
      <c r="Q211" s="175"/>
      <c r="T211" s="10"/>
      <c r="U211" s="20"/>
      <c r="V211" s="17"/>
      <c r="X211" s="10" t="s">
        <v>37</v>
      </c>
      <c r="Y211" s="17" t="s">
        <v>38</v>
      </c>
    </row>
    <row r="212" spans="1:64" x14ac:dyDescent="0.2">
      <c r="A212">
        <v>110</v>
      </c>
      <c r="B212" s="8">
        <v>46218</v>
      </c>
      <c r="C212" s="9">
        <v>0.45037037037037037</v>
      </c>
      <c r="D212" s="7" t="s">
        <v>28</v>
      </c>
      <c r="E212" s="13" t="s">
        <v>37</v>
      </c>
      <c r="F212" s="16">
        <v>72.015764599999997</v>
      </c>
      <c r="G212" s="129">
        <v>2312.6</v>
      </c>
      <c r="H212" s="22">
        <v>1</v>
      </c>
      <c r="I212" s="19" t="s">
        <v>39</v>
      </c>
      <c r="J212" s="7" t="s">
        <v>20</v>
      </c>
      <c r="K212" s="16"/>
      <c r="L212" s="16"/>
      <c r="M212" s="16"/>
      <c r="N212" s="16">
        <v>66.700216999999995</v>
      </c>
      <c r="O212" s="16"/>
      <c r="P212" s="16"/>
      <c r="Q212" s="175"/>
      <c r="T212" s="10"/>
      <c r="U212" s="20"/>
      <c r="V212" s="17"/>
      <c r="X212" s="10" t="s">
        <v>37</v>
      </c>
      <c r="Y212" s="17"/>
    </row>
    <row r="213" spans="1:64" x14ac:dyDescent="0.2">
      <c r="A213">
        <v>111</v>
      </c>
      <c r="B213" s="8">
        <v>46218</v>
      </c>
      <c r="C213" s="9">
        <v>0.45075231481481481</v>
      </c>
      <c r="D213" s="7" t="s">
        <v>28</v>
      </c>
      <c r="E213" s="13" t="s">
        <v>35</v>
      </c>
      <c r="F213" s="16">
        <v>72.603320400000001</v>
      </c>
      <c r="G213" s="129">
        <v>1277.51917</v>
      </c>
      <c r="H213" s="22">
        <v>1</v>
      </c>
      <c r="I213" s="19" t="s">
        <v>39</v>
      </c>
      <c r="J213" s="7" t="s">
        <v>20</v>
      </c>
      <c r="K213" s="16"/>
      <c r="L213" s="16"/>
      <c r="M213" s="16"/>
      <c r="N213" s="16">
        <v>62.012566200000002</v>
      </c>
      <c r="O213" s="16"/>
      <c r="P213" s="16"/>
      <c r="Q213" s="175"/>
      <c r="T213" s="10"/>
      <c r="U213" s="20"/>
      <c r="V213" s="17"/>
      <c r="X213" s="10" t="s">
        <v>37</v>
      </c>
      <c r="Y213" s="17" t="s">
        <v>45</v>
      </c>
    </row>
    <row r="214" spans="1:64" x14ac:dyDescent="0.2">
      <c r="A214">
        <v>112</v>
      </c>
      <c r="B214" s="8">
        <v>46218</v>
      </c>
      <c r="C214" s="9">
        <v>0.45099537037037035</v>
      </c>
      <c r="D214" s="7" t="s">
        <v>28</v>
      </c>
      <c r="E214" s="13" t="s">
        <v>37</v>
      </c>
      <c r="F214" s="16">
        <v>72.476279000000005</v>
      </c>
      <c r="G214" s="129">
        <v>1157.0354</v>
      </c>
      <c r="H214" s="22">
        <v>1</v>
      </c>
      <c r="I214" s="19" t="s">
        <v>38</v>
      </c>
      <c r="J214" s="7" t="s">
        <v>20</v>
      </c>
      <c r="K214" s="16"/>
      <c r="L214" s="16"/>
      <c r="M214" s="16"/>
      <c r="N214" s="16">
        <v>57.663778700000002</v>
      </c>
      <c r="O214" s="16"/>
      <c r="P214" s="16"/>
      <c r="Q214" s="175"/>
      <c r="T214" s="10"/>
      <c r="U214" s="20"/>
      <c r="V214" s="17"/>
      <c r="X214" s="166" t="s">
        <v>37</v>
      </c>
      <c r="Y214" s="170" t="s">
        <v>41</v>
      </c>
    </row>
    <row r="215" spans="1:64" s="155" customFormat="1" x14ac:dyDescent="0.2">
      <c r="A215" s="155">
        <v>113</v>
      </c>
      <c r="B215" s="163">
        <v>46218</v>
      </c>
      <c r="C215" s="164">
        <v>0.45134259259259257</v>
      </c>
      <c r="D215" s="165" t="s">
        <v>28</v>
      </c>
      <c r="E215" s="166" t="s">
        <v>37</v>
      </c>
      <c r="F215" s="167">
        <v>72.253961099999998</v>
      </c>
      <c r="G215" s="168">
        <v>2273.13501</v>
      </c>
      <c r="H215" s="169">
        <v>1</v>
      </c>
      <c r="I215" s="170" t="s">
        <v>45</v>
      </c>
      <c r="J215" s="165" t="s">
        <v>20</v>
      </c>
      <c r="K215" s="167"/>
      <c r="L215" s="167"/>
      <c r="M215" s="167"/>
      <c r="N215" s="167">
        <v>63.819853899999998</v>
      </c>
      <c r="O215" s="167"/>
      <c r="P215" s="167"/>
      <c r="Q215" s="176"/>
      <c r="S215"/>
      <c r="T215" s="158"/>
      <c r="U215" s="161"/>
      <c r="V215" s="162"/>
      <c r="W215"/>
      <c r="X215" s="13" t="s">
        <v>37</v>
      </c>
      <c r="Y215" s="19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</row>
    <row r="216" spans="1:64" x14ac:dyDescent="0.2">
      <c r="A216">
        <v>114</v>
      </c>
      <c r="B216" s="8">
        <v>46218</v>
      </c>
      <c r="C216" s="9">
        <v>0.45894675925925926</v>
      </c>
      <c r="D216" s="7" t="s">
        <v>28</v>
      </c>
      <c r="E216" s="13" t="s">
        <v>35</v>
      </c>
      <c r="F216" s="16">
        <v>73.619636999999997</v>
      </c>
      <c r="G216" s="129">
        <v>1729.70129</v>
      </c>
      <c r="H216" s="22">
        <v>0</v>
      </c>
      <c r="I216" s="19"/>
      <c r="J216" s="7" t="s">
        <v>24</v>
      </c>
      <c r="K216" s="16"/>
      <c r="L216" s="16"/>
      <c r="M216" s="16"/>
      <c r="N216" s="16"/>
      <c r="O216" s="16"/>
      <c r="P216" s="16"/>
      <c r="Q216" s="175"/>
      <c r="T216" s="13"/>
      <c r="U216" s="22"/>
      <c r="V216" s="19"/>
      <c r="X216" s="13" t="s">
        <v>37</v>
      </c>
      <c r="Y216" s="19"/>
    </row>
    <row r="217" spans="1:64" x14ac:dyDescent="0.2">
      <c r="A217">
        <v>115</v>
      </c>
      <c r="B217" s="8">
        <v>46218</v>
      </c>
      <c r="C217" s="9">
        <v>0.4592013888888889</v>
      </c>
      <c r="D217" s="7" t="s">
        <v>28</v>
      </c>
      <c r="E217" s="13" t="s">
        <v>35</v>
      </c>
      <c r="F217" s="16">
        <v>73.778440399999994</v>
      </c>
      <c r="G217" s="129">
        <v>1640.4537399999999</v>
      </c>
      <c r="H217" s="22">
        <v>0</v>
      </c>
      <c r="I217" s="19"/>
      <c r="J217" s="7" t="s">
        <v>24</v>
      </c>
      <c r="K217" s="16"/>
      <c r="L217" s="16"/>
      <c r="M217" s="16"/>
      <c r="N217" s="16"/>
      <c r="O217" s="16"/>
      <c r="P217" s="16"/>
      <c r="Q217" s="175"/>
      <c r="T217" s="10"/>
      <c r="U217" s="20"/>
      <c r="V217" s="17"/>
      <c r="X217" s="13" t="s">
        <v>37</v>
      </c>
      <c r="Y217" s="19"/>
    </row>
    <row r="218" spans="1:64" x14ac:dyDescent="0.2">
      <c r="A218">
        <v>116</v>
      </c>
      <c r="B218" s="8">
        <v>46218</v>
      </c>
      <c r="C218" s="9">
        <v>0.45940972222222221</v>
      </c>
      <c r="D218" s="7" t="s">
        <v>28</v>
      </c>
      <c r="E218" s="13" t="s">
        <v>37</v>
      </c>
      <c r="F218" s="16">
        <v>71.142362500000004</v>
      </c>
      <c r="G218" s="129">
        <v>2283.0288099999998</v>
      </c>
      <c r="H218" s="22">
        <v>1</v>
      </c>
      <c r="I218" s="19"/>
      <c r="J218" s="7" t="s">
        <v>24</v>
      </c>
      <c r="K218" s="16"/>
      <c r="L218" s="16"/>
      <c r="M218" s="16"/>
      <c r="N218" s="16"/>
      <c r="O218" s="16"/>
      <c r="P218" s="16"/>
      <c r="Q218" s="175"/>
      <c r="T218" s="10"/>
      <c r="U218" s="20"/>
      <c r="V218" s="17"/>
      <c r="X218" s="13" t="s">
        <v>37</v>
      </c>
      <c r="Y218" s="19" t="s">
        <v>45</v>
      </c>
    </row>
    <row r="219" spans="1:64" x14ac:dyDescent="0.2">
      <c r="A219">
        <v>117</v>
      </c>
      <c r="B219" s="8">
        <v>46218</v>
      </c>
      <c r="C219" s="9">
        <v>0.45959490740740738</v>
      </c>
      <c r="D219" s="7" t="s">
        <v>28</v>
      </c>
      <c r="E219" s="13" t="s">
        <v>37</v>
      </c>
      <c r="F219" s="16">
        <v>70.697721200000004</v>
      </c>
      <c r="G219" s="129">
        <v>2249.3349600000001</v>
      </c>
      <c r="H219" s="22">
        <v>1</v>
      </c>
      <c r="I219" s="19"/>
      <c r="J219" s="7" t="s">
        <v>24</v>
      </c>
      <c r="K219" s="16"/>
      <c r="L219" s="16"/>
      <c r="M219" s="16"/>
      <c r="N219" s="16"/>
      <c r="O219" s="16"/>
      <c r="P219" s="16"/>
      <c r="Q219" s="175"/>
      <c r="T219" s="10"/>
      <c r="U219" s="20"/>
      <c r="V219" s="17"/>
      <c r="X219" s="13" t="s">
        <v>37</v>
      </c>
      <c r="Y219" s="19"/>
    </row>
    <row r="220" spans="1:64" x14ac:dyDescent="0.2">
      <c r="A220">
        <v>118</v>
      </c>
      <c r="B220" s="8">
        <v>46218</v>
      </c>
      <c r="C220" s="9">
        <v>0.45980324074074075</v>
      </c>
      <c r="D220" s="7" t="s">
        <v>28</v>
      </c>
      <c r="E220" s="13" t="s">
        <v>33</v>
      </c>
      <c r="F220" s="16">
        <v>76.859159599999998</v>
      </c>
      <c r="G220" s="129">
        <v>1904.12183</v>
      </c>
      <c r="H220" s="22">
        <v>1</v>
      </c>
      <c r="I220" s="19" t="s">
        <v>45</v>
      </c>
      <c r="J220" s="7" t="s">
        <v>24</v>
      </c>
      <c r="K220" s="16"/>
      <c r="L220" s="16"/>
      <c r="M220" s="16"/>
      <c r="N220" s="16">
        <v>69.072281200000006</v>
      </c>
      <c r="O220" s="16"/>
      <c r="P220" s="16"/>
      <c r="Q220" s="175"/>
      <c r="T220" s="13"/>
      <c r="U220" s="22"/>
      <c r="V220" s="19"/>
      <c r="X220" s="13" t="s">
        <v>37</v>
      </c>
      <c r="Y220" s="19" t="s">
        <v>38</v>
      </c>
    </row>
    <row r="221" spans="1:64" x14ac:dyDescent="0.2">
      <c r="A221">
        <v>119</v>
      </c>
      <c r="B221" s="8">
        <v>46218</v>
      </c>
      <c r="C221" s="9">
        <v>0.46025462962962965</v>
      </c>
      <c r="D221" s="7" t="s">
        <v>28</v>
      </c>
      <c r="E221" s="13" t="s">
        <v>37</v>
      </c>
      <c r="F221" s="16">
        <v>71.507601800000003</v>
      </c>
      <c r="G221" s="129">
        <v>1138.11707</v>
      </c>
      <c r="H221" s="22">
        <v>1</v>
      </c>
      <c r="I221" s="19" t="s">
        <v>255</v>
      </c>
      <c r="J221" s="7" t="s">
        <v>19</v>
      </c>
      <c r="K221" s="16">
        <v>76.068367800000004</v>
      </c>
      <c r="L221" s="16">
        <v>53.915248900000002</v>
      </c>
      <c r="M221" s="16">
        <v>-11.161350000000001</v>
      </c>
      <c r="N221" s="16">
        <v>61.504262699999998</v>
      </c>
      <c r="O221" s="16">
        <v>252</v>
      </c>
      <c r="P221" s="16">
        <v>1.2367982900000001</v>
      </c>
      <c r="Q221" s="175">
        <v>0.77698646000000005</v>
      </c>
      <c r="T221" s="13"/>
      <c r="U221" s="22"/>
      <c r="V221" s="19"/>
      <c r="X221" s="13" t="s">
        <v>37</v>
      </c>
      <c r="Y221" s="19" t="s">
        <v>45</v>
      </c>
    </row>
    <row r="222" spans="1:64" x14ac:dyDescent="0.2">
      <c r="A222">
        <v>120</v>
      </c>
      <c r="B222" s="8">
        <v>46218</v>
      </c>
      <c r="C222" s="9">
        <v>0.46069444444444446</v>
      </c>
      <c r="D222" s="7" t="s">
        <v>28</v>
      </c>
      <c r="E222" s="13" t="s">
        <v>33</v>
      </c>
      <c r="F222" s="16">
        <v>75.969877299999993</v>
      </c>
      <c r="G222" s="129">
        <v>2026.33862</v>
      </c>
      <c r="H222" s="22">
        <v>0</v>
      </c>
      <c r="I222" s="19"/>
      <c r="J222" s="7" t="s">
        <v>22</v>
      </c>
      <c r="K222" s="16"/>
      <c r="L222" s="16"/>
      <c r="M222" s="16"/>
      <c r="N222" s="16"/>
      <c r="O222" s="16"/>
      <c r="P222" s="16"/>
      <c r="Q222" s="175"/>
      <c r="T222" s="13"/>
      <c r="U222" s="22"/>
      <c r="V222" s="19"/>
      <c r="X222" s="13" t="s">
        <v>37</v>
      </c>
      <c r="Y222" s="19" t="s">
        <v>39</v>
      </c>
    </row>
    <row r="223" spans="1:64" x14ac:dyDescent="0.2">
      <c r="A223">
        <v>121</v>
      </c>
      <c r="B223" s="8">
        <v>46218</v>
      </c>
      <c r="C223" s="9">
        <v>0.46091435185185187</v>
      </c>
      <c r="D223" s="7" t="s">
        <v>28</v>
      </c>
      <c r="E223" s="13" t="s">
        <v>33</v>
      </c>
      <c r="F223" s="16">
        <v>76.287475700000002</v>
      </c>
      <c r="G223" s="129">
        <v>1955.73792</v>
      </c>
      <c r="H223" s="22">
        <v>0</v>
      </c>
      <c r="I223" s="19"/>
      <c r="J223" s="7" t="s">
        <v>22</v>
      </c>
      <c r="K223" s="16"/>
      <c r="L223" s="16"/>
      <c r="M223" s="16"/>
      <c r="N223" s="16"/>
      <c r="O223" s="16"/>
      <c r="P223" s="16"/>
      <c r="Q223" s="175"/>
      <c r="T223" s="13"/>
      <c r="U223" s="22"/>
      <c r="V223" s="19"/>
      <c r="X223" s="13" t="s">
        <v>37</v>
      </c>
      <c r="Y223" s="19" t="s">
        <v>255</v>
      </c>
    </row>
    <row r="224" spans="1:64" x14ac:dyDescent="0.2">
      <c r="A224">
        <v>122</v>
      </c>
      <c r="B224" s="8">
        <v>46218</v>
      </c>
      <c r="C224" s="9">
        <v>0.46120370370370373</v>
      </c>
      <c r="D224" s="7" t="s">
        <v>28</v>
      </c>
      <c r="E224" s="13" t="s">
        <v>37</v>
      </c>
      <c r="F224" s="16">
        <v>71.332922400000001</v>
      </c>
      <c r="G224" s="129">
        <v>2287.3098100000002</v>
      </c>
      <c r="H224" s="22">
        <v>0</v>
      </c>
      <c r="I224" s="19"/>
      <c r="J224" s="7" t="s">
        <v>22</v>
      </c>
      <c r="K224" s="16"/>
      <c r="L224" s="16"/>
      <c r="M224" s="16"/>
      <c r="N224" s="16"/>
      <c r="O224" s="16"/>
      <c r="P224" s="16"/>
      <c r="Q224" s="175"/>
      <c r="T224" s="13"/>
      <c r="U224" s="22"/>
      <c r="V224" s="19"/>
      <c r="X224" s="13" t="s">
        <v>37</v>
      </c>
      <c r="Y224" s="19"/>
    </row>
    <row r="225" spans="1:64" x14ac:dyDescent="0.2">
      <c r="A225">
        <v>123</v>
      </c>
      <c r="B225" s="8">
        <v>46218</v>
      </c>
      <c r="C225" s="9">
        <v>0.46142361111111113</v>
      </c>
      <c r="D225" s="7" t="s">
        <v>28</v>
      </c>
      <c r="E225" s="13" t="s">
        <v>37</v>
      </c>
      <c r="F225" s="16">
        <v>71.3964395</v>
      </c>
      <c r="G225" s="129">
        <v>2221.5710399999998</v>
      </c>
      <c r="H225" s="22">
        <v>0</v>
      </c>
      <c r="I225" s="19" t="s">
        <v>48</v>
      </c>
      <c r="J225" s="7" t="s">
        <v>22</v>
      </c>
      <c r="K225" s="16"/>
      <c r="L225" s="16"/>
      <c r="M225" s="16"/>
      <c r="N225" s="16"/>
      <c r="O225" s="16"/>
      <c r="P225" s="16"/>
      <c r="Q225" s="175"/>
      <c r="T225" s="13"/>
      <c r="U225" s="22"/>
      <c r="V225" s="19"/>
      <c r="X225" s="13" t="s">
        <v>37</v>
      </c>
      <c r="Y225" s="19"/>
    </row>
    <row r="226" spans="1:64" x14ac:dyDescent="0.2">
      <c r="A226">
        <v>124</v>
      </c>
      <c r="B226" s="8">
        <v>46218</v>
      </c>
      <c r="C226" s="9">
        <v>0.46162037037037035</v>
      </c>
      <c r="D226" s="7" t="s">
        <v>28</v>
      </c>
      <c r="E226" s="13" t="s">
        <v>33</v>
      </c>
      <c r="F226" s="16">
        <v>77.017954599999996</v>
      </c>
      <c r="G226" s="129">
        <v>2015.46228</v>
      </c>
      <c r="H226" s="22">
        <v>0</v>
      </c>
      <c r="I226" s="19"/>
      <c r="J226" s="7" t="s">
        <v>22</v>
      </c>
      <c r="K226" s="16"/>
      <c r="L226" s="16"/>
      <c r="M226" s="16"/>
      <c r="N226" s="16"/>
      <c r="O226" s="16"/>
      <c r="P226" s="16"/>
      <c r="Q226" s="175"/>
      <c r="T226" s="13"/>
      <c r="U226" s="22"/>
      <c r="V226" s="19"/>
      <c r="X226" s="13" t="s">
        <v>37</v>
      </c>
      <c r="Y226" s="19"/>
    </row>
    <row r="227" spans="1:64" x14ac:dyDescent="0.2">
      <c r="A227">
        <v>125</v>
      </c>
      <c r="B227" s="8">
        <v>46218</v>
      </c>
      <c r="C227" s="9">
        <v>0.46195601851851853</v>
      </c>
      <c r="D227" s="7" t="s">
        <v>28</v>
      </c>
      <c r="E227" s="13" t="s">
        <v>37</v>
      </c>
      <c r="F227" s="16">
        <v>71.507601800000003</v>
      </c>
      <c r="G227" s="129">
        <v>2481.28638</v>
      </c>
      <c r="H227" s="22">
        <v>0</v>
      </c>
      <c r="I227" s="19" t="s">
        <v>41</v>
      </c>
      <c r="J227" s="7" t="s">
        <v>17</v>
      </c>
      <c r="K227" s="16"/>
      <c r="L227" s="16"/>
      <c r="M227" s="16"/>
      <c r="N227" s="16"/>
      <c r="O227" s="16"/>
      <c r="P227" s="16"/>
      <c r="Q227" s="175"/>
      <c r="T227" s="10"/>
      <c r="U227" s="20"/>
      <c r="V227" s="17"/>
      <c r="X227" s="13" t="s">
        <v>37</v>
      </c>
      <c r="Y227" s="19" t="s">
        <v>254</v>
      </c>
    </row>
    <row r="228" spans="1:64" x14ac:dyDescent="0.2">
      <c r="A228">
        <v>126</v>
      </c>
      <c r="B228" s="8">
        <v>46218</v>
      </c>
      <c r="C228" s="9">
        <v>0.46232638888888888</v>
      </c>
      <c r="D228" s="7" t="s">
        <v>28</v>
      </c>
      <c r="E228" s="13" t="s">
        <v>33</v>
      </c>
      <c r="F228" s="16">
        <v>75.715800299999998</v>
      </c>
      <c r="G228" s="129">
        <v>1880.3387499999999</v>
      </c>
      <c r="H228" s="22">
        <v>1</v>
      </c>
      <c r="I228" s="19" t="s">
        <v>38</v>
      </c>
      <c r="J228" s="7" t="s">
        <v>17</v>
      </c>
      <c r="K228" s="16"/>
      <c r="L228" s="16"/>
      <c r="M228" s="16"/>
      <c r="N228" s="16">
        <v>62.803251500000002</v>
      </c>
      <c r="O228" s="16"/>
      <c r="P228" s="16"/>
      <c r="Q228" s="175"/>
      <c r="T228" s="10"/>
      <c r="U228" s="20"/>
      <c r="V228" s="17"/>
      <c r="X228" s="13" t="s">
        <v>37</v>
      </c>
      <c r="Y228" s="19" t="s">
        <v>38</v>
      </c>
    </row>
    <row r="229" spans="1:64" x14ac:dyDescent="0.2">
      <c r="A229">
        <v>127</v>
      </c>
      <c r="B229" s="8">
        <v>46218</v>
      </c>
      <c r="C229" s="9">
        <v>0.4626736111111111</v>
      </c>
      <c r="D229" s="7" t="s">
        <v>28</v>
      </c>
      <c r="E229" s="13" t="s">
        <v>33</v>
      </c>
      <c r="F229" s="16">
        <v>76.541561200000004</v>
      </c>
      <c r="G229" s="129">
        <v>1000.8132900000001</v>
      </c>
      <c r="H229" s="22">
        <v>1</v>
      </c>
      <c r="I229" s="19" t="s">
        <v>38</v>
      </c>
      <c r="J229" s="7" t="s">
        <v>17</v>
      </c>
      <c r="K229" s="16"/>
      <c r="L229" s="16"/>
      <c r="M229" s="16"/>
      <c r="N229" s="16">
        <v>62.633819699999997</v>
      </c>
      <c r="O229" s="16"/>
      <c r="P229" s="16"/>
      <c r="Q229" s="175"/>
      <c r="T229" s="10"/>
      <c r="U229" s="20"/>
      <c r="V229" s="17"/>
      <c r="X229" s="13" t="s">
        <v>37</v>
      </c>
      <c r="Y229" s="19" t="s">
        <v>38</v>
      </c>
    </row>
    <row r="230" spans="1:64" s="155" customFormat="1" ht="17" thickBot="1" x14ac:dyDescent="0.25">
      <c r="A230" s="155">
        <v>128</v>
      </c>
      <c r="B230" s="163">
        <v>46218</v>
      </c>
      <c r="C230" s="164">
        <v>0.46304398148148146</v>
      </c>
      <c r="D230" s="165" t="s">
        <v>28</v>
      </c>
      <c r="E230" s="166" t="s">
        <v>37</v>
      </c>
      <c r="F230" s="167">
        <v>71.380559099999999</v>
      </c>
      <c r="G230" s="168">
        <v>2284.4108900000001</v>
      </c>
      <c r="H230" s="169">
        <v>1</v>
      </c>
      <c r="I230" s="170" t="s">
        <v>42</v>
      </c>
      <c r="J230" s="165" t="s">
        <v>17</v>
      </c>
      <c r="K230" s="167"/>
      <c r="L230" s="167"/>
      <c r="M230" s="167"/>
      <c r="N230" s="167"/>
      <c r="O230" s="167"/>
      <c r="P230" s="167"/>
      <c r="Q230" s="176"/>
      <c r="S230"/>
      <c r="T230" s="166"/>
      <c r="U230" s="169"/>
      <c r="V230" s="170"/>
      <c r="W230"/>
      <c r="X230" s="125" t="s">
        <v>37</v>
      </c>
      <c r="Y230" s="127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</row>
    <row r="231" spans="1:64" x14ac:dyDescent="0.2">
      <c r="A231">
        <v>129</v>
      </c>
      <c r="B231" s="8">
        <v>46218</v>
      </c>
      <c r="C231" s="9">
        <v>0.47141203703703705</v>
      </c>
      <c r="D231" s="7" t="s">
        <v>28</v>
      </c>
      <c r="E231" s="13" t="s">
        <v>37</v>
      </c>
      <c r="F231" s="16">
        <v>70.570682700000006</v>
      </c>
      <c r="G231" s="129">
        <v>2243.8098100000002</v>
      </c>
      <c r="H231" s="22">
        <v>0</v>
      </c>
      <c r="I231" s="19"/>
      <c r="J231" s="7" t="s">
        <v>19</v>
      </c>
      <c r="K231" s="16"/>
      <c r="L231" s="16"/>
      <c r="M231" s="16"/>
      <c r="N231" s="16"/>
      <c r="O231" s="16"/>
      <c r="P231" s="16"/>
      <c r="Q231" s="175"/>
      <c r="T231" s="13"/>
      <c r="U231" s="22"/>
      <c r="V231" s="19"/>
      <c r="X231" s="13" t="s">
        <v>37</v>
      </c>
      <c r="Y231" s="19"/>
    </row>
    <row r="232" spans="1:64" x14ac:dyDescent="0.2">
      <c r="A232">
        <v>130</v>
      </c>
      <c r="B232" s="8">
        <v>46218</v>
      </c>
      <c r="C232" s="9">
        <v>0.47170138888888891</v>
      </c>
      <c r="D232" s="7" t="s">
        <v>28</v>
      </c>
      <c r="E232" s="13" t="s">
        <v>37</v>
      </c>
      <c r="F232" s="16">
        <v>69.236763499999995</v>
      </c>
      <c r="G232" s="129">
        <v>2325.5864299999998</v>
      </c>
      <c r="H232" s="22">
        <v>1</v>
      </c>
      <c r="I232" s="19"/>
      <c r="J232" s="7" t="s">
        <v>19</v>
      </c>
      <c r="K232" s="16"/>
      <c r="L232" s="16"/>
      <c r="M232" s="16"/>
      <c r="N232" s="16"/>
      <c r="O232" s="16"/>
      <c r="P232" s="16"/>
      <c r="Q232" s="175"/>
      <c r="T232" s="10"/>
      <c r="U232" s="20"/>
      <c r="V232" s="17"/>
      <c r="X232" s="13" t="s">
        <v>37</v>
      </c>
      <c r="Y232" s="19" t="s">
        <v>38</v>
      </c>
    </row>
    <row r="233" spans="1:64" x14ac:dyDescent="0.2">
      <c r="A233">
        <v>131</v>
      </c>
      <c r="B233" s="8">
        <v>46218</v>
      </c>
      <c r="C233" s="9">
        <v>0.47190972222222222</v>
      </c>
      <c r="D233" s="7" t="s">
        <v>28</v>
      </c>
      <c r="E233" s="13" t="s">
        <v>33</v>
      </c>
      <c r="F233" s="16">
        <v>75.779321699999997</v>
      </c>
      <c r="G233" s="129">
        <v>1933.80493</v>
      </c>
      <c r="H233" s="22">
        <v>0</v>
      </c>
      <c r="I233" s="19"/>
      <c r="J233" s="7" t="s">
        <v>19</v>
      </c>
      <c r="K233" s="16"/>
      <c r="L233" s="16"/>
      <c r="M233" s="16"/>
      <c r="N233" s="16"/>
      <c r="O233" s="16"/>
      <c r="P233" s="16"/>
      <c r="Q233" s="175"/>
      <c r="T233" s="10"/>
      <c r="U233" s="20"/>
      <c r="V233" s="17"/>
      <c r="X233" s="13" t="s">
        <v>37</v>
      </c>
      <c r="Y233" s="19" t="s">
        <v>48</v>
      </c>
    </row>
    <row r="234" spans="1:64" x14ac:dyDescent="0.2">
      <c r="A234">
        <v>132</v>
      </c>
      <c r="B234" s="8">
        <v>46218</v>
      </c>
      <c r="C234" s="9">
        <v>0.47210648148148149</v>
      </c>
      <c r="D234" s="7" t="s">
        <v>28</v>
      </c>
      <c r="E234" s="13" t="s">
        <v>37</v>
      </c>
      <c r="F234" s="16">
        <v>70.888281300000003</v>
      </c>
      <c r="G234" s="129">
        <v>2279.72876</v>
      </c>
      <c r="H234" s="22">
        <v>1</v>
      </c>
      <c r="I234" s="19" t="s">
        <v>254</v>
      </c>
      <c r="J234" s="7" t="s">
        <v>19</v>
      </c>
      <c r="K234" s="16">
        <v>89.759250100000003</v>
      </c>
      <c r="L234" s="16">
        <v>13.185585</v>
      </c>
      <c r="M234" s="16">
        <v>-24.661836999999998</v>
      </c>
      <c r="N234" s="16">
        <v>58.341509199999997</v>
      </c>
      <c r="O234" s="16">
        <v>210</v>
      </c>
      <c r="P234" s="16">
        <v>1.5385143800000001</v>
      </c>
      <c r="Q234" s="175">
        <v>0.94698300000000002</v>
      </c>
      <c r="T234" s="13"/>
      <c r="U234" s="22"/>
      <c r="V234" s="19"/>
      <c r="X234" s="13" t="s">
        <v>37</v>
      </c>
      <c r="Y234" s="19"/>
    </row>
    <row r="235" spans="1:64" x14ac:dyDescent="0.2">
      <c r="A235">
        <v>133</v>
      </c>
      <c r="B235" s="8">
        <v>46218</v>
      </c>
      <c r="C235" s="9">
        <v>0.4724652777777778</v>
      </c>
      <c r="D235" s="7" t="s">
        <v>28</v>
      </c>
      <c r="E235" s="13" t="s">
        <v>33</v>
      </c>
      <c r="F235" s="16">
        <v>74.572440799999995</v>
      </c>
      <c r="G235" s="129">
        <v>1866.4290800000001</v>
      </c>
      <c r="H235" s="22">
        <v>1</v>
      </c>
      <c r="I235" s="19" t="s">
        <v>39</v>
      </c>
      <c r="J235" s="7" t="s">
        <v>22</v>
      </c>
      <c r="K235" s="16"/>
      <c r="L235" s="16"/>
      <c r="M235" s="16"/>
      <c r="N235" s="16">
        <v>58.228554899999999</v>
      </c>
      <c r="O235" s="16"/>
      <c r="P235" s="16"/>
      <c r="Q235" s="175"/>
      <c r="T235" s="13"/>
      <c r="U235" s="22"/>
      <c r="V235" s="19"/>
      <c r="X235" s="13" t="s">
        <v>37</v>
      </c>
      <c r="Y235" s="19"/>
    </row>
    <row r="236" spans="1:64" x14ac:dyDescent="0.2">
      <c r="A236">
        <v>134</v>
      </c>
      <c r="B236" s="8">
        <v>46218</v>
      </c>
      <c r="C236" s="9">
        <v>0.47268518518518521</v>
      </c>
      <c r="D236" s="7" t="s">
        <v>28</v>
      </c>
      <c r="E236" s="13" t="s">
        <v>33</v>
      </c>
      <c r="F236" s="16">
        <v>74.953560600000003</v>
      </c>
      <c r="G236" s="129">
        <v>994.18548599999997</v>
      </c>
      <c r="H236" s="22">
        <v>0</v>
      </c>
      <c r="I236" s="19"/>
      <c r="J236" s="7" t="s">
        <v>22</v>
      </c>
      <c r="K236" s="16"/>
      <c r="L236" s="16"/>
      <c r="M236" s="16"/>
      <c r="N236" s="16"/>
      <c r="O236" s="16"/>
      <c r="P236" s="16"/>
      <c r="Q236" s="175"/>
      <c r="T236" s="13"/>
      <c r="U236" s="22"/>
      <c r="V236" s="19"/>
      <c r="X236" s="13" t="s">
        <v>37</v>
      </c>
      <c r="Y236" s="19"/>
    </row>
    <row r="237" spans="1:64" x14ac:dyDescent="0.2">
      <c r="A237">
        <v>135</v>
      </c>
      <c r="B237" s="8">
        <v>46218</v>
      </c>
      <c r="C237" s="9">
        <v>0.47289351851851852</v>
      </c>
      <c r="D237" s="7" t="s">
        <v>28</v>
      </c>
      <c r="E237" s="13" t="s">
        <v>37</v>
      </c>
      <c r="F237" s="16">
        <v>70.824759700000001</v>
      </c>
      <c r="G237" s="129">
        <v>2378.61841</v>
      </c>
      <c r="H237" s="22">
        <v>0</v>
      </c>
      <c r="I237" s="19"/>
      <c r="J237" s="7" t="s">
        <v>22</v>
      </c>
      <c r="K237" s="16"/>
      <c r="L237" s="16"/>
      <c r="M237" s="16"/>
      <c r="N237" s="16"/>
      <c r="O237" s="16"/>
      <c r="P237" s="16"/>
      <c r="Q237" s="175"/>
      <c r="T237" s="13"/>
      <c r="U237" s="22"/>
      <c r="V237" s="19"/>
      <c r="X237" s="13" t="s">
        <v>37</v>
      </c>
      <c r="Y237" s="19" t="s">
        <v>45</v>
      </c>
    </row>
    <row r="238" spans="1:64" x14ac:dyDescent="0.2">
      <c r="A238">
        <v>136</v>
      </c>
      <c r="B238" s="8">
        <v>46218</v>
      </c>
      <c r="C238" s="9">
        <v>0.47312500000000002</v>
      </c>
      <c r="D238" s="7" t="s">
        <v>28</v>
      </c>
      <c r="E238" s="13" t="s">
        <v>37</v>
      </c>
      <c r="F238" s="16">
        <v>69.681400400000001</v>
      </c>
      <c r="G238" s="129">
        <v>1143.6453899999999</v>
      </c>
      <c r="H238" s="22">
        <v>0</v>
      </c>
      <c r="I238" s="19"/>
      <c r="J238" s="7" t="s">
        <v>22</v>
      </c>
      <c r="K238" s="16"/>
      <c r="L238" s="16"/>
      <c r="M238" s="16"/>
      <c r="N238" s="16"/>
      <c r="O238" s="16"/>
      <c r="P238" s="16"/>
      <c r="Q238" s="175"/>
      <c r="T238" s="13"/>
      <c r="U238" s="22"/>
      <c r="V238" s="19"/>
      <c r="X238" s="13" t="s">
        <v>37</v>
      </c>
      <c r="Y238" s="19"/>
    </row>
    <row r="239" spans="1:64" x14ac:dyDescent="0.2">
      <c r="A239">
        <v>137</v>
      </c>
      <c r="B239" s="8">
        <v>46218</v>
      </c>
      <c r="C239" s="9">
        <v>0.47346064814814814</v>
      </c>
      <c r="D239" s="7" t="s">
        <v>28</v>
      </c>
      <c r="E239" s="13" t="s">
        <v>33</v>
      </c>
      <c r="F239" s="16">
        <v>75.144116199999999</v>
      </c>
      <c r="G239" s="129">
        <v>1960.60754</v>
      </c>
      <c r="H239" s="22">
        <v>0</v>
      </c>
      <c r="I239" s="19" t="s">
        <v>48</v>
      </c>
      <c r="J239" s="7" t="s">
        <v>22</v>
      </c>
      <c r="K239" s="16"/>
      <c r="L239" s="16"/>
      <c r="M239" s="16"/>
      <c r="N239" s="16"/>
      <c r="O239" s="16"/>
      <c r="P239" s="16"/>
      <c r="Q239" s="175"/>
      <c r="T239" s="13"/>
      <c r="U239" s="22"/>
      <c r="V239" s="19"/>
      <c r="X239" s="13" t="s">
        <v>37</v>
      </c>
      <c r="Y239" s="19"/>
    </row>
    <row r="240" spans="1:64" x14ac:dyDescent="0.2">
      <c r="A240">
        <v>138</v>
      </c>
      <c r="B240" s="8">
        <v>46218</v>
      </c>
      <c r="C240" s="9">
        <v>0.47364583333333332</v>
      </c>
      <c r="D240" s="7" t="s">
        <v>28</v>
      </c>
      <c r="E240" s="13" t="s">
        <v>33</v>
      </c>
      <c r="F240" s="16">
        <v>74.826517800000005</v>
      </c>
      <c r="G240" s="129">
        <v>1916.83447</v>
      </c>
      <c r="H240" s="22">
        <v>0</v>
      </c>
      <c r="I240" s="19"/>
      <c r="J240" s="7" t="s">
        <v>22</v>
      </c>
      <c r="K240" s="16"/>
      <c r="L240" s="16"/>
      <c r="M240" s="16"/>
      <c r="N240" s="16"/>
      <c r="O240" s="16"/>
      <c r="P240" s="16"/>
      <c r="Q240" s="175"/>
      <c r="T240" s="10"/>
      <c r="U240" s="20"/>
      <c r="V240" s="17"/>
      <c r="X240" s="13" t="s">
        <v>37</v>
      </c>
      <c r="Y240" s="19"/>
    </row>
    <row r="241" spans="1:64" x14ac:dyDescent="0.2">
      <c r="A241">
        <v>139</v>
      </c>
      <c r="B241" s="8">
        <v>46218</v>
      </c>
      <c r="C241" s="9">
        <v>0.47396990740740741</v>
      </c>
      <c r="D241" s="7" t="s">
        <v>28</v>
      </c>
      <c r="E241" s="13" t="s">
        <v>37</v>
      </c>
      <c r="F241" s="16">
        <v>70.634199800000005</v>
      </c>
      <c r="G241" s="129">
        <v>775.92138699999998</v>
      </c>
      <c r="H241" s="22">
        <v>1</v>
      </c>
      <c r="I241" s="19" t="s">
        <v>38</v>
      </c>
      <c r="J241" s="7" t="s">
        <v>17</v>
      </c>
      <c r="K241" s="16"/>
      <c r="L241" s="16"/>
      <c r="M241" s="16"/>
      <c r="N241" s="16">
        <v>64.949406600000003</v>
      </c>
      <c r="O241" s="16"/>
      <c r="P241" s="16"/>
      <c r="Q241" s="175"/>
      <c r="T241" s="10"/>
      <c r="U241" s="20"/>
      <c r="V241" s="17"/>
      <c r="X241" s="13" t="s">
        <v>37</v>
      </c>
      <c r="Y241" s="19" t="s">
        <v>38</v>
      </c>
    </row>
    <row r="242" spans="1:64" x14ac:dyDescent="0.2">
      <c r="A242">
        <v>140</v>
      </c>
      <c r="B242" s="8">
        <v>46218</v>
      </c>
      <c r="C242" s="9">
        <v>0.47434027777777776</v>
      </c>
      <c r="D242" s="7" t="s">
        <v>28</v>
      </c>
      <c r="E242" s="13" t="s">
        <v>35</v>
      </c>
      <c r="F242" s="16">
        <v>72.714482700000005</v>
      </c>
      <c r="G242" s="129">
        <v>1586.1090099999999</v>
      </c>
      <c r="H242" s="22">
        <v>0</v>
      </c>
      <c r="I242" s="19"/>
      <c r="J242" s="7" t="s">
        <v>17</v>
      </c>
      <c r="K242" s="16"/>
      <c r="L242" s="16"/>
      <c r="M242" s="16"/>
      <c r="N242" s="16"/>
      <c r="O242" s="16"/>
      <c r="P242" s="16"/>
      <c r="Q242" s="175"/>
      <c r="T242" s="10"/>
      <c r="U242" s="20"/>
      <c r="V242" s="17"/>
      <c r="X242" s="13" t="s">
        <v>37</v>
      </c>
      <c r="Y242" s="19" t="s">
        <v>45</v>
      </c>
    </row>
    <row r="243" spans="1:64" x14ac:dyDescent="0.2">
      <c r="A243">
        <v>141</v>
      </c>
      <c r="B243" s="8">
        <v>46218</v>
      </c>
      <c r="C243" s="9">
        <v>0.4745949074074074</v>
      </c>
      <c r="D243" s="7" t="s">
        <v>28</v>
      </c>
      <c r="E243" s="13" t="s">
        <v>37</v>
      </c>
      <c r="F243" s="16">
        <v>69.236763499999995</v>
      </c>
      <c r="G243" s="129">
        <v>2328.5563999999999</v>
      </c>
      <c r="H243" s="22">
        <v>0</v>
      </c>
      <c r="I243" s="19"/>
      <c r="J243" s="7" t="s">
        <v>17</v>
      </c>
      <c r="K243" s="16"/>
      <c r="L243" s="16"/>
      <c r="M243" s="16"/>
      <c r="N243" s="16"/>
      <c r="O243" s="16"/>
      <c r="P243" s="16"/>
      <c r="Q243" s="175"/>
      <c r="T243" s="13"/>
      <c r="U243" s="22"/>
      <c r="V243" s="19"/>
      <c r="X243" s="13" t="s">
        <v>37</v>
      </c>
      <c r="Y243" s="19"/>
    </row>
    <row r="244" spans="1:64" x14ac:dyDescent="0.2">
      <c r="A244">
        <v>142</v>
      </c>
      <c r="B244" s="8">
        <v>46218</v>
      </c>
      <c r="C244" s="9">
        <v>0.47554398148148147</v>
      </c>
      <c r="D244" s="7" t="s">
        <v>28</v>
      </c>
      <c r="E244" s="13" t="s">
        <v>37</v>
      </c>
      <c r="F244" s="16">
        <v>70.0466397</v>
      </c>
      <c r="G244" s="129">
        <v>752.48644999999999</v>
      </c>
      <c r="H244" s="22">
        <v>1</v>
      </c>
      <c r="I244" s="19" t="s">
        <v>255</v>
      </c>
      <c r="J244" s="7" t="s">
        <v>17</v>
      </c>
      <c r="K244" s="16">
        <v>76.905128199999993</v>
      </c>
      <c r="L244" s="16">
        <v>50.228431700000002</v>
      </c>
      <c r="M244" s="16">
        <v>-7.3485303000000002</v>
      </c>
      <c r="N244" s="16">
        <v>63.537463500000001</v>
      </c>
      <c r="O244" s="16">
        <v>265</v>
      </c>
      <c r="P244" s="16">
        <v>1.2103903300000001</v>
      </c>
      <c r="Q244" s="175">
        <v>0.77150856000000001</v>
      </c>
      <c r="T244" s="13"/>
      <c r="U244" s="22"/>
      <c r="V244" s="19"/>
      <c r="X244" s="13" t="s">
        <v>37</v>
      </c>
      <c r="Y244" s="19" t="s">
        <v>39</v>
      </c>
    </row>
    <row r="245" spans="1:64" x14ac:dyDescent="0.2">
      <c r="A245">
        <v>143</v>
      </c>
      <c r="B245" s="8">
        <v>46218</v>
      </c>
      <c r="C245" s="9">
        <v>0.47596064814814815</v>
      </c>
      <c r="D245" s="7" t="s">
        <v>28</v>
      </c>
      <c r="E245" s="13" t="s">
        <v>37</v>
      </c>
      <c r="F245" s="16">
        <v>69.808443199999999</v>
      </c>
      <c r="G245" s="129">
        <v>2312.01514</v>
      </c>
      <c r="H245" s="22">
        <v>1</v>
      </c>
      <c r="I245" s="19" t="s">
        <v>255</v>
      </c>
      <c r="J245" s="7" t="s">
        <v>20</v>
      </c>
      <c r="K245" s="16">
        <v>76.666905900000003</v>
      </c>
      <c r="L245" s="16">
        <v>40.879875200000001</v>
      </c>
      <c r="M245" s="16">
        <v>-23.807206999999998</v>
      </c>
      <c r="N245" s="16">
        <v>66.926130099999995</v>
      </c>
      <c r="O245" s="16">
        <v>271</v>
      </c>
      <c r="P245" s="16">
        <v>1.1455451299999999</v>
      </c>
      <c r="Q245" s="175">
        <v>0.73262305999999999</v>
      </c>
      <c r="T245" s="13"/>
      <c r="U245" s="22"/>
      <c r="V245" s="19"/>
      <c r="X245" s="13" t="s">
        <v>37</v>
      </c>
      <c r="Y245" s="19" t="s">
        <v>38</v>
      </c>
    </row>
    <row r="246" spans="1:64" s="115" customFormat="1" ht="17" thickBot="1" x14ac:dyDescent="0.25">
      <c r="A246" s="115">
        <v>144</v>
      </c>
      <c r="B246" s="123">
        <v>46218</v>
      </c>
      <c r="C246" s="124">
        <v>0.47635416666666669</v>
      </c>
      <c r="D246" s="122" t="s">
        <v>28</v>
      </c>
      <c r="E246" s="125" t="s">
        <v>33</v>
      </c>
      <c r="F246" s="126">
        <v>75.382321500000003</v>
      </c>
      <c r="G246" s="132">
        <v>1990.08618</v>
      </c>
      <c r="H246" s="128">
        <v>1</v>
      </c>
      <c r="I246" s="127" t="s">
        <v>255</v>
      </c>
      <c r="J246" s="122" t="s">
        <v>27</v>
      </c>
      <c r="K246" s="126">
        <v>86.130449799999994</v>
      </c>
      <c r="L246" s="126">
        <v>50.8304367</v>
      </c>
      <c r="M246" s="126">
        <v>-15.714869</v>
      </c>
      <c r="N246" s="126">
        <v>64.779974999999993</v>
      </c>
      <c r="O246" s="126">
        <v>309</v>
      </c>
      <c r="P246" s="126">
        <v>1.3295844800000001</v>
      </c>
      <c r="Q246" s="178">
        <v>0.83382111000000003</v>
      </c>
      <c r="S246"/>
      <c r="T246" s="125"/>
      <c r="U246" s="128"/>
      <c r="V246" s="127"/>
      <c r="W246"/>
      <c r="X246" s="13" t="s">
        <v>37</v>
      </c>
      <c r="Y246" s="19" t="s">
        <v>45</v>
      </c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</row>
    <row r="247" spans="1:64" x14ac:dyDescent="0.2">
      <c r="A247">
        <v>145</v>
      </c>
      <c r="B247" s="1">
        <v>46224</v>
      </c>
      <c r="C247" s="2">
        <v>0.74391203703703701</v>
      </c>
      <c r="D247" t="s">
        <v>28</v>
      </c>
      <c r="E247" s="10" t="s">
        <v>33</v>
      </c>
      <c r="F247" s="11">
        <v>75.038508903999997</v>
      </c>
      <c r="G247" s="4">
        <v>1967.75549</v>
      </c>
      <c r="H247" s="20">
        <v>0</v>
      </c>
      <c r="I247" s="17"/>
      <c r="J247" t="s">
        <v>24</v>
      </c>
      <c r="K247" s="11"/>
      <c r="L247" s="11"/>
      <c r="M247" s="11"/>
      <c r="N247" s="11"/>
      <c r="O247" s="11"/>
      <c r="P247" s="11"/>
      <c r="Q247" s="33"/>
      <c r="T247" s="13"/>
      <c r="U247" s="22"/>
      <c r="V247" s="19"/>
      <c r="X247" s="13" t="s">
        <v>37</v>
      </c>
      <c r="Y247" s="19"/>
    </row>
    <row r="248" spans="1:64" x14ac:dyDescent="0.2">
      <c r="A248">
        <v>146</v>
      </c>
      <c r="B248" s="1">
        <v>46224</v>
      </c>
      <c r="C248" s="2">
        <v>0.7441550925925926</v>
      </c>
      <c r="D248" t="s">
        <v>28</v>
      </c>
      <c r="E248" s="10" t="s">
        <v>33</v>
      </c>
      <c r="F248" s="11">
        <v>75.117944738000006</v>
      </c>
      <c r="G248" s="4">
        <v>1943.0294200000001</v>
      </c>
      <c r="H248" s="20">
        <v>0</v>
      </c>
      <c r="I248" s="17"/>
      <c r="J248" t="s">
        <v>24</v>
      </c>
      <c r="K248" s="11"/>
      <c r="L248" s="11"/>
      <c r="M248" s="11"/>
      <c r="N248" s="11"/>
      <c r="O248" s="11"/>
      <c r="P248" s="11"/>
      <c r="Q248" s="33"/>
      <c r="T248" s="10"/>
      <c r="U248" s="20"/>
      <c r="V248" s="17"/>
      <c r="X248" s="13" t="s">
        <v>37</v>
      </c>
      <c r="Y248" s="19"/>
    </row>
    <row r="249" spans="1:64" x14ac:dyDescent="0.2">
      <c r="A249">
        <v>147</v>
      </c>
      <c r="B249" s="1">
        <v>46224</v>
      </c>
      <c r="C249" s="2">
        <v>0.74438657407407405</v>
      </c>
      <c r="D249" t="s">
        <v>28</v>
      </c>
      <c r="E249" s="10" t="s">
        <v>37</v>
      </c>
      <c r="F249" s="11">
        <v>70.669335351000001</v>
      </c>
      <c r="G249" s="4">
        <v>2338.7961399999999</v>
      </c>
      <c r="H249" s="20">
        <v>1</v>
      </c>
      <c r="I249" s="17" t="s">
        <v>38</v>
      </c>
      <c r="J249" t="s">
        <v>24</v>
      </c>
      <c r="K249" s="11"/>
      <c r="L249" s="11"/>
      <c r="M249" s="11"/>
      <c r="N249" s="11">
        <v>66.791155605</v>
      </c>
      <c r="O249" s="11"/>
      <c r="P249" s="11"/>
      <c r="Q249" s="33"/>
      <c r="T249" s="10"/>
      <c r="U249" s="20"/>
      <c r="V249" s="17"/>
      <c r="X249" s="13" t="s">
        <v>37</v>
      </c>
      <c r="Y249" s="19" t="s">
        <v>255</v>
      </c>
    </row>
    <row r="250" spans="1:64" x14ac:dyDescent="0.2">
      <c r="A250">
        <v>148</v>
      </c>
      <c r="B250" s="1">
        <v>46224</v>
      </c>
      <c r="C250" s="2">
        <v>0.74480324074074078</v>
      </c>
      <c r="D250" t="s">
        <v>28</v>
      </c>
      <c r="E250" s="10" t="s">
        <v>35</v>
      </c>
      <c r="F250" s="11">
        <v>72.687099716999995</v>
      </c>
      <c r="G250" s="4">
        <v>1718.6159700000001</v>
      </c>
      <c r="H250" s="20">
        <v>0</v>
      </c>
      <c r="I250" s="17"/>
      <c r="J250" t="s">
        <v>24</v>
      </c>
      <c r="K250" s="11"/>
      <c r="L250" s="11"/>
      <c r="M250" s="11"/>
      <c r="N250" s="11"/>
      <c r="O250" s="11"/>
      <c r="P250" s="11"/>
      <c r="Q250" s="33"/>
      <c r="T250" s="10"/>
      <c r="U250" s="20"/>
      <c r="V250" s="17"/>
      <c r="X250" s="13" t="s">
        <v>37</v>
      </c>
      <c r="Y250" s="19"/>
    </row>
    <row r="251" spans="1:64" x14ac:dyDescent="0.2">
      <c r="A251">
        <v>149</v>
      </c>
      <c r="B251" s="1">
        <v>46224</v>
      </c>
      <c r="C251" s="2">
        <v>0.745</v>
      </c>
      <c r="D251" t="s">
        <v>28</v>
      </c>
      <c r="E251" s="10" t="s">
        <v>37</v>
      </c>
      <c r="F251" s="11">
        <v>71.813262366999993</v>
      </c>
      <c r="G251" s="4">
        <v>763.117615</v>
      </c>
      <c r="H251" s="20">
        <v>0</v>
      </c>
      <c r="I251" s="17" t="s">
        <v>48</v>
      </c>
      <c r="J251" t="s">
        <v>24</v>
      </c>
      <c r="K251" s="11"/>
      <c r="L251" s="11"/>
      <c r="M251" s="11"/>
      <c r="N251" s="11"/>
      <c r="O251" s="11"/>
      <c r="P251" s="11"/>
      <c r="Q251" s="33"/>
      <c r="T251" s="13"/>
      <c r="U251" s="22"/>
      <c r="V251" s="19"/>
      <c r="X251" s="13" t="s">
        <v>37</v>
      </c>
      <c r="Y251" s="19" t="s">
        <v>48</v>
      </c>
    </row>
    <row r="252" spans="1:64" x14ac:dyDescent="0.2">
      <c r="A252">
        <v>150</v>
      </c>
      <c r="B252" s="1">
        <v>46224</v>
      </c>
      <c r="C252" s="2">
        <v>0.74523148148148144</v>
      </c>
      <c r="D252" t="s">
        <v>28</v>
      </c>
      <c r="E252" s="10" t="s">
        <v>33</v>
      </c>
      <c r="F252" s="11">
        <v>75.880568341</v>
      </c>
      <c r="G252" s="4">
        <v>2046.56519</v>
      </c>
      <c r="H252" s="20">
        <v>0</v>
      </c>
      <c r="I252" s="17"/>
      <c r="J252" t="s">
        <v>24</v>
      </c>
      <c r="K252" s="11"/>
      <c r="L252" s="11"/>
      <c r="M252" s="11"/>
      <c r="N252" s="11"/>
      <c r="O252" s="11"/>
      <c r="P252" s="11"/>
      <c r="Q252" s="33"/>
      <c r="T252" s="13"/>
      <c r="U252" s="22"/>
      <c r="V252" s="19"/>
      <c r="X252" s="13" t="s">
        <v>37</v>
      </c>
      <c r="Y252" s="19" t="s">
        <v>41</v>
      </c>
    </row>
    <row r="253" spans="1:64" x14ac:dyDescent="0.2">
      <c r="A253">
        <v>151</v>
      </c>
      <c r="B253" s="1">
        <v>46224</v>
      </c>
      <c r="C253" s="2">
        <v>0.74563657407407402</v>
      </c>
      <c r="D253" t="s">
        <v>28</v>
      </c>
      <c r="E253" s="10" t="s">
        <v>37</v>
      </c>
      <c r="F253" s="11">
        <v>69.763729036000001</v>
      </c>
      <c r="G253" s="4">
        <v>2379.6916500000002</v>
      </c>
      <c r="H253" s="20">
        <v>0</v>
      </c>
      <c r="I253" s="17"/>
      <c r="J253" t="s">
        <v>21</v>
      </c>
      <c r="K253" s="11"/>
      <c r="L253" s="11"/>
      <c r="M253" s="11"/>
      <c r="N253" s="11"/>
      <c r="O253" s="11"/>
      <c r="P253" s="11"/>
      <c r="Q253" s="33"/>
      <c r="T253" s="10"/>
      <c r="U253" s="20"/>
      <c r="V253" s="17"/>
      <c r="X253" s="13" t="s">
        <v>37</v>
      </c>
      <c r="Y253" s="19" t="s">
        <v>42</v>
      </c>
    </row>
    <row r="254" spans="1:64" x14ac:dyDescent="0.2">
      <c r="A254">
        <v>152</v>
      </c>
      <c r="B254" s="1">
        <v>46224</v>
      </c>
      <c r="C254" s="2">
        <v>0.74584490740740739</v>
      </c>
      <c r="D254" t="s">
        <v>28</v>
      </c>
      <c r="E254" s="10" t="s">
        <v>37</v>
      </c>
      <c r="F254" s="11">
        <v>72.512330367999994</v>
      </c>
      <c r="G254" s="4">
        <v>2323.2102100000002</v>
      </c>
      <c r="H254" s="20">
        <v>0</v>
      </c>
      <c r="I254" s="17"/>
      <c r="J254" t="s">
        <v>21</v>
      </c>
      <c r="K254" s="11"/>
      <c r="L254" s="11"/>
      <c r="M254" s="11"/>
      <c r="N254" s="11"/>
      <c r="O254" s="11"/>
      <c r="P254" s="11"/>
      <c r="Q254" s="33"/>
      <c r="T254" s="10"/>
      <c r="U254" s="20"/>
      <c r="V254" s="17"/>
      <c r="X254" s="13" t="s">
        <v>37</v>
      </c>
      <c r="Y254" s="19"/>
    </row>
    <row r="255" spans="1:64" x14ac:dyDescent="0.2">
      <c r="A255">
        <v>153</v>
      </c>
      <c r="B255" s="1">
        <v>46224</v>
      </c>
      <c r="C255" s="2">
        <v>0.74605324074074075</v>
      </c>
      <c r="D255" t="s">
        <v>28</v>
      </c>
      <c r="E255" s="10" t="s">
        <v>33</v>
      </c>
      <c r="F255" s="11">
        <v>77.501131837000003</v>
      </c>
      <c r="G255" s="4">
        <v>1983.82251</v>
      </c>
      <c r="H255" s="20">
        <v>1</v>
      </c>
      <c r="I255" s="17" t="s">
        <v>38</v>
      </c>
      <c r="J255" t="s">
        <v>21</v>
      </c>
      <c r="K255" s="11"/>
      <c r="L255" s="11"/>
      <c r="M255" s="11"/>
      <c r="N255" s="11">
        <v>67.243212185000004</v>
      </c>
      <c r="O255" s="11"/>
      <c r="P255" s="11"/>
      <c r="Q255" s="33"/>
      <c r="T255" s="10"/>
      <c r="U255" s="20"/>
      <c r="V255" s="17"/>
      <c r="X255" s="13" t="s">
        <v>37</v>
      </c>
      <c r="Y255" s="19"/>
    </row>
    <row r="256" spans="1:64" x14ac:dyDescent="0.2">
      <c r="A256">
        <v>154</v>
      </c>
      <c r="B256" s="1">
        <v>46224</v>
      </c>
      <c r="C256" s="2">
        <v>0.74641203703703707</v>
      </c>
      <c r="D256" t="s">
        <v>28</v>
      </c>
      <c r="E256" s="10" t="s">
        <v>33</v>
      </c>
      <c r="F256" s="11">
        <v>74.355329635000004</v>
      </c>
      <c r="G256" s="4">
        <v>1865.9538600000001</v>
      </c>
      <c r="H256" s="20">
        <v>1</v>
      </c>
      <c r="I256" s="17" t="s">
        <v>38</v>
      </c>
      <c r="J256" t="s">
        <v>21</v>
      </c>
      <c r="K256" s="11">
        <v>54.744857965000001</v>
      </c>
      <c r="L256" s="11">
        <v>61.834911300000002</v>
      </c>
      <c r="M256" s="11">
        <v>-32.1774597</v>
      </c>
      <c r="N256" s="11">
        <v>68.373349386000001</v>
      </c>
      <c r="O256" s="11">
        <v>136</v>
      </c>
      <c r="P256" s="11">
        <v>0.80067539200000004</v>
      </c>
      <c r="Q256" s="33">
        <v>0.51074890099999903</v>
      </c>
      <c r="T256" s="10"/>
      <c r="U256" s="20"/>
      <c r="V256" s="17"/>
      <c r="X256" s="13" t="s">
        <v>37</v>
      </c>
      <c r="Y256" s="19" t="s">
        <v>254</v>
      </c>
    </row>
    <row r="257" spans="1:25" x14ac:dyDescent="0.2">
      <c r="A257">
        <v>155</v>
      </c>
      <c r="B257" s="1">
        <v>46224</v>
      </c>
      <c r="C257" s="2">
        <v>0.7468055555555555</v>
      </c>
      <c r="D257" t="s">
        <v>28</v>
      </c>
      <c r="E257" s="10" t="s">
        <v>33</v>
      </c>
      <c r="F257" s="11">
        <v>74.021680341000007</v>
      </c>
      <c r="G257" s="4">
        <v>1830.61096</v>
      </c>
      <c r="H257" s="20">
        <v>1</v>
      </c>
      <c r="I257" s="17" t="s">
        <v>255</v>
      </c>
      <c r="J257" t="s">
        <v>21</v>
      </c>
      <c r="K257" s="11">
        <v>82.741731994000006</v>
      </c>
      <c r="L257" s="11">
        <v>25.244392399999999</v>
      </c>
      <c r="M257" s="11">
        <v>7.8295335799999997</v>
      </c>
      <c r="N257" s="11">
        <v>61.309986627000001</v>
      </c>
      <c r="O257" s="11"/>
      <c r="P257" s="11">
        <v>1.3495637199999999</v>
      </c>
      <c r="Q257" s="33">
        <v>0.83780250499999998</v>
      </c>
      <c r="T257" s="10"/>
      <c r="U257" s="20"/>
      <c r="V257" s="17"/>
      <c r="X257" s="13" t="s">
        <v>37</v>
      </c>
      <c r="Y257" s="19"/>
    </row>
    <row r="258" spans="1:25" x14ac:dyDescent="0.2">
      <c r="A258">
        <v>156</v>
      </c>
      <c r="B258" s="1">
        <v>46224</v>
      </c>
      <c r="C258" s="2">
        <v>0.74725694444444446</v>
      </c>
      <c r="D258" t="s">
        <v>28</v>
      </c>
      <c r="E258" s="10" t="s">
        <v>37</v>
      </c>
      <c r="F258" s="11">
        <v>70.415130391000005</v>
      </c>
      <c r="G258" s="4">
        <v>2361.8325199999999</v>
      </c>
      <c r="H258" s="20">
        <v>0</v>
      </c>
      <c r="I258" s="17"/>
      <c r="J258" t="s">
        <v>29</v>
      </c>
      <c r="K258" s="11"/>
      <c r="L258" s="11"/>
      <c r="M258" s="11"/>
      <c r="N258" s="11"/>
      <c r="O258" s="11"/>
      <c r="P258" s="11"/>
      <c r="Q258" s="33"/>
      <c r="T258" s="10"/>
      <c r="U258" s="20"/>
      <c r="V258" s="17"/>
      <c r="X258" s="166" t="s">
        <v>37</v>
      </c>
      <c r="Y258" s="170"/>
    </row>
    <row r="259" spans="1:25" x14ac:dyDescent="0.2">
      <c r="A259">
        <v>157</v>
      </c>
      <c r="B259" s="1">
        <v>46224</v>
      </c>
      <c r="C259" s="2">
        <v>0.74751157407407409</v>
      </c>
      <c r="D259" t="s">
        <v>28</v>
      </c>
      <c r="E259" s="10" t="s">
        <v>37</v>
      </c>
      <c r="F259" s="11">
        <v>70.542232870999996</v>
      </c>
      <c r="G259" s="4">
        <v>2360.6894499999999</v>
      </c>
      <c r="H259" s="20">
        <v>1</v>
      </c>
      <c r="I259" s="17"/>
      <c r="J259" t="s">
        <v>29</v>
      </c>
      <c r="K259" s="11"/>
      <c r="L259" s="11"/>
      <c r="M259" s="11"/>
      <c r="N259" s="11"/>
      <c r="O259" s="11"/>
      <c r="P259" s="11"/>
      <c r="Q259" s="33"/>
      <c r="T259" s="10"/>
      <c r="U259" s="20"/>
      <c r="V259" s="17"/>
      <c r="X259" s="13" t="s">
        <v>37</v>
      </c>
      <c r="Y259" s="19" t="s">
        <v>38</v>
      </c>
    </row>
    <row r="260" spans="1:25" x14ac:dyDescent="0.2">
      <c r="A260">
        <v>158</v>
      </c>
      <c r="B260" s="1">
        <v>46224</v>
      </c>
      <c r="C260" s="2">
        <v>0.74775462962962957</v>
      </c>
      <c r="D260" t="s">
        <v>28</v>
      </c>
      <c r="E260" s="10" t="s">
        <v>33</v>
      </c>
      <c r="F260" s="11">
        <v>76.198316822999999</v>
      </c>
      <c r="G260" s="4">
        <v>1948.21802</v>
      </c>
      <c r="H260" s="20">
        <v>0</v>
      </c>
      <c r="I260" s="17"/>
      <c r="J260" t="s">
        <v>29</v>
      </c>
      <c r="K260" s="11"/>
      <c r="L260" s="11"/>
      <c r="M260" s="11"/>
      <c r="N260" s="11"/>
      <c r="O260" s="11"/>
      <c r="P260" s="11"/>
      <c r="Q260" s="33"/>
      <c r="T260" s="10"/>
      <c r="U260" s="20"/>
      <c r="V260" s="17"/>
      <c r="X260" s="13" t="s">
        <v>37</v>
      </c>
      <c r="Y260" s="19"/>
    </row>
    <row r="261" spans="1:25" x14ac:dyDescent="0.2">
      <c r="A261">
        <v>159</v>
      </c>
      <c r="B261" s="1">
        <v>46224</v>
      </c>
      <c r="C261" s="2">
        <v>0.74800925925925921</v>
      </c>
      <c r="D261" t="s">
        <v>28</v>
      </c>
      <c r="E261" s="10" t="s">
        <v>37</v>
      </c>
      <c r="F261" s="11">
        <v>69.906720472000003</v>
      </c>
      <c r="G261" s="4">
        <v>2297.3947800000001</v>
      </c>
      <c r="H261" s="20">
        <v>0</v>
      </c>
      <c r="I261" s="17"/>
      <c r="J261" t="s">
        <v>29</v>
      </c>
      <c r="K261" s="11"/>
      <c r="L261" s="11"/>
      <c r="M261" s="11"/>
      <c r="N261" s="11"/>
      <c r="O261" s="11"/>
      <c r="P261" s="11"/>
      <c r="Q261" s="33"/>
      <c r="T261" s="10"/>
      <c r="U261" s="20"/>
      <c r="V261" s="17"/>
      <c r="X261" s="13" t="s">
        <v>37</v>
      </c>
      <c r="Y261" s="19" t="s">
        <v>255</v>
      </c>
    </row>
    <row r="262" spans="1:25" x14ac:dyDescent="0.2">
      <c r="A262">
        <v>160</v>
      </c>
      <c r="B262" s="1">
        <v>46224</v>
      </c>
      <c r="C262" s="2">
        <v>0.74827546296296299</v>
      </c>
      <c r="D262" t="s">
        <v>28</v>
      </c>
      <c r="E262" s="10" t="s">
        <v>37</v>
      </c>
      <c r="F262" s="11">
        <v>69.970271600000004</v>
      </c>
      <c r="G262" s="4">
        <v>2324.8825700000002</v>
      </c>
      <c r="H262" s="20">
        <v>0</v>
      </c>
      <c r="I262" s="17" t="s">
        <v>48</v>
      </c>
      <c r="J262" t="s">
        <v>29</v>
      </c>
      <c r="K262" s="11"/>
      <c r="L262" s="11"/>
      <c r="M262" s="11"/>
      <c r="N262" s="11"/>
      <c r="O262" s="11"/>
      <c r="P262" s="11"/>
      <c r="Q262" s="33"/>
      <c r="T262" s="10"/>
      <c r="U262" s="20"/>
      <c r="V262" s="17"/>
      <c r="X262" s="13" t="s">
        <v>37</v>
      </c>
      <c r="Y262" s="19" t="s">
        <v>255</v>
      </c>
    </row>
    <row r="263" spans="1:25" x14ac:dyDescent="0.2">
      <c r="A263">
        <v>161</v>
      </c>
      <c r="B263" s="1">
        <v>46224</v>
      </c>
      <c r="C263" s="2">
        <v>0.74846064814814817</v>
      </c>
      <c r="D263" t="s">
        <v>28</v>
      </c>
      <c r="E263" s="10" t="s">
        <v>33</v>
      </c>
      <c r="F263" s="11">
        <v>75.499252401000007</v>
      </c>
      <c r="G263" s="4">
        <v>1952.5993699999999</v>
      </c>
      <c r="H263" s="20">
        <v>1</v>
      </c>
      <c r="I263" s="17" t="s">
        <v>254</v>
      </c>
      <c r="J263" t="s">
        <v>29</v>
      </c>
      <c r="K263" s="11">
        <v>88.907573619000004</v>
      </c>
      <c r="L263" s="11">
        <v>34.393500000000003</v>
      </c>
      <c r="M263" s="11">
        <v>-30.714569099999999</v>
      </c>
      <c r="N263" s="11">
        <v>60.970948554000003</v>
      </c>
      <c r="O263" s="11">
        <v>326</v>
      </c>
      <c r="P263" s="11">
        <v>1.4581956899999999</v>
      </c>
      <c r="Q263" s="33">
        <v>0.89974334700000003</v>
      </c>
      <c r="T263" s="10"/>
      <c r="U263" s="20"/>
      <c r="V263" s="17"/>
      <c r="X263" s="10" t="s">
        <v>37</v>
      </c>
      <c r="Y263" s="17" t="s">
        <v>38</v>
      </c>
    </row>
    <row r="264" spans="1:25" x14ac:dyDescent="0.2">
      <c r="A264">
        <v>162</v>
      </c>
      <c r="B264" s="1">
        <v>46224</v>
      </c>
      <c r="C264" s="2">
        <v>0.7490162037037037</v>
      </c>
      <c r="D264" t="s">
        <v>28</v>
      </c>
      <c r="E264" s="10" t="s">
        <v>35</v>
      </c>
      <c r="F264" s="11">
        <v>72.575885970000002</v>
      </c>
      <c r="G264" s="4">
        <v>1572.58313</v>
      </c>
      <c r="H264" s="20">
        <v>0</v>
      </c>
      <c r="I264" s="17"/>
      <c r="J264" t="s">
        <v>17</v>
      </c>
      <c r="K264" s="11"/>
      <c r="L264" s="11"/>
      <c r="M264" s="11"/>
      <c r="N264" s="11"/>
      <c r="O264" s="11"/>
      <c r="P264" s="11"/>
      <c r="Q264" s="33"/>
      <c r="T264" s="10"/>
      <c r="U264" s="20"/>
      <c r="V264" s="17"/>
      <c r="X264" s="10" t="s">
        <v>37</v>
      </c>
      <c r="Y264" s="17" t="s">
        <v>48</v>
      </c>
    </row>
    <row r="265" spans="1:25" x14ac:dyDescent="0.2">
      <c r="A265">
        <v>163</v>
      </c>
      <c r="B265" s="1">
        <v>46224</v>
      </c>
      <c r="C265" s="2">
        <v>0.7492361111111111</v>
      </c>
      <c r="D265" t="s">
        <v>28</v>
      </c>
      <c r="E265" s="10" t="s">
        <v>37</v>
      </c>
      <c r="F265" s="11">
        <v>70.987095913000005</v>
      </c>
      <c r="G265" s="4">
        <v>2391.8217800000002</v>
      </c>
      <c r="H265" s="20">
        <v>1</v>
      </c>
      <c r="I265" s="17"/>
      <c r="J265" t="s">
        <v>17</v>
      </c>
      <c r="K265" s="11"/>
      <c r="L265" s="11"/>
      <c r="M265" s="11"/>
      <c r="N265" s="11"/>
      <c r="O265" s="11"/>
      <c r="P265" s="11"/>
      <c r="Q265" s="33"/>
      <c r="T265" s="10"/>
      <c r="U265" s="20"/>
      <c r="V265" s="17"/>
      <c r="X265" s="10" t="s">
        <v>37</v>
      </c>
      <c r="Y265" s="17"/>
    </row>
    <row r="266" spans="1:25" x14ac:dyDescent="0.2">
      <c r="A266">
        <v>164</v>
      </c>
      <c r="B266" s="1">
        <v>46224</v>
      </c>
      <c r="C266" s="2">
        <v>0.74942129629629628</v>
      </c>
      <c r="D266" t="s">
        <v>28</v>
      </c>
      <c r="E266" s="10" t="s">
        <v>37</v>
      </c>
      <c r="F266" s="11">
        <v>69.064660810999996</v>
      </c>
      <c r="G266" s="4">
        <v>2363.1193800000001</v>
      </c>
      <c r="H266" s="20">
        <v>1</v>
      </c>
      <c r="I266" s="17" t="s">
        <v>39</v>
      </c>
      <c r="J266" t="s">
        <v>17</v>
      </c>
      <c r="K266" s="11"/>
      <c r="L266" s="11"/>
      <c r="M266" s="11"/>
      <c r="N266" s="11">
        <v>57.750053751999999</v>
      </c>
      <c r="O266" s="11"/>
      <c r="P266" s="11"/>
      <c r="Q266" s="172"/>
      <c r="T266" s="10"/>
      <c r="U266" s="20"/>
      <c r="V266" s="17"/>
      <c r="X266" s="10" t="s">
        <v>37</v>
      </c>
      <c r="Y266" s="17"/>
    </row>
    <row r="267" spans="1:25" x14ac:dyDescent="0.2">
      <c r="A267">
        <v>165</v>
      </c>
      <c r="B267" s="1">
        <v>46224</v>
      </c>
      <c r="C267" s="2">
        <v>0.74966435185185187</v>
      </c>
      <c r="D267" t="s">
        <v>28</v>
      </c>
      <c r="E267" s="10" t="s">
        <v>37</v>
      </c>
      <c r="F267" s="11">
        <v>71.813262366999993</v>
      </c>
      <c r="G267" s="4">
        <v>2434.8120100000001</v>
      </c>
      <c r="H267" s="20">
        <v>1</v>
      </c>
      <c r="I267" s="17" t="s">
        <v>45</v>
      </c>
      <c r="J267" t="s">
        <v>17</v>
      </c>
      <c r="K267" s="11"/>
      <c r="L267" s="11"/>
      <c r="M267" s="11"/>
      <c r="N267" s="11">
        <v>53.568543247999997</v>
      </c>
      <c r="O267" s="11"/>
      <c r="P267" s="11"/>
      <c r="Q267" s="33"/>
      <c r="T267" s="10"/>
      <c r="U267" s="20"/>
      <c r="V267" s="17"/>
      <c r="X267" s="10" t="s">
        <v>37</v>
      </c>
      <c r="Y267" s="17"/>
    </row>
    <row r="268" spans="1:25" x14ac:dyDescent="0.2">
      <c r="A268">
        <v>166</v>
      </c>
      <c r="B268" s="1">
        <v>46224</v>
      </c>
      <c r="C268" s="2">
        <v>0.75070601851851848</v>
      </c>
      <c r="D268" t="s">
        <v>28</v>
      </c>
      <c r="E268" s="10" t="s">
        <v>33</v>
      </c>
      <c r="F268" s="11">
        <v>75.753465860999995</v>
      </c>
      <c r="G268" s="4">
        <v>1992.19336</v>
      </c>
      <c r="H268" s="20">
        <v>0</v>
      </c>
      <c r="I268" s="17"/>
      <c r="J268" t="s">
        <v>19</v>
      </c>
      <c r="K268" s="11"/>
      <c r="L268" s="11"/>
      <c r="M268" s="11"/>
      <c r="N268" s="11"/>
      <c r="O268" s="11"/>
      <c r="P268" s="11"/>
      <c r="Q268" s="33"/>
      <c r="T268" s="10"/>
      <c r="U268" s="20"/>
      <c r="V268" s="17"/>
      <c r="X268" s="10" t="s">
        <v>37</v>
      </c>
      <c r="Y268" s="17"/>
    </row>
    <row r="269" spans="1:25" x14ac:dyDescent="0.2">
      <c r="A269">
        <v>167</v>
      </c>
      <c r="B269" s="1">
        <v>46224</v>
      </c>
      <c r="C269" s="2">
        <v>0.75103009259259257</v>
      </c>
      <c r="D269" t="s">
        <v>28</v>
      </c>
      <c r="E269" s="10" t="s">
        <v>37</v>
      </c>
      <c r="F269" s="11">
        <v>68.508584245999998</v>
      </c>
      <c r="G269" s="4">
        <v>2286.1362300000001</v>
      </c>
      <c r="H269" s="20">
        <v>0</v>
      </c>
      <c r="I269" s="17"/>
      <c r="J269" t="s">
        <v>19</v>
      </c>
      <c r="K269" s="11"/>
      <c r="L269" s="11"/>
      <c r="M269" s="11"/>
      <c r="N269" s="11"/>
      <c r="O269" s="11"/>
      <c r="P269" s="11"/>
      <c r="Q269" s="33"/>
      <c r="T269" s="10"/>
      <c r="U269" s="20"/>
      <c r="V269" s="17"/>
      <c r="X269" s="10" t="s">
        <v>37</v>
      </c>
      <c r="Y269" s="17"/>
    </row>
    <row r="270" spans="1:25" x14ac:dyDescent="0.2">
      <c r="A270">
        <v>168</v>
      </c>
      <c r="B270" s="1">
        <v>46224</v>
      </c>
      <c r="C270" s="2">
        <v>0.75121527777777775</v>
      </c>
      <c r="D270" t="s">
        <v>28</v>
      </c>
      <c r="E270" s="10" t="s">
        <v>37</v>
      </c>
      <c r="F270" s="11">
        <v>70.478681742999996</v>
      </c>
      <c r="G270" s="4">
        <v>2453.6118200000001</v>
      </c>
      <c r="H270" s="20">
        <v>0</v>
      </c>
      <c r="I270" s="17"/>
      <c r="J270" t="s">
        <v>19</v>
      </c>
      <c r="K270" s="11"/>
      <c r="L270" s="11"/>
      <c r="M270" s="11"/>
      <c r="N270" s="11"/>
      <c r="O270" s="11"/>
      <c r="P270" s="11"/>
      <c r="Q270" s="33"/>
      <c r="T270" s="10"/>
      <c r="U270" s="20"/>
      <c r="V270" s="17"/>
      <c r="X270" s="10" t="s">
        <v>37</v>
      </c>
      <c r="Y270" s="17" t="s">
        <v>48</v>
      </c>
    </row>
    <row r="271" spans="1:25" x14ac:dyDescent="0.2">
      <c r="A271">
        <v>169</v>
      </c>
      <c r="B271" s="1">
        <v>46224</v>
      </c>
      <c r="C271" s="2">
        <v>0.75140046296296292</v>
      </c>
      <c r="D271" t="s">
        <v>28</v>
      </c>
      <c r="E271" s="10" t="s">
        <v>33</v>
      </c>
      <c r="F271" s="11">
        <v>76.325422881999998</v>
      </c>
      <c r="G271" s="4">
        <v>1950.5977800000001</v>
      </c>
      <c r="H271" s="20">
        <v>1</v>
      </c>
      <c r="I271" s="17"/>
      <c r="J271" t="s">
        <v>19</v>
      </c>
      <c r="K271" s="11"/>
      <c r="L271" s="11"/>
      <c r="M271" s="11"/>
      <c r="N271" s="11"/>
      <c r="O271" s="11"/>
      <c r="P271" s="11"/>
      <c r="Q271" s="33"/>
      <c r="T271" s="13"/>
      <c r="U271" s="22"/>
      <c r="V271" s="19"/>
      <c r="X271" s="10" t="s">
        <v>37</v>
      </c>
      <c r="Y271" s="17"/>
    </row>
    <row r="272" spans="1:25" x14ac:dyDescent="0.2">
      <c r="A272">
        <v>170</v>
      </c>
      <c r="B272" s="1">
        <v>46224</v>
      </c>
      <c r="C272" s="2">
        <v>0.75162037037037033</v>
      </c>
      <c r="D272" t="s">
        <v>28</v>
      </c>
      <c r="E272" s="10" t="s">
        <v>33</v>
      </c>
      <c r="F272" s="11">
        <v>75.546921060000003</v>
      </c>
      <c r="G272" s="4">
        <v>1892.97217</v>
      </c>
      <c r="H272" s="20">
        <v>1</v>
      </c>
      <c r="I272" s="17" t="s">
        <v>38</v>
      </c>
      <c r="J272" t="s">
        <v>19</v>
      </c>
      <c r="K272" s="11">
        <v>71.267271922999996</v>
      </c>
      <c r="L272" s="11">
        <v>51.029600000000002</v>
      </c>
      <c r="M272" s="11">
        <v>16.0138493</v>
      </c>
      <c r="N272" s="11">
        <v>57.750053751999999</v>
      </c>
      <c r="O272" s="11">
        <v>234</v>
      </c>
      <c r="P272" s="11">
        <v>1.23406422</v>
      </c>
      <c r="Q272" s="33">
        <v>0.75023651099999999</v>
      </c>
      <c r="T272" s="13"/>
      <c r="U272" s="22"/>
      <c r="V272" s="19"/>
      <c r="X272" s="10" t="s">
        <v>37</v>
      </c>
      <c r="Y272" s="17" t="s">
        <v>39</v>
      </c>
    </row>
    <row r="273" spans="1:64" x14ac:dyDescent="0.2">
      <c r="A273">
        <v>171</v>
      </c>
      <c r="B273" s="1">
        <v>46224</v>
      </c>
      <c r="C273" s="2">
        <v>0.75199074074074079</v>
      </c>
      <c r="D273" t="s">
        <v>28</v>
      </c>
      <c r="E273" s="10" t="s">
        <v>37</v>
      </c>
      <c r="F273" s="11">
        <v>70.335690306999993</v>
      </c>
      <c r="G273" s="4">
        <v>750.78008999999997</v>
      </c>
      <c r="H273" s="20">
        <v>0</v>
      </c>
      <c r="I273" s="17" t="s">
        <v>48</v>
      </c>
      <c r="J273" t="s">
        <v>19</v>
      </c>
      <c r="K273" s="11"/>
      <c r="L273" s="11"/>
      <c r="M273" s="11"/>
      <c r="N273" s="11"/>
      <c r="O273" s="11"/>
      <c r="P273" s="11"/>
      <c r="Q273" s="33"/>
      <c r="T273" s="13"/>
      <c r="U273" s="22"/>
      <c r="V273" s="19"/>
      <c r="X273" s="10" t="s">
        <v>37</v>
      </c>
      <c r="Y273" s="17" t="s">
        <v>45</v>
      </c>
    </row>
    <row r="274" spans="1:64" s="155" customFormat="1" x14ac:dyDescent="0.2">
      <c r="A274" s="155">
        <v>172</v>
      </c>
      <c r="B274" s="156">
        <v>46224</v>
      </c>
      <c r="C274" s="157">
        <v>0.75218750000000001</v>
      </c>
      <c r="D274" s="155" t="s">
        <v>28</v>
      </c>
      <c r="E274" s="158" t="s">
        <v>33</v>
      </c>
      <c r="F274" s="159">
        <v>74.085235718999996</v>
      </c>
      <c r="G274" s="160">
        <v>1904.0983900000001</v>
      </c>
      <c r="H274" s="161">
        <v>0</v>
      </c>
      <c r="I274" s="162"/>
      <c r="J274" s="155" t="s">
        <v>19</v>
      </c>
      <c r="K274" s="159"/>
      <c r="L274" s="159"/>
      <c r="M274" s="159"/>
      <c r="N274" s="159"/>
      <c r="O274" s="159"/>
      <c r="P274" s="159"/>
      <c r="Q274" s="174"/>
      <c r="S274"/>
      <c r="T274" s="166"/>
      <c r="U274" s="169"/>
      <c r="V274" s="170"/>
      <c r="W274"/>
      <c r="X274" s="10" t="s">
        <v>37</v>
      </c>
      <c r="Y274" s="17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</row>
    <row r="275" spans="1:64" x14ac:dyDescent="0.2">
      <c r="A275">
        <v>173</v>
      </c>
      <c r="B275" s="1">
        <v>46224</v>
      </c>
      <c r="C275" s="2">
        <v>0.7605439814814815</v>
      </c>
      <c r="D275" t="s">
        <v>28</v>
      </c>
      <c r="E275" s="10" t="s">
        <v>33</v>
      </c>
      <c r="F275" s="11">
        <v>75.626354880999997</v>
      </c>
      <c r="G275" s="4">
        <v>1957.5167200000001</v>
      </c>
      <c r="H275" s="20">
        <v>0</v>
      </c>
      <c r="I275" s="17"/>
      <c r="J275" t="s">
        <v>21</v>
      </c>
      <c r="K275" s="11"/>
      <c r="L275" s="11"/>
      <c r="M275" s="11"/>
      <c r="N275" s="11"/>
      <c r="O275" s="11"/>
      <c r="P275" s="11"/>
      <c r="Q275" s="33"/>
      <c r="T275" s="13"/>
      <c r="U275" s="22"/>
      <c r="V275" s="19"/>
      <c r="X275" s="10" t="s">
        <v>37</v>
      </c>
      <c r="Y275" s="17"/>
    </row>
    <row r="276" spans="1:64" x14ac:dyDescent="0.2">
      <c r="A276">
        <v>174</v>
      </c>
      <c r="B276" s="1">
        <v>46224</v>
      </c>
      <c r="C276" s="2">
        <v>0.76075231481481487</v>
      </c>
      <c r="D276" t="s">
        <v>28</v>
      </c>
      <c r="E276" s="10" t="s">
        <v>35</v>
      </c>
      <c r="F276" s="11">
        <v>70.859993433</v>
      </c>
      <c r="G276" s="4">
        <v>1561.89429</v>
      </c>
      <c r="H276" s="20">
        <v>1</v>
      </c>
      <c r="I276" s="17" t="s">
        <v>39</v>
      </c>
      <c r="J276" t="s">
        <v>21</v>
      </c>
      <c r="K276" s="11"/>
      <c r="L276" s="11"/>
      <c r="M276" s="11"/>
      <c r="N276" s="11">
        <v>62.779166373999999</v>
      </c>
      <c r="O276" s="11"/>
      <c r="P276" s="11"/>
      <c r="Q276" s="33"/>
      <c r="T276" s="13"/>
      <c r="U276" s="22"/>
      <c r="V276" s="19"/>
      <c r="X276" s="10" t="s">
        <v>37</v>
      </c>
      <c r="Y276" s="17" t="s">
        <v>48</v>
      </c>
    </row>
    <row r="277" spans="1:64" x14ac:dyDescent="0.2">
      <c r="A277">
        <v>175</v>
      </c>
      <c r="B277" s="1">
        <v>46224</v>
      </c>
      <c r="C277" s="2">
        <v>0.7610069444444445</v>
      </c>
      <c r="D277" t="s">
        <v>28</v>
      </c>
      <c r="E277" s="10" t="s">
        <v>37</v>
      </c>
      <c r="F277" s="11">
        <v>70.272138955000003</v>
      </c>
      <c r="G277" s="4">
        <v>2288.7177700000002</v>
      </c>
      <c r="H277" s="20">
        <v>0</v>
      </c>
      <c r="I277" s="17"/>
      <c r="J277" t="s">
        <v>21</v>
      </c>
      <c r="K277" s="11"/>
      <c r="L277" s="11"/>
      <c r="M277" s="11"/>
      <c r="N277" s="11"/>
      <c r="O277" s="11"/>
      <c r="P277" s="11"/>
      <c r="Q277" s="33"/>
      <c r="T277" s="13"/>
      <c r="U277" s="22"/>
      <c r="V277" s="19"/>
      <c r="X277" s="10" t="s">
        <v>37</v>
      </c>
      <c r="Y277" s="17"/>
    </row>
    <row r="278" spans="1:64" x14ac:dyDescent="0.2">
      <c r="A278">
        <v>176</v>
      </c>
      <c r="B278" s="1">
        <v>46224</v>
      </c>
      <c r="C278" s="2">
        <v>0.76124999999999998</v>
      </c>
      <c r="D278" t="s">
        <v>28</v>
      </c>
      <c r="E278" s="10" t="s">
        <v>35</v>
      </c>
      <c r="F278" s="11">
        <v>72.448783489999997</v>
      </c>
      <c r="G278" s="4">
        <v>1505.1959199999999</v>
      </c>
      <c r="H278" s="20">
        <v>0</v>
      </c>
      <c r="I278" s="17"/>
      <c r="J278" t="s">
        <v>21</v>
      </c>
      <c r="K278" s="11"/>
      <c r="L278" s="11"/>
      <c r="M278" s="11"/>
      <c r="N278" s="11"/>
      <c r="O278" s="11"/>
      <c r="P278" s="11"/>
      <c r="Q278" s="33"/>
      <c r="T278" s="13"/>
      <c r="U278" s="22"/>
      <c r="V278" s="19"/>
      <c r="X278" s="10" t="s">
        <v>37</v>
      </c>
      <c r="Y278" s="17" t="s">
        <v>39</v>
      </c>
    </row>
    <row r="279" spans="1:64" x14ac:dyDescent="0.2">
      <c r="A279">
        <v>177</v>
      </c>
      <c r="B279" s="1">
        <v>46224</v>
      </c>
      <c r="C279" s="2">
        <v>0.76146990740740739</v>
      </c>
      <c r="D279" t="s">
        <v>28</v>
      </c>
      <c r="E279" s="10" t="s">
        <v>37</v>
      </c>
      <c r="F279" s="11">
        <v>69.080549767999997</v>
      </c>
      <c r="G279" s="4">
        <v>773.64794900000004</v>
      </c>
      <c r="H279" s="20">
        <v>1</v>
      </c>
      <c r="I279" s="17" t="s">
        <v>39</v>
      </c>
      <c r="J279" t="s">
        <v>21</v>
      </c>
      <c r="K279" s="11"/>
      <c r="L279" s="11"/>
      <c r="M279" s="11"/>
      <c r="N279" s="11">
        <v>64.191838880999995</v>
      </c>
      <c r="O279" s="11"/>
      <c r="P279" s="11"/>
      <c r="Q279" s="33"/>
      <c r="T279" s="13"/>
      <c r="U279" s="22"/>
      <c r="V279" s="19"/>
      <c r="X279" s="10" t="s">
        <v>37</v>
      </c>
      <c r="Y279" s="17" t="s">
        <v>48</v>
      </c>
    </row>
    <row r="280" spans="1:64" x14ac:dyDescent="0.2">
      <c r="A280">
        <v>178</v>
      </c>
      <c r="B280" s="1">
        <v>46224</v>
      </c>
      <c r="C280" s="2">
        <v>0.76174768518518521</v>
      </c>
      <c r="D280" t="s">
        <v>28</v>
      </c>
      <c r="E280" s="10" t="s">
        <v>37</v>
      </c>
      <c r="F280" s="11">
        <v>72.639433072000003</v>
      </c>
      <c r="G280" s="4">
        <v>2369.8740200000002</v>
      </c>
      <c r="H280" s="20">
        <v>0</v>
      </c>
      <c r="I280" s="17" t="s">
        <v>48</v>
      </c>
      <c r="J280" t="s">
        <v>21</v>
      </c>
      <c r="K280" s="11"/>
      <c r="L280" s="11"/>
      <c r="M280" s="11"/>
      <c r="N280" s="11"/>
      <c r="O280" s="11"/>
      <c r="P280" s="11"/>
      <c r="Q280" s="33"/>
      <c r="T280" s="13"/>
      <c r="U280" s="22"/>
      <c r="V280" s="19"/>
      <c r="X280" s="10" t="s">
        <v>37</v>
      </c>
      <c r="Y280" s="17" t="s">
        <v>38</v>
      </c>
    </row>
    <row r="281" spans="1:64" x14ac:dyDescent="0.2">
      <c r="A281">
        <v>179</v>
      </c>
      <c r="B281" s="1">
        <v>46224</v>
      </c>
      <c r="C281" s="2">
        <v>0.76194444444444442</v>
      </c>
      <c r="D281" t="s">
        <v>28</v>
      </c>
      <c r="E281" s="10" t="s">
        <v>33</v>
      </c>
      <c r="F281" s="11">
        <v>75.483371945000002</v>
      </c>
      <c r="G281" s="4">
        <v>1992.76782</v>
      </c>
      <c r="H281" s="20">
        <v>0</v>
      </c>
      <c r="I281" s="17"/>
      <c r="J281" t="s">
        <v>21</v>
      </c>
      <c r="K281" s="11"/>
      <c r="L281" s="11"/>
      <c r="M281" s="11"/>
      <c r="N281" s="11"/>
      <c r="O281" s="11"/>
      <c r="P281" s="11"/>
      <c r="Q281" s="33"/>
      <c r="T281" s="13"/>
      <c r="U281" s="22"/>
      <c r="V281" s="19"/>
      <c r="X281" s="10" t="s">
        <v>37</v>
      </c>
      <c r="Y281" s="17"/>
    </row>
    <row r="282" spans="1:64" x14ac:dyDescent="0.2">
      <c r="A282">
        <v>180</v>
      </c>
      <c r="B282" s="1">
        <v>46224</v>
      </c>
      <c r="C282" s="2">
        <v>0.76230324074074074</v>
      </c>
      <c r="D282" t="s">
        <v>28</v>
      </c>
      <c r="E282" s="10" t="s">
        <v>37</v>
      </c>
      <c r="F282" s="11">
        <v>70.145036474999998</v>
      </c>
      <c r="G282" s="4">
        <v>147.39721700000001</v>
      </c>
      <c r="H282" s="20">
        <v>1</v>
      </c>
      <c r="I282" s="17" t="s">
        <v>38</v>
      </c>
      <c r="J282" t="s">
        <v>29</v>
      </c>
      <c r="K282" s="11"/>
      <c r="L282" s="11"/>
      <c r="M282" s="11"/>
      <c r="N282" s="11">
        <v>61.762043206999998</v>
      </c>
      <c r="O282" s="11"/>
      <c r="P282" s="11"/>
      <c r="Q282" s="33"/>
      <c r="T282" s="13"/>
      <c r="U282" s="22"/>
      <c r="V282" s="19"/>
      <c r="X282" s="10" t="s">
        <v>37</v>
      </c>
      <c r="Y282" s="17"/>
    </row>
    <row r="283" spans="1:64" x14ac:dyDescent="0.2">
      <c r="A283">
        <v>181</v>
      </c>
      <c r="B283" s="1">
        <v>46224</v>
      </c>
      <c r="C283" s="2">
        <v>0.76253472222222218</v>
      </c>
      <c r="D283" t="s">
        <v>28</v>
      </c>
      <c r="E283" s="10" t="s">
        <v>33</v>
      </c>
      <c r="F283" s="11">
        <v>76.071217922000002</v>
      </c>
      <c r="G283" s="4">
        <v>1925.15417</v>
      </c>
      <c r="H283" s="20">
        <v>0</v>
      </c>
      <c r="I283" s="17"/>
      <c r="J283" t="s">
        <v>29</v>
      </c>
      <c r="K283" s="11"/>
      <c r="L283" s="11"/>
      <c r="M283" s="11"/>
      <c r="N283" s="11"/>
      <c r="O283" s="11"/>
      <c r="P283" s="11"/>
      <c r="Q283" s="33"/>
      <c r="T283" s="13"/>
      <c r="U283" s="22"/>
      <c r="V283" s="19"/>
      <c r="X283" s="10" t="s">
        <v>37</v>
      </c>
      <c r="Y283" s="17" t="s">
        <v>48</v>
      </c>
    </row>
    <row r="284" spans="1:64" x14ac:dyDescent="0.2">
      <c r="A284">
        <v>182</v>
      </c>
      <c r="B284" s="1">
        <v>46224</v>
      </c>
      <c r="C284" s="2">
        <v>0.76273148148148151</v>
      </c>
      <c r="D284" t="s">
        <v>28</v>
      </c>
      <c r="E284" s="10" t="s">
        <v>37</v>
      </c>
      <c r="F284" s="11">
        <v>70.987095913000005</v>
      </c>
      <c r="G284" s="4">
        <v>2295.36328</v>
      </c>
      <c r="H284" s="20">
        <v>0</v>
      </c>
      <c r="I284" s="17"/>
      <c r="J284" t="s">
        <v>29</v>
      </c>
      <c r="K284" s="11"/>
      <c r="L284" s="11"/>
      <c r="M284" s="11"/>
      <c r="N284" s="11"/>
      <c r="O284" s="11"/>
      <c r="P284" s="11"/>
      <c r="Q284" s="33"/>
      <c r="T284" s="13"/>
      <c r="U284" s="22"/>
      <c r="V284" s="19"/>
      <c r="X284" s="158" t="s">
        <v>37</v>
      </c>
      <c r="Y284" s="162" t="s">
        <v>39</v>
      </c>
    </row>
    <row r="285" spans="1:64" x14ac:dyDescent="0.2">
      <c r="A285">
        <v>183</v>
      </c>
      <c r="B285" s="1">
        <v>46224</v>
      </c>
      <c r="C285" s="2">
        <v>0.76295138888888892</v>
      </c>
      <c r="D285" t="s">
        <v>28</v>
      </c>
      <c r="E285" s="10" t="s">
        <v>35</v>
      </c>
      <c r="F285" s="11">
        <v>70.399241658999998</v>
      </c>
      <c r="G285" s="4">
        <v>1665.4727800000001</v>
      </c>
      <c r="H285" s="20">
        <v>0</v>
      </c>
      <c r="I285" s="17"/>
      <c r="J285" t="s">
        <v>29</v>
      </c>
      <c r="K285" s="11"/>
      <c r="L285" s="11"/>
      <c r="M285" s="11"/>
      <c r="N285" s="11"/>
      <c r="O285" s="11"/>
      <c r="P285" s="11"/>
      <c r="Q285" s="33"/>
      <c r="T285" s="13"/>
      <c r="U285" s="22"/>
      <c r="V285" s="19"/>
      <c r="X285" s="10" t="s">
        <v>37</v>
      </c>
      <c r="Y285" s="17" t="s">
        <v>255</v>
      </c>
    </row>
    <row r="286" spans="1:64" x14ac:dyDescent="0.2">
      <c r="A286">
        <v>184</v>
      </c>
      <c r="B286" s="1">
        <v>46224</v>
      </c>
      <c r="C286" s="2">
        <v>0.7631944444444444</v>
      </c>
      <c r="D286" t="s">
        <v>28</v>
      </c>
      <c r="E286" s="10" t="s">
        <v>37</v>
      </c>
      <c r="F286" s="11">
        <v>70.224476559999999</v>
      </c>
      <c r="G286" s="4">
        <v>2242.19092</v>
      </c>
      <c r="H286" s="20">
        <v>1</v>
      </c>
      <c r="I286" s="17"/>
      <c r="J286" t="s">
        <v>29</v>
      </c>
      <c r="K286" s="11"/>
      <c r="L286" s="11"/>
      <c r="M286" s="11"/>
      <c r="N286" s="11"/>
      <c r="O286" s="11"/>
      <c r="P286" s="11"/>
      <c r="Q286" s="33"/>
      <c r="T286" s="13"/>
      <c r="U286" s="22"/>
      <c r="V286" s="19"/>
      <c r="X286" s="10" t="s">
        <v>37</v>
      </c>
      <c r="Y286" s="17" t="s">
        <v>38</v>
      </c>
    </row>
    <row r="287" spans="1:64" x14ac:dyDescent="0.2">
      <c r="A287">
        <v>185</v>
      </c>
      <c r="B287" s="1">
        <v>46224</v>
      </c>
      <c r="C287" s="2">
        <v>0.76342592592592595</v>
      </c>
      <c r="D287" t="s">
        <v>28</v>
      </c>
      <c r="E287" s="10" t="s">
        <v>37</v>
      </c>
      <c r="F287" s="11">
        <v>69.970271600000004</v>
      </c>
      <c r="G287" s="4">
        <v>2311.0878899999998</v>
      </c>
      <c r="H287" s="20">
        <v>0</v>
      </c>
      <c r="I287" s="17" t="s">
        <v>48</v>
      </c>
      <c r="J287" t="s">
        <v>29</v>
      </c>
      <c r="K287" s="11"/>
      <c r="L287" s="11"/>
      <c r="M287" s="11"/>
      <c r="N287" s="11"/>
      <c r="O287" s="11"/>
      <c r="P287" s="11"/>
      <c r="Q287" s="33"/>
      <c r="T287" s="13"/>
      <c r="U287" s="22"/>
      <c r="V287" s="19"/>
      <c r="X287" s="10" t="s">
        <v>37</v>
      </c>
      <c r="Y287" s="17" t="s">
        <v>39</v>
      </c>
    </row>
    <row r="288" spans="1:64" x14ac:dyDescent="0.2">
      <c r="A288">
        <v>186</v>
      </c>
      <c r="B288" s="1">
        <v>46224</v>
      </c>
      <c r="C288" s="2">
        <v>0.76362268518518517</v>
      </c>
      <c r="D288" t="s">
        <v>28</v>
      </c>
      <c r="E288" s="10" t="s">
        <v>33</v>
      </c>
      <c r="F288" s="11">
        <v>74.593645862000002</v>
      </c>
      <c r="G288" s="4">
        <v>1954.1014399999999</v>
      </c>
      <c r="H288" s="20">
        <v>1</v>
      </c>
      <c r="I288" s="17" t="s">
        <v>38</v>
      </c>
      <c r="J288" t="s">
        <v>29</v>
      </c>
      <c r="K288" s="11"/>
      <c r="L288" s="11"/>
      <c r="M288" s="11"/>
      <c r="N288" s="11">
        <v>57.297997172000002</v>
      </c>
      <c r="O288" s="11"/>
      <c r="P288" s="11"/>
      <c r="Q288" s="33"/>
      <c r="T288" s="13"/>
      <c r="U288" s="22"/>
      <c r="V288" s="19"/>
      <c r="X288" s="10" t="s">
        <v>37</v>
      </c>
      <c r="Y288" s="17"/>
    </row>
    <row r="289" spans="1:64" x14ac:dyDescent="0.2">
      <c r="A289">
        <v>187</v>
      </c>
      <c r="B289" s="1">
        <v>46224</v>
      </c>
      <c r="C289" s="2">
        <v>0.76414351851851847</v>
      </c>
      <c r="D289" t="s">
        <v>28</v>
      </c>
      <c r="E289" s="10" t="s">
        <v>33</v>
      </c>
      <c r="F289" s="11">
        <v>75.054397859999995</v>
      </c>
      <c r="G289" s="4">
        <v>1993.2110600000001</v>
      </c>
      <c r="H289" s="20">
        <v>0</v>
      </c>
      <c r="I289" s="17"/>
      <c r="J289" t="s">
        <v>17</v>
      </c>
      <c r="K289" s="11"/>
      <c r="L289" s="11"/>
      <c r="M289" s="11"/>
      <c r="N289" s="11"/>
      <c r="O289" s="11"/>
      <c r="P289" s="11"/>
      <c r="Q289" s="33"/>
      <c r="T289" s="13"/>
      <c r="U289" s="22"/>
      <c r="V289" s="19"/>
      <c r="X289" s="10" t="s">
        <v>37</v>
      </c>
      <c r="Y289" s="17" t="s">
        <v>48</v>
      </c>
    </row>
    <row r="290" spans="1:64" x14ac:dyDescent="0.2">
      <c r="A290">
        <v>188</v>
      </c>
      <c r="B290" s="1">
        <v>46224</v>
      </c>
      <c r="C290" s="2">
        <v>0.76495370370370375</v>
      </c>
      <c r="D290" t="s">
        <v>28</v>
      </c>
      <c r="E290" s="10" t="s">
        <v>33</v>
      </c>
      <c r="F290" s="11">
        <v>73.274954195000007</v>
      </c>
      <c r="G290" s="4">
        <v>1828.2680700000001</v>
      </c>
      <c r="H290" s="20">
        <v>1</v>
      </c>
      <c r="I290" s="17" t="s">
        <v>254</v>
      </c>
      <c r="J290" t="s">
        <v>17</v>
      </c>
      <c r="K290" s="11">
        <v>90.501496326999998</v>
      </c>
      <c r="L290" s="11">
        <v>32.325782799999999</v>
      </c>
      <c r="M290" s="11">
        <v>3.0994250800000001</v>
      </c>
      <c r="N290" s="11">
        <v>64.926430768000003</v>
      </c>
      <c r="O290" s="11">
        <v>327</v>
      </c>
      <c r="P290" s="11">
        <v>1.3939083800000001</v>
      </c>
      <c r="Q290" s="33">
        <v>0.88010292099999998</v>
      </c>
      <c r="T290" s="13"/>
      <c r="U290" s="22"/>
      <c r="V290" s="19"/>
      <c r="X290" s="10" t="s">
        <v>37</v>
      </c>
      <c r="Y290" s="17"/>
    </row>
    <row r="291" spans="1:64" x14ac:dyDescent="0.2">
      <c r="A291">
        <v>189</v>
      </c>
      <c r="B291" s="1">
        <v>46224</v>
      </c>
      <c r="C291" s="2">
        <v>0.76556712962962958</v>
      </c>
      <c r="D291" t="s">
        <v>28</v>
      </c>
      <c r="E291" s="10" t="s">
        <v>37</v>
      </c>
      <c r="F291" s="11">
        <v>68.572135373999998</v>
      </c>
      <c r="G291" s="4">
        <v>2318.11</v>
      </c>
      <c r="H291" s="20">
        <v>1</v>
      </c>
      <c r="I291" s="17" t="s">
        <v>39</v>
      </c>
      <c r="J291" t="s">
        <v>19</v>
      </c>
      <c r="K291" s="11"/>
      <c r="L291" s="11"/>
      <c r="M291" s="11"/>
      <c r="N291" s="11">
        <v>50.912719283000001</v>
      </c>
      <c r="O291" s="11"/>
      <c r="P291" s="11"/>
      <c r="Q291" s="33"/>
      <c r="T291" s="13"/>
      <c r="U291" s="22"/>
      <c r="V291" s="19"/>
      <c r="X291" s="10" t="s">
        <v>37</v>
      </c>
      <c r="Y291" s="17" t="s">
        <v>255</v>
      </c>
    </row>
    <row r="292" spans="1:64" x14ac:dyDescent="0.2">
      <c r="A292">
        <v>190</v>
      </c>
      <c r="B292" s="1">
        <v>46224</v>
      </c>
      <c r="C292" s="2">
        <v>0.76576388888888891</v>
      </c>
      <c r="D292" t="s">
        <v>28</v>
      </c>
      <c r="E292" s="10" t="s">
        <v>33</v>
      </c>
      <c r="F292" s="11">
        <v>73.656262752999993</v>
      </c>
      <c r="G292" s="4">
        <v>1782.8481400000001</v>
      </c>
      <c r="H292" s="20">
        <v>1</v>
      </c>
      <c r="I292" s="17" t="s">
        <v>39</v>
      </c>
      <c r="J292" t="s">
        <v>19</v>
      </c>
      <c r="K292" s="11"/>
      <c r="L292" s="11"/>
      <c r="M292" s="11"/>
      <c r="N292" s="11">
        <v>60.349370700000001</v>
      </c>
      <c r="O292" s="11"/>
      <c r="P292" s="11"/>
      <c r="Q292" s="33"/>
      <c r="T292" s="13"/>
      <c r="U292" s="22"/>
      <c r="V292" s="19"/>
    </row>
    <row r="293" spans="1:64" x14ac:dyDescent="0.2">
      <c r="A293">
        <v>191</v>
      </c>
      <c r="B293" s="1">
        <v>46224</v>
      </c>
      <c r="C293" s="2">
        <v>0.76606481481481481</v>
      </c>
      <c r="D293" t="s">
        <v>28</v>
      </c>
      <c r="E293" s="10" t="s">
        <v>37</v>
      </c>
      <c r="F293" s="11">
        <v>71.940364846999998</v>
      </c>
      <c r="G293" s="4">
        <v>328.71658300000001</v>
      </c>
      <c r="H293" s="20">
        <v>1</v>
      </c>
      <c r="I293" s="17" t="s">
        <v>255</v>
      </c>
      <c r="J293" t="s">
        <v>19</v>
      </c>
      <c r="K293" s="11">
        <v>91.269572685</v>
      </c>
      <c r="L293" s="11">
        <v>2.95110202</v>
      </c>
      <c r="M293" s="11">
        <v>-11.0302486</v>
      </c>
      <c r="N293" s="11">
        <v>63.118208697</v>
      </c>
      <c r="O293" s="11">
        <v>96</v>
      </c>
      <c r="P293" s="11">
        <v>1.44601023</v>
      </c>
      <c r="Q293" s="33">
        <v>0.91830612199999995</v>
      </c>
      <c r="T293" s="13"/>
      <c r="U293" s="22"/>
      <c r="V293" s="19"/>
    </row>
    <row r="294" spans="1:64" x14ac:dyDescent="0.2">
      <c r="A294">
        <v>192</v>
      </c>
      <c r="B294" s="1">
        <v>46224</v>
      </c>
      <c r="C294" s="2">
        <v>0.76653935185185185</v>
      </c>
      <c r="D294" t="s">
        <v>28</v>
      </c>
      <c r="E294" s="10" t="s">
        <v>33</v>
      </c>
      <c r="F294" s="11">
        <v>73.783364113999994</v>
      </c>
      <c r="G294" s="4">
        <v>1871.75549</v>
      </c>
      <c r="H294" s="20">
        <v>0</v>
      </c>
      <c r="I294" s="17"/>
      <c r="J294" t="s">
        <v>22</v>
      </c>
      <c r="K294" s="11"/>
      <c r="L294" s="11"/>
      <c r="M294" s="11"/>
      <c r="N294" s="11"/>
      <c r="O294" s="11"/>
      <c r="P294" s="11"/>
      <c r="Q294" s="33"/>
      <c r="T294" s="13"/>
      <c r="U294" s="22"/>
      <c r="V294" s="19"/>
    </row>
    <row r="295" spans="1:64" x14ac:dyDescent="0.2">
      <c r="A295">
        <v>193</v>
      </c>
      <c r="B295" s="1">
        <v>46224</v>
      </c>
      <c r="C295" s="2">
        <v>0.76677083333333329</v>
      </c>
      <c r="D295" t="s">
        <v>28</v>
      </c>
      <c r="E295" s="10" t="s">
        <v>33</v>
      </c>
      <c r="F295" s="11">
        <v>73.402056674999997</v>
      </c>
      <c r="G295" s="4">
        <v>1887.47192</v>
      </c>
      <c r="H295" s="20">
        <v>0</v>
      </c>
      <c r="I295" s="17"/>
      <c r="J295" t="s">
        <v>22</v>
      </c>
      <c r="K295" s="11"/>
      <c r="L295" s="11"/>
      <c r="M295" s="11"/>
      <c r="N295" s="11"/>
      <c r="O295" s="11"/>
      <c r="P295" s="11"/>
      <c r="Q295" s="33"/>
      <c r="T295" s="10"/>
      <c r="U295" s="20"/>
      <c r="V295" s="17"/>
    </row>
    <row r="296" spans="1:64" x14ac:dyDescent="0.2">
      <c r="A296">
        <v>194</v>
      </c>
      <c r="B296" s="1">
        <v>46224</v>
      </c>
      <c r="C296" s="2">
        <v>0.76702546296296292</v>
      </c>
      <c r="D296" t="s">
        <v>28</v>
      </c>
      <c r="E296" s="10" t="s">
        <v>37</v>
      </c>
      <c r="F296" s="11">
        <v>69.525408558999999</v>
      </c>
      <c r="G296" s="4">
        <v>2329.3310499999998</v>
      </c>
      <c r="H296" s="20">
        <v>1</v>
      </c>
      <c r="I296" s="17" t="s">
        <v>38</v>
      </c>
      <c r="J296" t="s">
        <v>22</v>
      </c>
      <c r="K296" s="11"/>
      <c r="L296" s="11"/>
      <c r="M296" s="11"/>
      <c r="N296" s="11">
        <v>59.049712225999997</v>
      </c>
      <c r="O296" s="11"/>
      <c r="P296" s="11"/>
      <c r="Q296" s="33"/>
      <c r="T296" s="10"/>
      <c r="U296" s="20"/>
      <c r="V296" s="17"/>
    </row>
    <row r="297" spans="1:64" x14ac:dyDescent="0.2">
      <c r="A297">
        <v>195</v>
      </c>
      <c r="B297" s="1">
        <v>46224</v>
      </c>
      <c r="C297" s="2">
        <v>0.76733796296296297</v>
      </c>
      <c r="D297" t="s">
        <v>28</v>
      </c>
      <c r="E297" s="10" t="s">
        <v>37</v>
      </c>
      <c r="F297" s="11">
        <v>72.321681010000006</v>
      </c>
      <c r="G297" s="4">
        <v>179.170029</v>
      </c>
      <c r="H297" s="20">
        <v>1</v>
      </c>
      <c r="I297" s="17" t="s">
        <v>39</v>
      </c>
      <c r="J297" t="s">
        <v>22</v>
      </c>
      <c r="K297" s="11"/>
      <c r="L297" s="11"/>
      <c r="M297" s="11"/>
      <c r="N297" s="11">
        <v>58.032589283</v>
      </c>
      <c r="O297" s="11"/>
      <c r="P297" s="11"/>
      <c r="Q297" s="33"/>
      <c r="T297" s="10"/>
      <c r="U297" s="20"/>
      <c r="V297" s="17"/>
    </row>
    <row r="298" spans="1:64" x14ac:dyDescent="0.2">
      <c r="A298">
        <v>196</v>
      </c>
      <c r="B298" s="1">
        <v>46224</v>
      </c>
      <c r="C298" s="2">
        <v>0.76762731481481483</v>
      </c>
      <c r="D298" t="s">
        <v>28</v>
      </c>
      <c r="E298" s="10" t="s">
        <v>37</v>
      </c>
      <c r="F298" s="11">
        <v>73.767475157999996</v>
      </c>
      <c r="G298" s="4">
        <v>1543.01746</v>
      </c>
      <c r="H298" s="20">
        <v>0</v>
      </c>
      <c r="I298" s="17"/>
      <c r="J298" t="s">
        <v>22</v>
      </c>
      <c r="K298" s="11"/>
      <c r="L298" s="11"/>
      <c r="M298" s="11"/>
      <c r="N298" s="11"/>
      <c r="O298" s="11"/>
      <c r="P298" s="11"/>
      <c r="Q298" s="33"/>
      <c r="T298" s="10"/>
      <c r="U298" s="20"/>
      <c r="V298" s="17"/>
    </row>
    <row r="299" spans="1:64" x14ac:dyDescent="0.2">
      <c r="A299">
        <v>197</v>
      </c>
      <c r="B299" s="1">
        <v>46224</v>
      </c>
      <c r="C299" s="2">
        <v>0.76798611111111115</v>
      </c>
      <c r="D299" t="s">
        <v>28</v>
      </c>
      <c r="E299" s="10" t="s">
        <v>37</v>
      </c>
      <c r="F299" s="11">
        <v>72.194578531000005</v>
      </c>
      <c r="G299" s="4">
        <v>2400.59204</v>
      </c>
      <c r="H299" s="20">
        <v>0</v>
      </c>
      <c r="I299" s="17" t="s">
        <v>48</v>
      </c>
      <c r="J299" t="s">
        <v>22</v>
      </c>
      <c r="K299" s="11"/>
      <c r="L299" s="11"/>
      <c r="M299" s="11"/>
      <c r="N299" s="11"/>
      <c r="O299" s="11"/>
      <c r="P299" s="11"/>
      <c r="Q299" s="33"/>
      <c r="T299" s="10"/>
      <c r="U299" s="20"/>
      <c r="V299" s="17"/>
    </row>
    <row r="300" spans="1:64" s="155" customFormat="1" x14ac:dyDescent="0.2">
      <c r="A300" s="155">
        <v>198</v>
      </c>
      <c r="B300" s="156">
        <v>46224</v>
      </c>
      <c r="C300" s="157">
        <v>0.76815972222222217</v>
      </c>
      <c r="D300" s="155" t="s">
        <v>28</v>
      </c>
      <c r="E300" s="158" t="s">
        <v>33</v>
      </c>
      <c r="F300" s="159">
        <v>76.134773523999996</v>
      </c>
      <c r="G300" s="160">
        <v>2033.6518599999999</v>
      </c>
      <c r="H300" s="161">
        <v>0</v>
      </c>
      <c r="I300" s="162"/>
      <c r="J300" s="155" t="s">
        <v>22</v>
      </c>
      <c r="K300" s="159"/>
      <c r="L300" s="159"/>
      <c r="M300" s="159"/>
      <c r="N300" s="159"/>
      <c r="O300" s="159"/>
      <c r="P300" s="159"/>
      <c r="Q300" s="174"/>
      <c r="S300"/>
      <c r="T300" s="158"/>
      <c r="U300" s="161"/>
      <c r="V300" s="162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</row>
    <row r="301" spans="1:64" x14ac:dyDescent="0.2">
      <c r="A301">
        <v>199</v>
      </c>
      <c r="B301" s="1">
        <v>46224</v>
      </c>
      <c r="C301" s="2">
        <v>0.78045138888888888</v>
      </c>
      <c r="D301" t="s">
        <v>28</v>
      </c>
      <c r="E301" s="10" t="s">
        <v>33</v>
      </c>
      <c r="F301" s="11">
        <v>73.974022196000007</v>
      </c>
      <c r="G301" s="4">
        <v>2115.4880400000002</v>
      </c>
      <c r="H301" s="20">
        <v>1</v>
      </c>
      <c r="I301" s="17" t="s">
        <v>255</v>
      </c>
      <c r="J301" t="s">
        <v>17</v>
      </c>
      <c r="K301" s="11">
        <v>96.841979124000005</v>
      </c>
      <c r="L301" s="11">
        <v>4.7069478</v>
      </c>
      <c r="M301" s="11">
        <v>-7.7781424499999998</v>
      </c>
      <c r="N301" s="11">
        <v>63.739786551000002</v>
      </c>
      <c r="O301" s="11">
        <v>128</v>
      </c>
      <c r="P301" s="11">
        <v>1.5193332399999999</v>
      </c>
      <c r="Q301" s="33">
        <v>0.95127891499999995</v>
      </c>
      <c r="T301" s="10"/>
      <c r="U301" s="20"/>
      <c r="V301" s="17"/>
    </row>
    <row r="302" spans="1:64" x14ac:dyDescent="0.2">
      <c r="A302">
        <v>200</v>
      </c>
      <c r="B302" s="1">
        <v>46224</v>
      </c>
      <c r="C302" s="2">
        <v>0.78100694444444441</v>
      </c>
      <c r="D302" t="s">
        <v>28</v>
      </c>
      <c r="E302" s="10" t="s">
        <v>35</v>
      </c>
      <c r="F302" s="11">
        <v>70.160925431999999</v>
      </c>
      <c r="G302" s="4">
        <v>1696.7343800000001</v>
      </c>
      <c r="H302" s="20">
        <v>1</v>
      </c>
      <c r="I302" s="17" t="s">
        <v>255</v>
      </c>
      <c r="J302" t="s">
        <v>19</v>
      </c>
      <c r="K302" s="11">
        <v>85.317454412000004</v>
      </c>
      <c r="L302" s="11">
        <v>39.851932499999997</v>
      </c>
      <c r="M302" s="11">
        <v>-14.050360700000001</v>
      </c>
      <c r="N302" s="11">
        <v>64.982937785000004</v>
      </c>
      <c r="O302" s="11"/>
      <c r="P302" s="11">
        <v>1.31292081</v>
      </c>
      <c r="Q302" s="33">
        <v>0.836193466</v>
      </c>
      <c r="T302" s="10"/>
      <c r="U302" s="20"/>
      <c r="V302" s="17"/>
    </row>
    <row r="303" spans="1:64" x14ac:dyDescent="0.2">
      <c r="A303">
        <v>201</v>
      </c>
      <c r="B303" s="1">
        <v>46224</v>
      </c>
      <c r="C303" s="2">
        <v>0.7815509259259259</v>
      </c>
      <c r="D303" t="s">
        <v>28</v>
      </c>
      <c r="E303" s="10" t="s">
        <v>33</v>
      </c>
      <c r="F303" s="11">
        <v>75.546921060000003</v>
      </c>
      <c r="G303" s="4">
        <v>1888.4853499999999</v>
      </c>
      <c r="H303" s="20">
        <v>1</v>
      </c>
      <c r="I303" s="17" t="s">
        <v>38</v>
      </c>
      <c r="J303" t="s">
        <v>22</v>
      </c>
      <c r="K303" s="11"/>
      <c r="L303" s="11"/>
      <c r="M303" s="11"/>
      <c r="N303" s="11">
        <v>54.303130883999998</v>
      </c>
      <c r="O303" s="11"/>
      <c r="P303" s="11"/>
      <c r="Q303" s="33"/>
      <c r="T303" s="10"/>
      <c r="U303" s="20"/>
      <c r="V303" s="17"/>
    </row>
    <row r="304" spans="1:64" x14ac:dyDescent="0.2">
      <c r="A304">
        <v>202</v>
      </c>
      <c r="B304" s="1">
        <v>46224</v>
      </c>
      <c r="C304" s="2">
        <v>0.78182870370370372</v>
      </c>
      <c r="D304" t="s">
        <v>28</v>
      </c>
      <c r="E304" s="10" t="s">
        <v>33</v>
      </c>
      <c r="F304" s="11">
        <v>75.674021526999994</v>
      </c>
      <c r="G304" s="4">
        <v>2036.74072</v>
      </c>
      <c r="H304" s="20">
        <v>0</v>
      </c>
      <c r="I304" s="17"/>
      <c r="J304" t="s">
        <v>22</v>
      </c>
      <c r="K304" s="11"/>
      <c r="L304" s="11"/>
      <c r="M304" s="11"/>
      <c r="N304" s="11"/>
      <c r="O304" s="11"/>
      <c r="P304" s="11"/>
      <c r="Q304" s="33"/>
      <c r="T304" s="10"/>
      <c r="U304" s="20"/>
      <c r="V304" s="17"/>
    </row>
    <row r="305" spans="1:22" x14ac:dyDescent="0.2">
      <c r="A305">
        <v>203</v>
      </c>
      <c r="B305" s="1">
        <v>46224</v>
      </c>
      <c r="C305" s="2">
        <v>0.78211805555555558</v>
      </c>
      <c r="D305" t="s">
        <v>28</v>
      </c>
      <c r="E305" s="10" t="s">
        <v>37</v>
      </c>
      <c r="F305" s="11">
        <v>71.876817969000001</v>
      </c>
      <c r="G305" s="4">
        <v>149.312805</v>
      </c>
      <c r="H305" s="20">
        <v>0</v>
      </c>
      <c r="I305" s="17"/>
      <c r="J305" t="s">
        <v>22</v>
      </c>
      <c r="K305" s="11"/>
      <c r="L305" s="11"/>
      <c r="M305" s="11"/>
      <c r="N305" s="11"/>
      <c r="O305" s="11"/>
      <c r="P305" s="11"/>
      <c r="Q305" s="33"/>
      <c r="T305" s="10"/>
      <c r="U305" s="20"/>
      <c r="V305" s="17"/>
    </row>
    <row r="306" spans="1:22" x14ac:dyDescent="0.2">
      <c r="A306">
        <v>204</v>
      </c>
      <c r="B306" s="1">
        <v>46224</v>
      </c>
      <c r="C306" s="2">
        <v>0.78236111111111106</v>
      </c>
      <c r="D306" t="s">
        <v>28</v>
      </c>
      <c r="E306" s="10" t="s">
        <v>33</v>
      </c>
      <c r="F306" s="11">
        <v>72.385227888000003</v>
      </c>
      <c r="G306" s="4">
        <v>1809.9909700000001</v>
      </c>
      <c r="H306" s="20">
        <v>1</v>
      </c>
      <c r="I306" s="17" t="s">
        <v>254</v>
      </c>
      <c r="J306" t="s">
        <v>22</v>
      </c>
      <c r="K306" s="11">
        <v>87.634585685999994</v>
      </c>
      <c r="L306" s="11">
        <v>42.059211699999999</v>
      </c>
      <c r="M306" s="11">
        <v>-8.0754413599999992</v>
      </c>
      <c r="N306" s="11">
        <v>62.948687423999999</v>
      </c>
      <c r="O306" s="11">
        <v>328</v>
      </c>
      <c r="P306" s="11">
        <v>1.3921591</v>
      </c>
      <c r="Q306" s="33">
        <v>0.87402008099999995</v>
      </c>
      <c r="T306" s="10"/>
      <c r="U306" s="20"/>
      <c r="V306" s="17"/>
    </row>
    <row r="307" spans="1:22" x14ac:dyDescent="0.2">
      <c r="A307">
        <v>205</v>
      </c>
      <c r="B307" s="1">
        <v>46224</v>
      </c>
      <c r="C307" s="2">
        <v>0.78280092592592587</v>
      </c>
      <c r="D307" t="s">
        <v>28</v>
      </c>
      <c r="E307" s="10" t="s">
        <v>37</v>
      </c>
      <c r="F307" s="11">
        <v>71.050647264000006</v>
      </c>
      <c r="G307" s="4">
        <v>2366.0236799999998</v>
      </c>
      <c r="H307" s="20">
        <v>1</v>
      </c>
      <c r="I307" s="17" t="s">
        <v>255</v>
      </c>
      <c r="J307" t="s">
        <v>27</v>
      </c>
      <c r="K307" s="11">
        <v>92.198474899000004</v>
      </c>
      <c r="L307" s="11">
        <v>-3.2495381800000001</v>
      </c>
      <c r="M307" s="11">
        <v>-17.813762700000002</v>
      </c>
      <c r="N307" s="11">
        <v>66.960676879000005</v>
      </c>
      <c r="O307" s="11">
        <v>28</v>
      </c>
      <c r="P307" s="11">
        <v>1.3769047299999999</v>
      </c>
      <c r="Q307" s="33">
        <v>0.87779396099999996</v>
      </c>
      <c r="T307" s="10"/>
      <c r="U307" s="20"/>
      <c r="V307" s="17"/>
    </row>
  </sheetData>
  <sortState xmlns:xlrd2="http://schemas.microsoft.com/office/spreadsheetml/2017/richdata2" ref="X87:Y291">
    <sortCondition ref="X87:X291"/>
  </sortState>
  <mergeCells count="8">
    <mergeCell ref="A5:A25"/>
    <mergeCell ref="A62:A77"/>
    <mergeCell ref="A78:A82"/>
    <mergeCell ref="B1:M1"/>
    <mergeCell ref="B2:M2"/>
    <mergeCell ref="A26:A33"/>
    <mergeCell ref="A34:A49"/>
    <mergeCell ref="A50:A61"/>
  </mergeCells>
  <conditionalFormatting sqref="C9:M9">
    <cfRule type="cellIs" dxfId="284" priority="52" operator="greaterThanOrEqual">
      <formula>0.625</formula>
    </cfRule>
    <cfRule type="cellIs" dxfId="283" priority="51" operator="lessThan">
      <formula>0.625</formula>
    </cfRule>
  </conditionalFormatting>
  <conditionalFormatting sqref="C37:M37">
    <cfRule type="cellIs" dxfId="282" priority="54" operator="greaterThanOrEqual">
      <formula>0.625</formula>
    </cfRule>
    <cfRule type="cellIs" dxfId="281" priority="53" operator="lessThan">
      <formula>0.625</formula>
    </cfRule>
  </conditionalFormatting>
  <conditionalFormatting sqref="C41:M41 C45:M45 C49:M49">
    <cfRule type="cellIs" dxfId="280" priority="56" operator="greaterThanOrEqual">
      <formula>0.6</formula>
    </cfRule>
    <cfRule type="cellIs" dxfId="279" priority="55" operator="lessThan">
      <formula>0.6</formula>
    </cfRule>
  </conditionalFormatting>
  <conditionalFormatting sqref="D86:D307">
    <cfRule type="containsText" dxfId="278" priority="23" operator="containsText" text="Jonathon Van Ness">
      <formula>NOT(ISERROR(SEARCH("Jonathon Van Ness",D86)))</formula>
    </cfRule>
    <cfRule type="containsText" dxfId="277" priority="24" operator="containsText" text="Reagan Samples">
      <formula>NOT(ISERROR(SEARCH("Reagan Samples",D86)))</formula>
    </cfRule>
    <cfRule type="containsText" dxfId="276" priority="27" operator="containsText" text="Sebastian Garcia">
      <formula>NOT(ISERROR(SEARCH("Sebastian Garcia",D86)))</formula>
    </cfRule>
    <cfRule type="containsText" dxfId="275" priority="26" operator="containsText" text="Drew Craig">
      <formula>NOT(ISERROR(SEARCH("Drew Craig",D86)))</formula>
    </cfRule>
    <cfRule type="containsText" dxfId="274" priority="25" operator="containsText" text="Gabriel Esteban">
      <formula>NOT(ISERROR(SEARCH("Gabriel Esteban",D86)))</formula>
    </cfRule>
  </conditionalFormatting>
  <conditionalFormatting sqref="E87:E307">
    <cfRule type="containsText" dxfId="273" priority="20" operator="containsText" text="FB">
      <formula>NOT(ISERROR(SEARCH("FB",E87)))</formula>
    </cfRule>
    <cfRule type="containsText" dxfId="272" priority="21" operator="containsText" text="SL">
      <formula>NOT(ISERROR(SEARCH("SL",E87)))</formula>
    </cfRule>
    <cfRule type="containsText" dxfId="271" priority="22" operator="containsText" text="CH">
      <formula>NOT(ISERROR(SEARCH("CH",E87)))</formula>
    </cfRule>
  </conditionalFormatting>
  <conditionalFormatting sqref="I87:I307">
    <cfRule type="containsText" dxfId="270" priority="9" operator="containsText" text="HBP">
      <formula>NOT(ISERROR(SEARCH("HBP",I87)))</formula>
    </cfRule>
    <cfRule type="containsText" dxfId="269" priority="10" operator="containsText" text="BB">
      <formula>NOT(ISERROR(SEARCH("BB",I87)))</formula>
    </cfRule>
    <cfRule type="containsText" dxfId="268" priority="11" operator="containsText" text="K">
      <formula>NOT(ISERROR(SEARCH("K",I87)))</formula>
    </cfRule>
    <cfRule type="containsText" dxfId="267" priority="12" operator="containsText" text="bK">
      <formula>NOT(ISERROR(SEARCH("bK",I87)))</formula>
    </cfRule>
    <cfRule type="containsText" dxfId="266" priority="13" operator="containsText" text="In Play">
      <formula>NOT(ISERROR(SEARCH("In Play",I87)))</formula>
    </cfRule>
  </conditionalFormatting>
  <conditionalFormatting sqref="J86:J307">
    <cfRule type="containsText" dxfId="265" priority="35" operator="containsText" text="Michael Chang">
      <formula>NOT(ISERROR(SEARCH("Michael Chang",J86)))</formula>
    </cfRule>
    <cfRule type="containsText" dxfId="264" priority="36" operator="containsText" text="Aidan Young">
      <formula>NOT(ISERROR(SEARCH("Aidan Young",J86)))</formula>
    </cfRule>
    <cfRule type="containsText" dxfId="263" priority="28" operator="containsText" text="Caleb Koontz">
      <formula>NOT(ISERROR(SEARCH("Caleb Koontz",J86)))</formula>
    </cfRule>
    <cfRule type="containsText" dxfId="262" priority="29" operator="containsText" text="Ryan Han">
      <formula>NOT(ISERROR(SEARCH("Ryan Han",J86)))</formula>
    </cfRule>
    <cfRule type="containsText" dxfId="261" priority="30" operator="containsText" text="Reagan Samples">
      <formula>NOT(ISERROR(SEARCH("Reagan Samples",J86)))</formula>
    </cfRule>
    <cfRule type="containsText" dxfId="260" priority="31" operator="containsText" text="Jackson Orr">
      <formula>NOT(ISERROR(SEARCH("Jackson Orr",J86)))</formula>
    </cfRule>
    <cfRule type="containsText" dxfId="259" priority="32" operator="containsText" text="Carter Walsh">
      <formula>NOT(ISERROR(SEARCH("Carter Walsh",J86)))</formula>
    </cfRule>
    <cfRule type="containsText" dxfId="258" priority="33" operator="containsText" text="Easton Steck">
      <formula>NOT(ISERROR(SEARCH("Easton Steck",J86)))</formula>
    </cfRule>
    <cfRule type="containsText" dxfId="257" priority="34" operator="containsText" text="Michael Caranna">
      <formula>NOT(ISERROR(SEARCH("Michael Caranna",J86)))</formula>
    </cfRule>
  </conditionalFormatting>
  <conditionalFormatting sqref="T87:T307">
    <cfRule type="containsText" dxfId="256" priority="16" operator="containsText" text="CH">
      <formula>NOT(ISERROR(SEARCH("CH",T87)))</formula>
    </cfRule>
    <cfRule type="containsText" dxfId="255" priority="15" operator="containsText" text="SL">
      <formula>NOT(ISERROR(SEARCH("SL",T87)))</formula>
    </cfRule>
    <cfRule type="containsText" dxfId="254" priority="14" operator="containsText" text="FB">
      <formula>NOT(ISERROR(SEARCH("FB",T87)))</formula>
    </cfRule>
  </conditionalFormatting>
  <conditionalFormatting sqref="X87:X291">
    <cfRule type="containsText" dxfId="253" priority="8" operator="containsText" text="CH">
      <formula>NOT(ISERROR(SEARCH("CH",X87)))</formula>
    </cfRule>
    <cfRule type="containsText" dxfId="252" priority="7" operator="containsText" text="SL">
      <formula>NOT(ISERROR(SEARCH("SL",X87)))</formula>
    </cfRule>
    <cfRule type="containsText" dxfId="251" priority="6" operator="containsText" text="FB">
      <formula>NOT(ISERROR(SEARCH("FB",X87)))</formula>
    </cfRule>
  </conditionalFormatting>
  <conditionalFormatting sqref="Y87:Y291">
    <cfRule type="containsText" dxfId="250" priority="5" operator="containsText" text="In Play">
      <formula>NOT(ISERROR(SEARCH("In Play",Y87)))</formula>
    </cfRule>
    <cfRule type="containsText" dxfId="249" priority="4" operator="containsText" text="bK">
      <formula>NOT(ISERROR(SEARCH("bK",Y87)))</formula>
    </cfRule>
    <cfRule type="containsText" dxfId="248" priority="3" operator="containsText" text="K">
      <formula>NOT(ISERROR(SEARCH("K",Y87)))</formula>
    </cfRule>
    <cfRule type="containsText" dxfId="247" priority="2" operator="containsText" text="BB">
      <formula>NOT(ISERROR(SEARCH("BB",Y87)))</formula>
    </cfRule>
    <cfRule type="containsText" dxfId="246" priority="1" operator="containsText" text="HBP">
      <formula>NOT(ISERROR(SEARCH("HBP",Y87)))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6EDA1-13B4-8547-BE64-19C7D0E39A46}">
  <dimension ref="A1:AC40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X97" sqref="X97"/>
    </sheetView>
  </sheetViews>
  <sheetFormatPr baseColWidth="10" defaultRowHeight="16" x14ac:dyDescent="0.2"/>
  <cols>
    <col min="1" max="1" width="7.83203125" bestFit="1" customWidth="1"/>
    <col min="2" max="2" width="11.83203125" customWidth="1"/>
    <col min="3" max="13" width="11.83203125" style="10" customWidth="1"/>
    <col min="16" max="16" width="11.1640625" style="5" bestFit="1" customWidth="1"/>
  </cols>
  <sheetData>
    <row r="1" spans="1:16" ht="33" thickBot="1" x14ac:dyDescent="0.45">
      <c r="B1" s="256" t="s">
        <v>128</v>
      </c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8"/>
      <c r="P1" s="220"/>
    </row>
    <row r="2" spans="1:16" ht="23" thickBot="1" x14ac:dyDescent="0.25">
      <c r="B2" s="259" t="s">
        <v>130</v>
      </c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1"/>
      <c r="P2" s="220"/>
    </row>
    <row r="3" spans="1:16" ht="18" customHeight="1" x14ac:dyDescent="0.2">
      <c r="B3" s="24" t="s">
        <v>1</v>
      </c>
      <c r="C3" s="25">
        <v>46193</v>
      </c>
      <c r="D3" s="25">
        <v>46200</v>
      </c>
      <c r="E3" s="25">
        <v>46214</v>
      </c>
      <c r="F3" s="25">
        <v>46221</v>
      </c>
      <c r="G3" s="25">
        <v>46224</v>
      </c>
      <c r="H3" s="25">
        <v>46228</v>
      </c>
      <c r="I3" s="148"/>
      <c r="J3" s="25"/>
      <c r="K3" s="25" t="s">
        <v>226</v>
      </c>
      <c r="L3" s="25"/>
      <c r="M3" s="26"/>
      <c r="P3" s="220"/>
    </row>
    <row r="4" spans="1:16" ht="17" thickBot="1" x14ac:dyDescent="0.25">
      <c r="B4" s="27" t="s">
        <v>61</v>
      </c>
      <c r="C4" s="28" t="s">
        <v>202</v>
      </c>
      <c r="D4" s="28" t="s">
        <v>202</v>
      </c>
      <c r="E4" s="28" t="s">
        <v>202</v>
      </c>
      <c r="F4" s="28" t="s">
        <v>202</v>
      </c>
      <c r="G4" s="28" t="s">
        <v>198</v>
      </c>
      <c r="H4" s="141" t="s">
        <v>202</v>
      </c>
      <c r="I4" s="149"/>
      <c r="J4" s="28"/>
      <c r="K4" s="28"/>
      <c r="L4" s="28"/>
      <c r="M4" s="29"/>
      <c r="P4" s="220"/>
    </row>
    <row r="5" spans="1:16" ht="16" customHeight="1" x14ac:dyDescent="0.2">
      <c r="A5" s="262" t="s">
        <v>62</v>
      </c>
      <c r="B5" s="30" t="s">
        <v>63</v>
      </c>
      <c r="C5" s="134">
        <v>2</v>
      </c>
      <c r="D5" s="134">
        <v>1.6666666666666667</v>
      </c>
      <c r="E5" s="134">
        <v>3</v>
      </c>
      <c r="F5" s="134">
        <v>3</v>
      </c>
      <c r="G5" s="134">
        <v>0</v>
      </c>
      <c r="H5" s="31">
        <v>2.6666666666666665</v>
      </c>
      <c r="I5" s="137">
        <v>0</v>
      </c>
      <c r="J5" s="137">
        <v>0</v>
      </c>
      <c r="K5" s="31">
        <v>0</v>
      </c>
      <c r="L5" s="31">
        <v>0</v>
      </c>
      <c r="M5" s="31">
        <v>0</v>
      </c>
      <c r="P5" s="220"/>
    </row>
    <row r="6" spans="1:16" x14ac:dyDescent="0.2">
      <c r="A6" s="263"/>
      <c r="B6" s="30" t="s">
        <v>68</v>
      </c>
      <c r="C6" s="135">
        <v>40</v>
      </c>
      <c r="D6" s="135">
        <v>54</v>
      </c>
      <c r="E6" s="135">
        <v>68</v>
      </c>
      <c r="F6" s="135">
        <v>71</v>
      </c>
      <c r="G6" s="135">
        <v>19</v>
      </c>
      <c r="H6" s="32">
        <v>67</v>
      </c>
      <c r="I6" s="138">
        <v>0</v>
      </c>
      <c r="J6" s="138">
        <v>0</v>
      </c>
      <c r="K6" s="32">
        <v>0</v>
      </c>
      <c r="L6" s="32">
        <v>0</v>
      </c>
      <c r="M6" s="32">
        <v>0</v>
      </c>
      <c r="P6" s="220"/>
    </row>
    <row r="7" spans="1:16" x14ac:dyDescent="0.2">
      <c r="A7" s="263"/>
      <c r="B7" s="30" t="s">
        <v>69</v>
      </c>
      <c r="C7" s="135">
        <v>20</v>
      </c>
      <c r="D7" s="135">
        <v>23</v>
      </c>
      <c r="E7" s="135">
        <v>31</v>
      </c>
      <c r="F7" s="135">
        <v>36</v>
      </c>
      <c r="G7" s="135">
        <v>0</v>
      </c>
      <c r="H7" s="32">
        <v>33</v>
      </c>
      <c r="I7" s="138">
        <v>0</v>
      </c>
      <c r="J7" s="138">
        <v>0</v>
      </c>
      <c r="K7" s="32">
        <v>0</v>
      </c>
      <c r="L7" s="32">
        <v>0</v>
      </c>
      <c r="M7" s="32">
        <v>0</v>
      </c>
      <c r="P7" s="220"/>
    </row>
    <row r="8" spans="1:16" x14ac:dyDescent="0.2">
      <c r="A8" s="263"/>
      <c r="B8" s="30" t="s">
        <v>59</v>
      </c>
      <c r="C8" s="135">
        <v>20</v>
      </c>
      <c r="D8" s="135">
        <v>31</v>
      </c>
      <c r="E8" s="135">
        <v>37</v>
      </c>
      <c r="F8" s="135">
        <v>35</v>
      </c>
      <c r="G8" s="135">
        <v>19</v>
      </c>
      <c r="H8" s="32">
        <v>34</v>
      </c>
      <c r="I8" s="138">
        <v>0</v>
      </c>
      <c r="J8" s="138">
        <v>0</v>
      </c>
      <c r="K8" s="32">
        <v>0</v>
      </c>
      <c r="L8" s="32">
        <v>0</v>
      </c>
      <c r="M8" s="32">
        <v>0</v>
      </c>
      <c r="P8" s="220"/>
    </row>
    <row r="9" spans="1:16" x14ac:dyDescent="0.2">
      <c r="A9" s="263"/>
      <c r="B9" s="30" t="s">
        <v>70</v>
      </c>
      <c r="C9" s="33">
        <f t="shared" ref="C9:M9" si="0">C8/C6</f>
        <v>0.5</v>
      </c>
      <c r="D9" s="33">
        <f t="shared" si="0"/>
        <v>0.57407407407407407</v>
      </c>
      <c r="E9" s="33">
        <f t="shared" si="0"/>
        <v>0.54411764705882348</v>
      </c>
      <c r="F9" s="33">
        <f t="shared" si="0"/>
        <v>0.49295774647887325</v>
      </c>
      <c r="G9" s="33">
        <f t="shared" si="0"/>
        <v>1</v>
      </c>
      <c r="H9" s="142">
        <f t="shared" si="0"/>
        <v>0.5074626865671642</v>
      </c>
      <c r="I9" s="150" t="e">
        <f t="shared" si="0"/>
        <v>#DIV/0!</v>
      </c>
      <c r="J9" s="33" t="e">
        <f t="shared" si="0"/>
        <v>#DIV/0!</v>
      </c>
      <c r="K9" s="33" t="e">
        <f t="shared" si="0"/>
        <v>#DIV/0!</v>
      </c>
      <c r="L9" s="33" t="e">
        <f t="shared" si="0"/>
        <v>#DIV/0!</v>
      </c>
      <c r="M9" s="33" t="e">
        <f t="shared" si="0"/>
        <v>#DIV/0!</v>
      </c>
      <c r="P9" s="220"/>
    </row>
    <row r="10" spans="1:16" x14ac:dyDescent="0.2">
      <c r="A10" s="263"/>
      <c r="B10" s="30" t="s">
        <v>71</v>
      </c>
      <c r="C10" s="14">
        <f t="shared" ref="C10:M10" si="1">C6/C5</f>
        <v>20</v>
      </c>
      <c r="D10" s="14">
        <f t="shared" si="1"/>
        <v>32.4</v>
      </c>
      <c r="E10" s="14">
        <f t="shared" si="1"/>
        <v>22.666666666666668</v>
      </c>
      <c r="F10" s="14">
        <f t="shared" si="1"/>
        <v>23.666666666666668</v>
      </c>
      <c r="G10" s="14" t="e">
        <f t="shared" si="1"/>
        <v>#DIV/0!</v>
      </c>
      <c r="H10" s="143">
        <f t="shared" si="1"/>
        <v>25.125</v>
      </c>
      <c r="I10" s="151" t="e">
        <f t="shared" si="1"/>
        <v>#DIV/0!</v>
      </c>
      <c r="J10" s="14" t="e">
        <f t="shared" si="1"/>
        <v>#DIV/0!</v>
      </c>
      <c r="K10" s="14" t="e">
        <f t="shared" si="1"/>
        <v>#DIV/0!</v>
      </c>
      <c r="L10" s="14" t="e">
        <f t="shared" si="1"/>
        <v>#DIV/0!</v>
      </c>
      <c r="M10" s="14" t="e">
        <f t="shared" si="1"/>
        <v>#DIV/0!</v>
      </c>
      <c r="P10" s="220"/>
    </row>
    <row r="11" spans="1:16" x14ac:dyDescent="0.2">
      <c r="A11" s="263"/>
      <c r="B11" s="30" t="s">
        <v>72</v>
      </c>
      <c r="C11" s="11">
        <f t="shared" ref="C11:M11" si="2">C6/C12</f>
        <v>4.4444444444444446</v>
      </c>
      <c r="D11" s="11">
        <f t="shared" si="2"/>
        <v>5.4</v>
      </c>
      <c r="E11" s="11">
        <f t="shared" si="2"/>
        <v>4.5333333333333332</v>
      </c>
      <c r="F11" s="11">
        <f t="shared" si="2"/>
        <v>3.9444444444444446</v>
      </c>
      <c r="G11" s="11" t="e">
        <f t="shared" si="2"/>
        <v>#DIV/0!</v>
      </c>
      <c r="H11" s="144">
        <f t="shared" si="2"/>
        <v>4.4666666666666668</v>
      </c>
      <c r="I11" s="152" t="e">
        <f t="shared" si="2"/>
        <v>#DIV/0!</v>
      </c>
      <c r="J11" s="11" t="e">
        <f t="shared" si="2"/>
        <v>#DIV/0!</v>
      </c>
      <c r="K11" s="11" t="e">
        <f t="shared" si="2"/>
        <v>#DIV/0!</v>
      </c>
      <c r="L11" s="11" t="e">
        <f t="shared" si="2"/>
        <v>#DIV/0!</v>
      </c>
      <c r="M11" s="11" t="e">
        <f t="shared" si="2"/>
        <v>#DIV/0!</v>
      </c>
      <c r="P11" s="220"/>
    </row>
    <row r="12" spans="1:16" x14ac:dyDescent="0.2">
      <c r="A12" s="263"/>
      <c r="B12" s="30" t="s">
        <v>73</v>
      </c>
      <c r="C12" s="135">
        <v>9</v>
      </c>
      <c r="D12" s="135">
        <v>10</v>
      </c>
      <c r="E12" s="135">
        <v>15</v>
      </c>
      <c r="F12" s="135">
        <v>18</v>
      </c>
      <c r="G12" s="135">
        <v>0</v>
      </c>
      <c r="H12" s="32">
        <v>15</v>
      </c>
      <c r="I12" s="138">
        <v>0</v>
      </c>
      <c r="J12" s="138">
        <v>0</v>
      </c>
      <c r="K12" s="32">
        <v>0</v>
      </c>
      <c r="L12" s="32">
        <v>0</v>
      </c>
      <c r="M12" s="32">
        <v>0</v>
      </c>
      <c r="P12" s="220"/>
    </row>
    <row r="13" spans="1:16" x14ac:dyDescent="0.2">
      <c r="A13" s="263"/>
      <c r="B13" s="30" t="s">
        <v>74</v>
      </c>
      <c r="C13" s="135">
        <v>0</v>
      </c>
      <c r="D13" s="135">
        <v>2</v>
      </c>
      <c r="E13" s="135">
        <v>2</v>
      </c>
      <c r="F13" s="135">
        <v>6</v>
      </c>
      <c r="G13" s="135">
        <v>0</v>
      </c>
      <c r="H13" s="32">
        <v>3</v>
      </c>
      <c r="I13" s="138">
        <v>0</v>
      </c>
      <c r="J13" s="138">
        <v>0</v>
      </c>
      <c r="K13" s="32">
        <v>0</v>
      </c>
      <c r="L13" s="32">
        <v>0</v>
      </c>
      <c r="M13" s="32">
        <v>0</v>
      </c>
      <c r="P13" s="220"/>
    </row>
    <row r="14" spans="1:16" x14ac:dyDescent="0.2">
      <c r="A14" s="263"/>
      <c r="B14" s="30" t="s">
        <v>48</v>
      </c>
      <c r="C14" s="135">
        <v>1</v>
      </c>
      <c r="D14" s="135">
        <v>3</v>
      </c>
      <c r="E14" s="135">
        <v>2</v>
      </c>
      <c r="F14" s="135">
        <v>2</v>
      </c>
      <c r="G14" s="135">
        <v>0</v>
      </c>
      <c r="H14" s="32">
        <v>5</v>
      </c>
      <c r="I14" s="138">
        <v>0</v>
      </c>
      <c r="J14" s="138">
        <v>0</v>
      </c>
      <c r="K14" s="32">
        <v>0</v>
      </c>
      <c r="L14" s="32">
        <v>0</v>
      </c>
      <c r="M14" s="32">
        <v>0</v>
      </c>
      <c r="P14" s="220"/>
    </row>
    <row r="15" spans="1:16" x14ac:dyDescent="0.2">
      <c r="A15" s="263"/>
      <c r="B15" s="30" t="s">
        <v>75</v>
      </c>
      <c r="C15" s="33">
        <f t="shared" ref="C15:M15" si="3">C14/C12</f>
        <v>0.1111111111111111</v>
      </c>
      <c r="D15" s="33">
        <f t="shared" si="3"/>
        <v>0.3</v>
      </c>
      <c r="E15" s="33">
        <f t="shared" si="3"/>
        <v>0.13333333333333333</v>
      </c>
      <c r="F15" s="33">
        <f t="shared" si="3"/>
        <v>0.1111111111111111</v>
      </c>
      <c r="G15" s="33" t="e">
        <f t="shared" si="3"/>
        <v>#DIV/0!</v>
      </c>
      <c r="H15" s="142">
        <f t="shared" si="3"/>
        <v>0.33333333333333331</v>
      </c>
      <c r="I15" s="150" t="e">
        <f t="shared" si="3"/>
        <v>#DIV/0!</v>
      </c>
      <c r="J15" s="33" t="e">
        <f t="shared" si="3"/>
        <v>#DIV/0!</v>
      </c>
      <c r="K15" s="33" t="e">
        <f t="shared" si="3"/>
        <v>#DIV/0!</v>
      </c>
      <c r="L15" s="33" t="e">
        <f t="shared" si="3"/>
        <v>#DIV/0!</v>
      </c>
      <c r="M15" s="33" t="e">
        <f t="shared" si="3"/>
        <v>#DIV/0!</v>
      </c>
      <c r="P15" s="220"/>
    </row>
    <row r="16" spans="1:16" x14ac:dyDescent="0.2">
      <c r="A16" s="263"/>
      <c r="B16" s="30" t="s">
        <v>76</v>
      </c>
      <c r="C16" s="11">
        <f t="shared" ref="C16:M16" si="4">(C14/C5)*7</f>
        <v>3.5</v>
      </c>
      <c r="D16" s="11">
        <f t="shared" si="4"/>
        <v>12.599999999999998</v>
      </c>
      <c r="E16" s="11">
        <f t="shared" si="4"/>
        <v>4.6666666666666661</v>
      </c>
      <c r="F16" s="11">
        <f t="shared" si="4"/>
        <v>4.6666666666666661</v>
      </c>
      <c r="G16" s="11" t="e">
        <f t="shared" si="4"/>
        <v>#DIV/0!</v>
      </c>
      <c r="H16" s="144">
        <f t="shared" si="4"/>
        <v>13.125</v>
      </c>
      <c r="I16" s="152" t="e">
        <f t="shared" si="4"/>
        <v>#DIV/0!</v>
      </c>
      <c r="J16" s="11" t="e">
        <f t="shared" si="4"/>
        <v>#DIV/0!</v>
      </c>
      <c r="K16" s="11" t="e">
        <f t="shared" si="4"/>
        <v>#DIV/0!</v>
      </c>
      <c r="L16" s="11" t="e">
        <f t="shared" si="4"/>
        <v>#DIV/0!</v>
      </c>
      <c r="M16" s="11" t="e">
        <f t="shared" si="4"/>
        <v>#DIV/0!</v>
      </c>
      <c r="P16" s="220"/>
    </row>
    <row r="17" spans="1:16" x14ac:dyDescent="0.2">
      <c r="A17" s="263"/>
      <c r="B17" s="30" t="s">
        <v>41</v>
      </c>
      <c r="C17" s="136">
        <v>2</v>
      </c>
      <c r="D17" s="136">
        <v>0</v>
      </c>
      <c r="E17" s="136">
        <v>0</v>
      </c>
      <c r="F17" s="136">
        <v>0</v>
      </c>
      <c r="G17" s="136">
        <v>0</v>
      </c>
      <c r="H17" s="34">
        <v>0</v>
      </c>
      <c r="I17" s="139">
        <v>0</v>
      </c>
      <c r="J17" s="139">
        <v>0</v>
      </c>
      <c r="K17" s="34">
        <v>0</v>
      </c>
      <c r="L17" s="34">
        <v>0</v>
      </c>
      <c r="M17" s="34">
        <v>0</v>
      </c>
      <c r="P17" s="220"/>
    </row>
    <row r="18" spans="1:16" x14ac:dyDescent="0.2">
      <c r="A18" s="263"/>
      <c r="B18" s="30" t="s">
        <v>79</v>
      </c>
      <c r="C18" s="35">
        <f t="shared" ref="C18:M18" si="5">(C14+C13)/C5</f>
        <v>0.5</v>
      </c>
      <c r="D18" s="35">
        <f t="shared" si="5"/>
        <v>3</v>
      </c>
      <c r="E18" s="35">
        <f t="shared" si="5"/>
        <v>1.3333333333333333</v>
      </c>
      <c r="F18" s="35">
        <f t="shared" si="5"/>
        <v>2.6666666666666665</v>
      </c>
      <c r="G18" s="35" t="e">
        <f t="shared" si="5"/>
        <v>#DIV/0!</v>
      </c>
      <c r="H18" s="145">
        <f t="shared" si="5"/>
        <v>3</v>
      </c>
      <c r="I18" s="153" t="e">
        <f t="shared" si="5"/>
        <v>#DIV/0!</v>
      </c>
      <c r="J18" s="35" t="e">
        <f t="shared" si="5"/>
        <v>#DIV/0!</v>
      </c>
      <c r="K18" s="35" t="e">
        <f t="shared" si="5"/>
        <v>#DIV/0!</v>
      </c>
      <c r="L18" s="35" t="e">
        <f t="shared" si="5"/>
        <v>#DIV/0!</v>
      </c>
      <c r="M18" s="35" t="e">
        <f t="shared" si="5"/>
        <v>#DIV/0!</v>
      </c>
      <c r="P18" s="220"/>
    </row>
    <row r="19" spans="1:16" x14ac:dyDescent="0.2">
      <c r="A19" s="263"/>
      <c r="B19" s="30" t="s">
        <v>81</v>
      </c>
      <c r="C19" s="135">
        <v>0</v>
      </c>
      <c r="D19" s="135">
        <v>0</v>
      </c>
      <c r="E19" s="135">
        <v>4</v>
      </c>
      <c r="F19" s="135">
        <v>3</v>
      </c>
      <c r="G19" s="135">
        <v>0</v>
      </c>
      <c r="H19" s="32">
        <v>1</v>
      </c>
      <c r="I19" s="138">
        <v>0</v>
      </c>
      <c r="J19" s="138">
        <v>0</v>
      </c>
      <c r="K19" s="32">
        <v>0</v>
      </c>
      <c r="L19" s="32">
        <v>0</v>
      </c>
      <c r="M19" s="32">
        <v>0</v>
      </c>
      <c r="P19" s="220"/>
    </row>
    <row r="20" spans="1:16" x14ac:dyDescent="0.2">
      <c r="A20" s="263"/>
      <c r="B20" s="30" t="s">
        <v>82</v>
      </c>
      <c r="C20" s="135">
        <v>2</v>
      </c>
      <c r="D20" s="135">
        <v>0</v>
      </c>
      <c r="E20" s="135">
        <v>2</v>
      </c>
      <c r="F20" s="135">
        <v>0</v>
      </c>
      <c r="G20" s="135">
        <v>0</v>
      </c>
      <c r="H20" s="32">
        <v>2</v>
      </c>
      <c r="I20" s="138">
        <v>0</v>
      </c>
      <c r="J20" s="138">
        <v>0</v>
      </c>
      <c r="K20" s="32">
        <v>0</v>
      </c>
      <c r="L20" s="32">
        <v>0</v>
      </c>
      <c r="M20" s="32">
        <v>0</v>
      </c>
      <c r="P20" s="220"/>
    </row>
    <row r="21" spans="1:16" x14ac:dyDescent="0.2">
      <c r="A21" s="263"/>
      <c r="B21" s="30" t="s">
        <v>83</v>
      </c>
      <c r="C21" s="11">
        <f t="shared" ref="C21:M21" si="6">((C19+C20)/C5)*7</f>
        <v>7</v>
      </c>
      <c r="D21" s="11">
        <f t="shared" si="6"/>
        <v>0</v>
      </c>
      <c r="E21" s="11">
        <f t="shared" si="6"/>
        <v>14</v>
      </c>
      <c r="F21" s="11">
        <f t="shared" si="6"/>
        <v>7</v>
      </c>
      <c r="G21" s="11" t="e">
        <f t="shared" si="6"/>
        <v>#DIV/0!</v>
      </c>
      <c r="H21" s="144">
        <f t="shared" si="6"/>
        <v>7.875</v>
      </c>
      <c r="I21" s="152" t="e">
        <f t="shared" si="6"/>
        <v>#DIV/0!</v>
      </c>
      <c r="J21" s="11" t="e">
        <f t="shared" si="6"/>
        <v>#DIV/0!</v>
      </c>
      <c r="K21" s="11" t="e">
        <f t="shared" si="6"/>
        <v>#DIV/0!</v>
      </c>
      <c r="L21" s="11" t="e">
        <f t="shared" si="6"/>
        <v>#DIV/0!</v>
      </c>
      <c r="M21" s="11" t="e">
        <f t="shared" si="6"/>
        <v>#DIV/0!</v>
      </c>
      <c r="P21" s="220"/>
    </row>
    <row r="22" spans="1:16" x14ac:dyDescent="0.2">
      <c r="A22" s="263"/>
      <c r="B22" s="30" t="s">
        <v>70</v>
      </c>
      <c r="C22" s="33">
        <f t="shared" ref="C22:M22" si="7">(C19+C20)/C12</f>
        <v>0.22222222222222221</v>
      </c>
      <c r="D22" s="33">
        <f t="shared" si="7"/>
        <v>0</v>
      </c>
      <c r="E22" s="33">
        <f t="shared" si="7"/>
        <v>0.4</v>
      </c>
      <c r="F22" s="33">
        <f t="shared" si="7"/>
        <v>0.16666666666666666</v>
      </c>
      <c r="G22" s="33" t="e">
        <f t="shared" si="7"/>
        <v>#DIV/0!</v>
      </c>
      <c r="H22" s="142">
        <f t="shared" si="7"/>
        <v>0.2</v>
      </c>
      <c r="I22" s="150" t="e">
        <f t="shared" si="7"/>
        <v>#DIV/0!</v>
      </c>
      <c r="J22" s="33" t="e">
        <f t="shared" si="7"/>
        <v>#DIV/0!</v>
      </c>
      <c r="K22" s="33" t="e">
        <f t="shared" si="7"/>
        <v>#DIV/0!</v>
      </c>
      <c r="L22" s="33" t="e">
        <f t="shared" si="7"/>
        <v>#DIV/0!</v>
      </c>
      <c r="M22" s="33" t="e">
        <f t="shared" si="7"/>
        <v>#DIV/0!</v>
      </c>
      <c r="P22" s="220"/>
    </row>
    <row r="23" spans="1:16" x14ac:dyDescent="0.2">
      <c r="A23" s="263"/>
      <c r="B23" s="30" t="s">
        <v>84</v>
      </c>
      <c r="C23" s="11">
        <f t="shared" ref="C23:M23" si="8">(C19+C20)/C14</f>
        <v>2</v>
      </c>
      <c r="D23" s="11">
        <f t="shared" si="8"/>
        <v>0</v>
      </c>
      <c r="E23" s="11">
        <f t="shared" si="8"/>
        <v>3</v>
      </c>
      <c r="F23" s="11">
        <f t="shared" si="8"/>
        <v>1.5</v>
      </c>
      <c r="G23" s="11" t="e">
        <f t="shared" si="8"/>
        <v>#DIV/0!</v>
      </c>
      <c r="H23" s="144">
        <f t="shared" si="8"/>
        <v>0.6</v>
      </c>
      <c r="I23" s="152" t="e">
        <f t="shared" si="8"/>
        <v>#DIV/0!</v>
      </c>
      <c r="J23" s="11" t="e">
        <f t="shared" si="8"/>
        <v>#DIV/0!</v>
      </c>
      <c r="K23" s="11" t="e">
        <f t="shared" si="8"/>
        <v>#DIV/0!</v>
      </c>
      <c r="L23" s="11" t="e">
        <f t="shared" si="8"/>
        <v>#DIV/0!</v>
      </c>
      <c r="M23" s="11" t="e">
        <f t="shared" si="8"/>
        <v>#DIV/0!</v>
      </c>
      <c r="P23" s="220"/>
    </row>
    <row r="24" spans="1:16" x14ac:dyDescent="0.2">
      <c r="A24" s="263"/>
      <c r="B24" s="30" t="s">
        <v>85</v>
      </c>
      <c r="C24" s="33">
        <f t="shared" ref="C24:M24" si="9">C22-C15</f>
        <v>0.1111111111111111</v>
      </c>
      <c r="D24" s="33">
        <f t="shared" si="9"/>
        <v>-0.3</v>
      </c>
      <c r="E24" s="33">
        <f t="shared" si="9"/>
        <v>0.26666666666666672</v>
      </c>
      <c r="F24" s="33">
        <f t="shared" si="9"/>
        <v>5.5555555555555552E-2</v>
      </c>
      <c r="G24" s="33" t="e">
        <f t="shared" si="9"/>
        <v>#DIV/0!</v>
      </c>
      <c r="H24" s="142">
        <f t="shared" si="9"/>
        <v>-0.1333333333333333</v>
      </c>
      <c r="I24" s="150" t="e">
        <f t="shared" si="9"/>
        <v>#DIV/0!</v>
      </c>
      <c r="J24" s="33" t="e">
        <f t="shared" si="9"/>
        <v>#DIV/0!</v>
      </c>
      <c r="K24" s="33" t="e">
        <f t="shared" si="9"/>
        <v>#DIV/0!</v>
      </c>
      <c r="L24" s="33" t="e">
        <f t="shared" si="9"/>
        <v>#DIV/0!</v>
      </c>
      <c r="M24" s="33" t="e">
        <f t="shared" si="9"/>
        <v>#DIV/0!</v>
      </c>
      <c r="P24" s="220"/>
    </row>
    <row r="25" spans="1:16" ht="17" thickBot="1" x14ac:dyDescent="0.25">
      <c r="A25" s="264"/>
      <c r="B25" s="30" t="s">
        <v>86</v>
      </c>
      <c r="C25" s="36">
        <f t="shared" ref="C25:M25" si="10">C13/(C12-C14-C17)</f>
        <v>0</v>
      </c>
      <c r="D25" s="36">
        <f t="shared" si="10"/>
        <v>0.2857142857142857</v>
      </c>
      <c r="E25" s="36">
        <f t="shared" si="10"/>
        <v>0.15384615384615385</v>
      </c>
      <c r="F25" s="36">
        <f t="shared" si="10"/>
        <v>0.375</v>
      </c>
      <c r="G25" s="36" t="e">
        <f t="shared" si="10"/>
        <v>#DIV/0!</v>
      </c>
      <c r="H25" s="146">
        <f t="shared" si="10"/>
        <v>0.3</v>
      </c>
      <c r="I25" s="154" t="e">
        <f t="shared" si="10"/>
        <v>#DIV/0!</v>
      </c>
      <c r="J25" s="36" t="e">
        <f t="shared" si="10"/>
        <v>#DIV/0!</v>
      </c>
      <c r="K25" s="36" t="e">
        <f t="shared" si="10"/>
        <v>#DIV/0!</v>
      </c>
      <c r="L25" s="36" t="e">
        <f t="shared" si="10"/>
        <v>#DIV/0!</v>
      </c>
      <c r="M25" s="36" t="e">
        <f t="shared" si="10"/>
        <v>#DIV/0!</v>
      </c>
      <c r="P25" s="220"/>
    </row>
    <row r="26" spans="1:16" ht="16" customHeight="1" x14ac:dyDescent="0.2">
      <c r="A26" s="262" t="s">
        <v>88</v>
      </c>
      <c r="B26" s="37" t="s">
        <v>89</v>
      </c>
      <c r="C26" s="135">
        <v>4</v>
      </c>
      <c r="D26" s="135">
        <v>1</v>
      </c>
      <c r="E26" s="135">
        <v>6</v>
      </c>
      <c r="F26" s="135">
        <v>6</v>
      </c>
      <c r="G26" s="135">
        <v>0</v>
      </c>
      <c r="H26" s="32">
        <v>6</v>
      </c>
      <c r="I26" s="138">
        <v>0</v>
      </c>
      <c r="J26" s="138">
        <v>0</v>
      </c>
      <c r="K26" s="32">
        <v>0</v>
      </c>
      <c r="L26" s="32">
        <v>0</v>
      </c>
      <c r="M26" s="32">
        <v>0</v>
      </c>
      <c r="P26" s="220"/>
    </row>
    <row r="27" spans="1:16" x14ac:dyDescent="0.2">
      <c r="A27" s="263"/>
      <c r="B27" s="38" t="s">
        <v>90</v>
      </c>
      <c r="C27" s="33">
        <f t="shared" ref="C27:M27" si="11">C26/C12</f>
        <v>0.44444444444444442</v>
      </c>
      <c r="D27" s="33">
        <f t="shared" si="11"/>
        <v>0.1</v>
      </c>
      <c r="E27" s="33">
        <f t="shared" si="11"/>
        <v>0.4</v>
      </c>
      <c r="F27" s="33">
        <f t="shared" si="11"/>
        <v>0.33333333333333331</v>
      </c>
      <c r="G27" s="33" t="e">
        <f t="shared" si="11"/>
        <v>#DIV/0!</v>
      </c>
      <c r="H27" s="142">
        <f t="shared" si="11"/>
        <v>0.4</v>
      </c>
      <c r="I27" s="150" t="e">
        <f t="shared" si="11"/>
        <v>#DIV/0!</v>
      </c>
      <c r="J27" s="33" t="e">
        <f t="shared" si="11"/>
        <v>#DIV/0!</v>
      </c>
      <c r="K27" s="33" t="e">
        <f t="shared" si="11"/>
        <v>#DIV/0!</v>
      </c>
      <c r="L27" s="33" t="e">
        <f t="shared" si="11"/>
        <v>#DIV/0!</v>
      </c>
      <c r="M27" s="33" t="e">
        <f t="shared" si="11"/>
        <v>#DIV/0!</v>
      </c>
      <c r="P27" s="220"/>
    </row>
    <row r="28" spans="1:16" x14ac:dyDescent="0.2">
      <c r="A28" s="263"/>
      <c r="B28" s="38" t="s">
        <v>91</v>
      </c>
      <c r="C28" s="135">
        <v>3</v>
      </c>
      <c r="D28" s="135">
        <v>6</v>
      </c>
      <c r="E28" s="135">
        <v>6</v>
      </c>
      <c r="F28" s="135">
        <v>2</v>
      </c>
      <c r="G28" s="135">
        <v>0</v>
      </c>
      <c r="H28" s="32">
        <v>6</v>
      </c>
      <c r="I28" s="138">
        <v>0</v>
      </c>
      <c r="J28" s="138">
        <v>0</v>
      </c>
      <c r="K28" s="32">
        <v>0</v>
      </c>
      <c r="L28" s="32">
        <v>0</v>
      </c>
      <c r="M28" s="32">
        <v>0</v>
      </c>
      <c r="P28" s="220"/>
    </row>
    <row r="29" spans="1:16" x14ac:dyDescent="0.2">
      <c r="A29" s="263"/>
      <c r="B29" s="38" t="s">
        <v>92</v>
      </c>
      <c r="C29" s="33">
        <f t="shared" ref="C29:M29" si="12">C28/C12</f>
        <v>0.33333333333333331</v>
      </c>
      <c r="D29" s="33">
        <f t="shared" si="12"/>
        <v>0.6</v>
      </c>
      <c r="E29" s="33">
        <f t="shared" si="12"/>
        <v>0.4</v>
      </c>
      <c r="F29" s="33">
        <f t="shared" si="12"/>
        <v>0.1111111111111111</v>
      </c>
      <c r="G29" s="33" t="e">
        <f t="shared" si="12"/>
        <v>#DIV/0!</v>
      </c>
      <c r="H29" s="142">
        <f t="shared" si="12"/>
        <v>0.4</v>
      </c>
      <c r="I29" s="150" t="e">
        <f t="shared" si="12"/>
        <v>#DIV/0!</v>
      </c>
      <c r="J29" s="33" t="e">
        <f t="shared" si="12"/>
        <v>#DIV/0!</v>
      </c>
      <c r="K29" s="33" t="e">
        <f t="shared" si="12"/>
        <v>#DIV/0!</v>
      </c>
      <c r="L29" s="33" t="e">
        <f t="shared" si="12"/>
        <v>#DIV/0!</v>
      </c>
      <c r="M29" s="33" t="e">
        <f t="shared" si="12"/>
        <v>#DIV/0!</v>
      </c>
      <c r="P29" s="220"/>
    </row>
    <row r="30" spans="1:16" x14ac:dyDescent="0.2">
      <c r="A30" s="263"/>
      <c r="B30" s="38" t="s">
        <v>93</v>
      </c>
      <c r="C30" s="135">
        <v>3</v>
      </c>
      <c r="D30" s="135">
        <v>3</v>
      </c>
      <c r="E30" s="135">
        <v>2</v>
      </c>
      <c r="F30" s="135">
        <v>6</v>
      </c>
      <c r="G30" s="135">
        <v>0</v>
      </c>
      <c r="H30" s="32">
        <v>3</v>
      </c>
      <c r="I30" s="138">
        <v>0</v>
      </c>
      <c r="J30" s="138">
        <v>0</v>
      </c>
      <c r="K30" s="32">
        <v>0</v>
      </c>
      <c r="L30" s="32">
        <v>0</v>
      </c>
      <c r="M30" s="32">
        <v>0</v>
      </c>
      <c r="P30" s="220"/>
    </row>
    <row r="31" spans="1:16" x14ac:dyDescent="0.2">
      <c r="A31" s="263"/>
      <c r="B31" s="38" t="s">
        <v>94</v>
      </c>
      <c r="C31" s="33">
        <f t="shared" ref="C31:M31" si="13">C30/C12</f>
        <v>0.33333333333333331</v>
      </c>
      <c r="D31" s="33">
        <f t="shared" si="13"/>
        <v>0.3</v>
      </c>
      <c r="E31" s="33">
        <f t="shared" si="13"/>
        <v>0.13333333333333333</v>
      </c>
      <c r="F31" s="33">
        <f t="shared" si="13"/>
        <v>0.33333333333333331</v>
      </c>
      <c r="G31" s="33" t="e">
        <f t="shared" si="13"/>
        <v>#DIV/0!</v>
      </c>
      <c r="H31" s="142">
        <f t="shared" si="13"/>
        <v>0.2</v>
      </c>
      <c r="I31" s="150" t="e">
        <f t="shared" si="13"/>
        <v>#DIV/0!</v>
      </c>
      <c r="J31" s="33" t="e">
        <f t="shared" si="13"/>
        <v>#DIV/0!</v>
      </c>
      <c r="K31" s="33" t="e">
        <f t="shared" si="13"/>
        <v>#DIV/0!</v>
      </c>
      <c r="L31" s="33" t="e">
        <f t="shared" si="13"/>
        <v>#DIV/0!</v>
      </c>
      <c r="M31" s="33" t="e">
        <f t="shared" si="13"/>
        <v>#DIV/0!</v>
      </c>
      <c r="P31" s="220"/>
    </row>
    <row r="32" spans="1:16" x14ac:dyDescent="0.2">
      <c r="A32" s="263"/>
      <c r="B32" s="38" t="s">
        <v>95</v>
      </c>
      <c r="C32" s="135">
        <v>2</v>
      </c>
      <c r="D32" s="135">
        <v>3</v>
      </c>
      <c r="E32" s="135">
        <v>8</v>
      </c>
      <c r="F32" s="135">
        <v>10</v>
      </c>
      <c r="G32" s="135">
        <v>0</v>
      </c>
      <c r="H32" s="32">
        <v>6</v>
      </c>
      <c r="I32" s="138">
        <v>0</v>
      </c>
      <c r="J32" s="138">
        <v>0</v>
      </c>
      <c r="K32" s="32">
        <v>0</v>
      </c>
      <c r="L32" s="32">
        <v>0</v>
      </c>
      <c r="M32" s="32">
        <v>0</v>
      </c>
      <c r="P32" s="220"/>
    </row>
    <row r="33" spans="1:16" ht="17" thickBot="1" x14ac:dyDescent="0.25">
      <c r="A33" s="264"/>
      <c r="B33" s="39" t="s">
        <v>96</v>
      </c>
      <c r="C33" s="33">
        <f t="shared" ref="C33:M33" si="14">C32/C12</f>
        <v>0.22222222222222221</v>
      </c>
      <c r="D33" s="33">
        <f t="shared" si="14"/>
        <v>0.3</v>
      </c>
      <c r="E33" s="33">
        <f t="shared" si="14"/>
        <v>0.53333333333333333</v>
      </c>
      <c r="F33" s="33">
        <f t="shared" si="14"/>
        <v>0.55555555555555558</v>
      </c>
      <c r="G33" s="33" t="e">
        <f t="shared" si="14"/>
        <v>#DIV/0!</v>
      </c>
      <c r="H33" s="142">
        <f t="shared" si="14"/>
        <v>0.4</v>
      </c>
      <c r="I33" s="150" t="e">
        <f t="shared" si="14"/>
        <v>#DIV/0!</v>
      </c>
      <c r="J33" s="33" t="e">
        <f t="shared" si="14"/>
        <v>#DIV/0!</v>
      </c>
      <c r="K33" s="33" t="e">
        <f t="shared" si="14"/>
        <v>#DIV/0!</v>
      </c>
      <c r="L33" s="33" t="e">
        <f t="shared" si="14"/>
        <v>#DIV/0!</v>
      </c>
      <c r="M33" s="33" t="e">
        <f t="shared" si="14"/>
        <v>#DIV/0!</v>
      </c>
      <c r="P33" s="220"/>
    </row>
    <row r="34" spans="1:16" ht="16" customHeight="1" x14ac:dyDescent="0.2">
      <c r="A34" s="262" t="s">
        <v>97</v>
      </c>
      <c r="B34" s="37" t="s">
        <v>98</v>
      </c>
      <c r="C34" s="135">
        <v>22</v>
      </c>
      <c r="D34" s="135">
        <v>18</v>
      </c>
      <c r="E34" s="135">
        <v>27</v>
      </c>
      <c r="F34" s="135">
        <v>33</v>
      </c>
      <c r="G34" s="135">
        <v>0</v>
      </c>
      <c r="H34" s="32">
        <v>27</v>
      </c>
      <c r="I34" s="138">
        <v>0</v>
      </c>
      <c r="J34" s="138">
        <v>0</v>
      </c>
      <c r="K34" s="32">
        <v>0</v>
      </c>
      <c r="L34" s="32">
        <v>0</v>
      </c>
      <c r="M34" s="32">
        <v>0</v>
      </c>
      <c r="P34" s="220"/>
    </row>
    <row r="35" spans="1:16" x14ac:dyDescent="0.2">
      <c r="A35" s="263"/>
      <c r="B35" s="38" t="s">
        <v>99</v>
      </c>
      <c r="C35" s="135">
        <v>10</v>
      </c>
      <c r="D35" s="135">
        <v>10</v>
      </c>
      <c r="E35" s="135">
        <v>18</v>
      </c>
      <c r="F35" s="135">
        <v>22</v>
      </c>
      <c r="G35" s="135">
        <v>0</v>
      </c>
      <c r="H35" s="32">
        <v>16</v>
      </c>
      <c r="I35" s="138">
        <v>0</v>
      </c>
      <c r="J35" s="138">
        <v>0</v>
      </c>
      <c r="K35" s="32">
        <v>0</v>
      </c>
      <c r="L35" s="32">
        <v>0</v>
      </c>
      <c r="M35" s="32">
        <v>0</v>
      </c>
      <c r="P35" s="220"/>
    </row>
    <row r="36" spans="1:16" x14ac:dyDescent="0.2">
      <c r="A36" s="263"/>
      <c r="B36" s="38" t="s">
        <v>100</v>
      </c>
      <c r="C36" s="33">
        <f t="shared" ref="C36:M36" si="15">C34/C6</f>
        <v>0.55000000000000004</v>
      </c>
      <c r="D36" s="33">
        <f t="shared" si="15"/>
        <v>0.33333333333333331</v>
      </c>
      <c r="E36" s="33">
        <f t="shared" si="15"/>
        <v>0.39705882352941174</v>
      </c>
      <c r="F36" s="33">
        <f t="shared" si="15"/>
        <v>0.46478873239436619</v>
      </c>
      <c r="G36" s="33">
        <f t="shared" si="15"/>
        <v>0</v>
      </c>
      <c r="H36" s="142">
        <f t="shared" si="15"/>
        <v>0.40298507462686567</v>
      </c>
      <c r="I36" s="150" t="e">
        <f t="shared" si="15"/>
        <v>#DIV/0!</v>
      </c>
      <c r="J36" s="33" t="e">
        <f t="shared" si="15"/>
        <v>#DIV/0!</v>
      </c>
      <c r="K36" s="33" t="e">
        <f t="shared" si="15"/>
        <v>#DIV/0!</v>
      </c>
      <c r="L36" s="33" t="e">
        <f t="shared" si="15"/>
        <v>#DIV/0!</v>
      </c>
      <c r="M36" s="33" t="e">
        <f t="shared" si="15"/>
        <v>#DIV/0!</v>
      </c>
      <c r="P36" s="220"/>
    </row>
    <row r="37" spans="1:16" x14ac:dyDescent="0.2">
      <c r="A37" s="263"/>
      <c r="B37" s="39" t="s">
        <v>101</v>
      </c>
      <c r="C37" s="33">
        <f t="shared" ref="C37:M37" si="16">C35/C34</f>
        <v>0.45454545454545453</v>
      </c>
      <c r="D37" s="33">
        <f t="shared" si="16"/>
        <v>0.55555555555555558</v>
      </c>
      <c r="E37" s="33">
        <f t="shared" si="16"/>
        <v>0.66666666666666663</v>
      </c>
      <c r="F37" s="33">
        <f t="shared" si="16"/>
        <v>0.66666666666666663</v>
      </c>
      <c r="G37" s="33" t="e">
        <f t="shared" si="16"/>
        <v>#DIV/0!</v>
      </c>
      <c r="H37" s="142">
        <f t="shared" si="16"/>
        <v>0.59259259259259256</v>
      </c>
      <c r="I37" s="150" t="e">
        <f t="shared" si="16"/>
        <v>#DIV/0!</v>
      </c>
      <c r="J37" s="33" t="e">
        <f t="shared" si="16"/>
        <v>#DIV/0!</v>
      </c>
      <c r="K37" s="33" t="e">
        <f t="shared" si="16"/>
        <v>#DIV/0!</v>
      </c>
      <c r="L37" s="33" t="e">
        <f t="shared" si="16"/>
        <v>#DIV/0!</v>
      </c>
      <c r="M37" s="33" t="e">
        <f t="shared" si="16"/>
        <v>#DIV/0!</v>
      </c>
      <c r="P37" s="220"/>
    </row>
    <row r="38" spans="1:16" x14ac:dyDescent="0.2">
      <c r="A38" s="263"/>
      <c r="B38" s="37" t="s">
        <v>110</v>
      </c>
      <c r="C38" s="135">
        <v>12</v>
      </c>
      <c r="D38" s="135">
        <v>26</v>
      </c>
      <c r="E38" s="135">
        <v>26</v>
      </c>
      <c r="F38" s="135">
        <v>15</v>
      </c>
      <c r="G38" s="135">
        <v>0</v>
      </c>
      <c r="H38" s="32">
        <v>24</v>
      </c>
      <c r="I38" s="138">
        <v>0</v>
      </c>
      <c r="J38" s="138">
        <v>0</v>
      </c>
      <c r="K38" s="32">
        <v>0</v>
      </c>
      <c r="L38" s="32">
        <v>0</v>
      </c>
      <c r="M38" s="32">
        <v>0</v>
      </c>
      <c r="P38" s="220"/>
    </row>
    <row r="39" spans="1:16" x14ac:dyDescent="0.2">
      <c r="A39" s="263"/>
      <c r="B39" s="38" t="s">
        <v>111</v>
      </c>
      <c r="C39" s="135">
        <v>7</v>
      </c>
      <c r="D39" s="135">
        <v>13</v>
      </c>
      <c r="E39" s="135">
        <v>11</v>
      </c>
      <c r="F39" s="135">
        <v>5</v>
      </c>
      <c r="G39" s="135">
        <v>0</v>
      </c>
      <c r="H39" s="32">
        <v>12</v>
      </c>
      <c r="I39" s="138">
        <v>0</v>
      </c>
      <c r="J39" s="138">
        <v>0</v>
      </c>
      <c r="K39" s="32">
        <v>0</v>
      </c>
      <c r="L39" s="32">
        <v>0</v>
      </c>
      <c r="M39" s="32">
        <v>0</v>
      </c>
      <c r="P39" s="220"/>
    </row>
    <row r="40" spans="1:16" x14ac:dyDescent="0.2">
      <c r="A40" s="263"/>
      <c r="B40" s="38" t="s">
        <v>112</v>
      </c>
      <c r="C40" s="33">
        <f t="shared" ref="C40:M40" si="17">C38/C6</f>
        <v>0.3</v>
      </c>
      <c r="D40" s="33">
        <f t="shared" si="17"/>
        <v>0.48148148148148145</v>
      </c>
      <c r="E40" s="33">
        <f t="shared" si="17"/>
        <v>0.38235294117647056</v>
      </c>
      <c r="F40" s="33">
        <f t="shared" si="17"/>
        <v>0.21126760563380281</v>
      </c>
      <c r="G40" s="33">
        <f t="shared" si="17"/>
        <v>0</v>
      </c>
      <c r="H40" s="142">
        <f t="shared" si="17"/>
        <v>0.35820895522388058</v>
      </c>
      <c r="I40" s="150" t="e">
        <f t="shared" si="17"/>
        <v>#DIV/0!</v>
      </c>
      <c r="J40" s="33" t="e">
        <f t="shared" si="17"/>
        <v>#DIV/0!</v>
      </c>
      <c r="K40" s="33" t="e">
        <f t="shared" si="17"/>
        <v>#DIV/0!</v>
      </c>
      <c r="L40" s="33" t="e">
        <f t="shared" si="17"/>
        <v>#DIV/0!</v>
      </c>
      <c r="M40" s="33" t="e">
        <f t="shared" si="17"/>
        <v>#DIV/0!</v>
      </c>
      <c r="P40" s="220"/>
    </row>
    <row r="41" spans="1:16" x14ac:dyDescent="0.2">
      <c r="A41" s="263"/>
      <c r="B41" s="39" t="s">
        <v>113</v>
      </c>
      <c r="C41" s="33">
        <f t="shared" ref="C41:M41" si="18">C39/C38</f>
        <v>0.58333333333333337</v>
      </c>
      <c r="D41" s="33">
        <f t="shared" si="18"/>
        <v>0.5</v>
      </c>
      <c r="E41" s="33">
        <f t="shared" si="18"/>
        <v>0.42307692307692307</v>
      </c>
      <c r="F41" s="33">
        <f t="shared" si="18"/>
        <v>0.33333333333333331</v>
      </c>
      <c r="G41" s="33" t="e">
        <f t="shared" si="18"/>
        <v>#DIV/0!</v>
      </c>
      <c r="H41" s="142">
        <f t="shared" si="18"/>
        <v>0.5</v>
      </c>
      <c r="I41" s="150" t="e">
        <f t="shared" si="18"/>
        <v>#DIV/0!</v>
      </c>
      <c r="J41" s="33" t="e">
        <f t="shared" si="18"/>
        <v>#DIV/0!</v>
      </c>
      <c r="K41" s="33" t="e">
        <f t="shared" si="18"/>
        <v>#DIV/0!</v>
      </c>
      <c r="L41" s="33" t="e">
        <f t="shared" si="18"/>
        <v>#DIV/0!</v>
      </c>
      <c r="M41" s="33" t="e">
        <f t="shared" si="18"/>
        <v>#DIV/0!</v>
      </c>
      <c r="P41" s="220"/>
    </row>
    <row r="42" spans="1:16" x14ac:dyDescent="0.2">
      <c r="A42" s="263"/>
      <c r="B42" s="37" t="s">
        <v>106</v>
      </c>
      <c r="C42" s="135">
        <v>0</v>
      </c>
      <c r="D42" s="135">
        <v>4</v>
      </c>
      <c r="E42" s="135">
        <v>3</v>
      </c>
      <c r="F42" s="135">
        <v>3</v>
      </c>
      <c r="G42" s="135">
        <v>0</v>
      </c>
      <c r="H42" s="32">
        <v>4</v>
      </c>
      <c r="I42" s="138">
        <v>0</v>
      </c>
      <c r="J42" s="138">
        <v>0</v>
      </c>
      <c r="K42" s="32">
        <v>0</v>
      </c>
      <c r="L42" s="32">
        <v>0</v>
      </c>
      <c r="M42" s="32">
        <v>0</v>
      </c>
      <c r="P42" s="220"/>
    </row>
    <row r="43" spans="1:16" x14ac:dyDescent="0.2">
      <c r="A43" s="263"/>
      <c r="B43" s="38" t="s">
        <v>107</v>
      </c>
      <c r="C43" s="135">
        <v>0</v>
      </c>
      <c r="D43" s="135">
        <v>3</v>
      </c>
      <c r="E43" s="135">
        <v>1</v>
      </c>
      <c r="F43" s="135">
        <v>2</v>
      </c>
      <c r="G43" s="135">
        <v>0</v>
      </c>
      <c r="H43" s="32">
        <v>1</v>
      </c>
      <c r="I43" s="138">
        <v>0</v>
      </c>
      <c r="J43" s="138">
        <v>0</v>
      </c>
      <c r="K43" s="32">
        <v>0</v>
      </c>
      <c r="L43" s="32">
        <v>0</v>
      </c>
      <c r="M43" s="32">
        <v>0</v>
      </c>
      <c r="P43" s="220"/>
    </row>
    <row r="44" spans="1:16" x14ac:dyDescent="0.2">
      <c r="A44" s="263"/>
      <c r="B44" s="38" t="s">
        <v>108</v>
      </c>
      <c r="C44" s="33">
        <f t="shared" ref="C44:M44" si="19">C42/C6</f>
        <v>0</v>
      </c>
      <c r="D44" s="33">
        <f t="shared" si="19"/>
        <v>7.407407407407407E-2</v>
      </c>
      <c r="E44" s="33">
        <f t="shared" si="19"/>
        <v>4.4117647058823532E-2</v>
      </c>
      <c r="F44" s="33">
        <f t="shared" si="19"/>
        <v>4.2253521126760563E-2</v>
      </c>
      <c r="G44" s="33">
        <f t="shared" si="19"/>
        <v>0</v>
      </c>
      <c r="H44" s="142">
        <f t="shared" si="19"/>
        <v>5.9701492537313432E-2</v>
      </c>
      <c r="I44" s="150" t="e">
        <f t="shared" si="19"/>
        <v>#DIV/0!</v>
      </c>
      <c r="J44" s="33" t="e">
        <f t="shared" si="19"/>
        <v>#DIV/0!</v>
      </c>
      <c r="K44" s="33" t="e">
        <f t="shared" si="19"/>
        <v>#DIV/0!</v>
      </c>
      <c r="L44" s="33" t="e">
        <f t="shared" si="19"/>
        <v>#DIV/0!</v>
      </c>
      <c r="M44" s="33" t="e">
        <f t="shared" si="19"/>
        <v>#DIV/0!</v>
      </c>
      <c r="P44" s="220"/>
    </row>
    <row r="45" spans="1:16" x14ac:dyDescent="0.2">
      <c r="A45" s="263"/>
      <c r="B45" s="39" t="s">
        <v>109</v>
      </c>
      <c r="C45" s="33" t="e">
        <f t="shared" ref="C45:M45" si="20">C43/C42</f>
        <v>#DIV/0!</v>
      </c>
      <c r="D45" s="33">
        <f t="shared" si="20"/>
        <v>0.75</v>
      </c>
      <c r="E45" s="33">
        <f t="shared" si="20"/>
        <v>0.33333333333333331</v>
      </c>
      <c r="F45" s="33">
        <f t="shared" si="20"/>
        <v>0.66666666666666663</v>
      </c>
      <c r="G45" s="33" t="e">
        <f t="shared" si="20"/>
        <v>#DIV/0!</v>
      </c>
      <c r="H45" s="142">
        <f t="shared" si="20"/>
        <v>0.25</v>
      </c>
      <c r="I45" s="150" t="e">
        <f t="shared" si="20"/>
        <v>#DIV/0!</v>
      </c>
      <c r="J45" s="33" t="e">
        <f t="shared" si="20"/>
        <v>#DIV/0!</v>
      </c>
      <c r="K45" s="33" t="e">
        <f t="shared" si="20"/>
        <v>#DIV/0!</v>
      </c>
      <c r="L45" s="33" t="e">
        <f t="shared" si="20"/>
        <v>#DIV/0!</v>
      </c>
      <c r="M45" s="33" t="e">
        <f t="shared" si="20"/>
        <v>#DIV/0!</v>
      </c>
      <c r="P45" s="220"/>
    </row>
    <row r="46" spans="1:16" x14ac:dyDescent="0.2">
      <c r="A46" s="263"/>
      <c r="B46" s="37" t="s">
        <v>247</v>
      </c>
      <c r="C46" s="135">
        <v>6</v>
      </c>
      <c r="D46" s="135">
        <v>6</v>
      </c>
      <c r="E46" s="135">
        <v>12</v>
      </c>
      <c r="F46" s="135">
        <v>20</v>
      </c>
      <c r="G46" s="135">
        <v>0</v>
      </c>
      <c r="H46" s="32">
        <v>12</v>
      </c>
      <c r="I46" s="138">
        <v>0</v>
      </c>
      <c r="J46" s="138">
        <v>0</v>
      </c>
      <c r="K46" s="32">
        <v>0</v>
      </c>
      <c r="L46" s="32">
        <v>0</v>
      </c>
      <c r="M46" s="32">
        <v>0</v>
      </c>
      <c r="P46" s="220"/>
    </row>
    <row r="47" spans="1:16" x14ac:dyDescent="0.2">
      <c r="A47" s="263"/>
      <c r="B47" s="38" t="s">
        <v>248</v>
      </c>
      <c r="C47" s="135">
        <v>3</v>
      </c>
      <c r="D47" s="135">
        <v>5</v>
      </c>
      <c r="E47" s="135">
        <v>7</v>
      </c>
      <c r="F47" s="135">
        <v>6</v>
      </c>
      <c r="G47" s="135">
        <v>0</v>
      </c>
      <c r="H47" s="32">
        <v>5</v>
      </c>
      <c r="I47" s="138">
        <v>0</v>
      </c>
      <c r="J47" s="138">
        <v>0</v>
      </c>
      <c r="K47" s="32">
        <v>0</v>
      </c>
      <c r="L47" s="32">
        <v>0</v>
      </c>
      <c r="M47" s="32">
        <v>0</v>
      </c>
      <c r="P47" s="220"/>
    </row>
    <row r="48" spans="1:16" x14ac:dyDescent="0.2">
      <c r="A48" s="263"/>
      <c r="B48" s="38" t="s">
        <v>249</v>
      </c>
      <c r="C48" s="33">
        <f t="shared" ref="C48:M48" si="21">C46/C6</f>
        <v>0.15</v>
      </c>
      <c r="D48" s="33">
        <f t="shared" si="21"/>
        <v>0.1111111111111111</v>
      </c>
      <c r="E48" s="33">
        <f t="shared" si="21"/>
        <v>0.17647058823529413</v>
      </c>
      <c r="F48" s="33">
        <f t="shared" si="21"/>
        <v>0.28169014084507044</v>
      </c>
      <c r="G48" s="33">
        <f t="shared" si="21"/>
        <v>0</v>
      </c>
      <c r="H48" s="142">
        <f t="shared" si="21"/>
        <v>0.17910447761194029</v>
      </c>
      <c r="I48" s="150" t="e">
        <f t="shared" si="21"/>
        <v>#DIV/0!</v>
      </c>
      <c r="J48" s="33" t="e">
        <f t="shared" si="21"/>
        <v>#DIV/0!</v>
      </c>
      <c r="K48" s="33" t="e">
        <f t="shared" si="21"/>
        <v>#DIV/0!</v>
      </c>
      <c r="L48" s="33" t="e">
        <f t="shared" si="21"/>
        <v>#DIV/0!</v>
      </c>
      <c r="M48" s="33" t="e">
        <f t="shared" si="21"/>
        <v>#DIV/0!</v>
      </c>
      <c r="P48" s="220"/>
    </row>
    <row r="49" spans="1:20" ht="17" thickBot="1" x14ac:dyDescent="0.25">
      <c r="A49" s="264"/>
      <c r="B49" s="39" t="s">
        <v>250</v>
      </c>
      <c r="C49" s="33">
        <f t="shared" ref="C49:M49" si="22">C47/C46</f>
        <v>0.5</v>
      </c>
      <c r="D49" s="33">
        <f t="shared" si="22"/>
        <v>0.83333333333333337</v>
      </c>
      <c r="E49" s="33">
        <f t="shared" si="22"/>
        <v>0.58333333333333337</v>
      </c>
      <c r="F49" s="33">
        <f t="shared" si="22"/>
        <v>0.3</v>
      </c>
      <c r="G49" s="33" t="e">
        <f t="shared" si="22"/>
        <v>#DIV/0!</v>
      </c>
      <c r="H49" s="142">
        <f t="shared" si="22"/>
        <v>0.41666666666666669</v>
      </c>
      <c r="I49" s="150" t="e">
        <f t="shared" si="22"/>
        <v>#DIV/0!</v>
      </c>
      <c r="J49" s="33" t="e">
        <f t="shared" si="22"/>
        <v>#DIV/0!</v>
      </c>
      <c r="K49" s="33" t="e">
        <f t="shared" si="22"/>
        <v>#DIV/0!</v>
      </c>
      <c r="L49" s="33" t="e">
        <f t="shared" si="22"/>
        <v>#DIV/0!</v>
      </c>
      <c r="M49" s="33" t="e">
        <f t="shared" si="22"/>
        <v>#DIV/0!</v>
      </c>
      <c r="P49" s="220"/>
    </row>
    <row r="50" spans="1:20" ht="16" customHeight="1" x14ac:dyDescent="0.2">
      <c r="A50" s="262" t="s">
        <v>114</v>
      </c>
      <c r="B50" s="37" t="s">
        <v>115</v>
      </c>
      <c r="C50" s="135">
        <v>5</v>
      </c>
      <c r="D50" s="135">
        <v>9</v>
      </c>
      <c r="E50" s="135">
        <v>16</v>
      </c>
      <c r="F50" s="135">
        <v>21</v>
      </c>
      <c r="G50" s="135">
        <v>0</v>
      </c>
      <c r="H50" s="32">
        <v>15</v>
      </c>
      <c r="I50" s="138">
        <v>0</v>
      </c>
      <c r="J50" s="138">
        <v>0</v>
      </c>
      <c r="K50" s="32">
        <v>0</v>
      </c>
      <c r="L50" s="32">
        <v>0</v>
      </c>
      <c r="M50" s="32">
        <v>0</v>
      </c>
      <c r="P50" s="220"/>
    </row>
    <row r="51" spans="1:20" x14ac:dyDescent="0.2">
      <c r="A51" s="263"/>
      <c r="B51" s="38" t="s">
        <v>116</v>
      </c>
      <c r="C51" s="135">
        <v>0</v>
      </c>
      <c r="D51" s="135">
        <v>3</v>
      </c>
      <c r="E51" s="135">
        <v>6</v>
      </c>
      <c r="F51" s="135">
        <v>7</v>
      </c>
      <c r="G51" s="135">
        <v>0</v>
      </c>
      <c r="H51" s="32">
        <v>3</v>
      </c>
      <c r="I51" s="138">
        <v>0</v>
      </c>
      <c r="J51" s="138">
        <v>0</v>
      </c>
      <c r="K51" s="32">
        <v>0</v>
      </c>
      <c r="L51" s="32">
        <v>0</v>
      </c>
      <c r="M51" s="32">
        <v>0</v>
      </c>
      <c r="P51" s="220"/>
    </row>
    <row r="52" spans="1:20" x14ac:dyDescent="0.2">
      <c r="A52" s="263"/>
      <c r="B52" s="242" t="s">
        <v>117</v>
      </c>
      <c r="C52" s="33">
        <f t="shared" ref="C52:M52" si="23">C51/C50</f>
        <v>0</v>
      </c>
      <c r="D52" s="33">
        <f t="shared" si="23"/>
        <v>0.33333333333333331</v>
      </c>
      <c r="E52" s="33">
        <f t="shared" si="23"/>
        <v>0.375</v>
      </c>
      <c r="F52" s="33">
        <f t="shared" si="23"/>
        <v>0.33333333333333331</v>
      </c>
      <c r="G52" s="33" t="e">
        <f t="shared" si="23"/>
        <v>#DIV/0!</v>
      </c>
      <c r="H52" s="142">
        <f t="shared" si="23"/>
        <v>0.2</v>
      </c>
      <c r="I52" s="150" t="e">
        <f t="shared" si="23"/>
        <v>#DIV/0!</v>
      </c>
      <c r="J52" s="33" t="e">
        <f t="shared" si="23"/>
        <v>#DIV/0!</v>
      </c>
      <c r="K52" s="33" t="e">
        <f t="shared" si="23"/>
        <v>#DIV/0!</v>
      </c>
      <c r="L52" s="33" t="e">
        <f t="shared" si="23"/>
        <v>#DIV/0!</v>
      </c>
      <c r="M52" s="33" t="e">
        <f t="shared" si="23"/>
        <v>#DIV/0!</v>
      </c>
      <c r="P52" s="220"/>
    </row>
    <row r="53" spans="1:20" x14ac:dyDescent="0.2">
      <c r="A53" s="263"/>
      <c r="B53" s="38" t="s">
        <v>124</v>
      </c>
      <c r="C53" s="136">
        <v>6</v>
      </c>
      <c r="D53" s="136">
        <v>9</v>
      </c>
      <c r="E53" s="136">
        <v>8</v>
      </c>
      <c r="F53" s="136">
        <v>4</v>
      </c>
      <c r="G53" s="136">
        <v>0</v>
      </c>
      <c r="H53" s="34">
        <v>7</v>
      </c>
      <c r="I53" s="139">
        <v>0</v>
      </c>
      <c r="J53" s="139">
        <v>0</v>
      </c>
      <c r="K53" s="34">
        <v>0</v>
      </c>
      <c r="L53" s="34">
        <v>0</v>
      </c>
      <c r="M53" s="34">
        <v>0</v>
      </c>
      <c r="P53" s="220"/>
    </row>
    <row r="54" spans="1:20" x14ac:dyDescent="0.2">
      <c r="A54" s="263"/>
      <c r="B54" s="38" t="s">
        <v>125</v>
      </c>
      <c r="C54" s="135">
        <v>3</v>
      </c>
      <c r="D54" s="135">
        <v>0</v>
      </c>
      <c r="E54" s="135">
        <v>3</v>
      </c>
      <c r="F54" s="135">
        <v>2</v>
      </c>
      <c r="G54" s="135">
        <v>0</v>
      </c>
      <c r="H54" s="32">
        <v>4</v>
      </c>
      <c r="I54" s="138">
        <v>0</v>
      </c>
      <c r="J54" s="138">
        <v>0</v>
      </c>
      <c r="K54" s="32">
        <v>0</v>
      </c>
      <c r="L54" s="32">
        <v>0</v>
      </c>
      <c r="M54" s="32">
        <v>0</v>
      </c>
      <c r="P54" s="220"/>
    </row>
    <row r="55" spans="1:20" x14ac:dyDescent="0.2">
      <c r="A55" s="263"/>
      <c r="B55" s="41" t="s">
        <v>126</v>
      </c>
      <c r="C55" s="33">
        <f t="shared" ref="C55:M55" si="24">C54/C53</f>
        <v>0.5</v>
      </c>
      <c r="D55" s="33">
        <f t="shared" si="24"/>
        <v>0</v>
      </c>
      <c r="E55" s="33">
        <f t="shared" si="24"/>
        <v>0.375</v>
      </c>
      <c r="F55" s="33">
        <f t="shared" si="24"/>
        <v>0.5</v>
      </c>
      <c r="G55" s="33" t="e">
        <f t="shared" si="24"/>
        <v>#DIV/0!</v>
      </c>
      <c r="H55" s="142">
        <f t="shared" si="24"/>
        <v>0.5714285714285714</v>
      </c>
      <c r="I55" s="150" t="e">
        <f t="shared" si="24"/>
        <v>#DIV/0!</v>
      </c>
      <c r="J55" s="33" t="e">
        <f t="shared" si="24"/>
        <v>#DIV/0!</v>
      </c>
      <c r="K55" s="33" t="e">
        <f t="shared" si="24"/>
        <v>#DIV/0!</v>
      </c>
      <c r="L55" s="33" t="e">
        <f t="shared" si="24"/>
        <v>#DIV/0!</v>
      </c>
      <c r="M55" s="33" t="e">
        <f t="shared" si="24"/>
        <v>#DIV/0!</v>
      </c>
      <c r="P55" s="220"/>
    </row>
    <row r="56" spans="1:20" x14ac:dyDescent="0.2">
      <c r="A56" s="263"/>
      <c r="B56" s="38" t="s">
        <v>121</v>
      </c>
      <c r="C56" s="135">
        <v>0</v>
      </c>
      <c r="D56" s="135">
        <v>3</v>
      </c>
      <c r="E56" s="135">
        <v>1</v>
      </c>
      <c r="F56" s="135">
        <v>2</v>
      </c>
      <c r="G56" s="135">
        <v>0</v>
      </c>
      <c r="H56" s="32">
        <v>0</v>
      </c>
      <c r="I56" s="138">
        <v>0</v>
      </c>
      <c r="J56" s="138">
        <v>0</v>
      </c>
      <c r="K56" s="32">
        <v>0</v>
      </c>
      <c r="L56" s="32">
        <v>0</v>
      </c>
      <c r="M56" s="32">
        <v>0</v>
      </c>
      <c r="P56" s="220"/>
    </row>
    <row r="57" spans="1:20" x14ac:dyDescent="0.2">
      <c r="A57" s="263"/>
      <c r="B57" s="38" t="s">
        <v>122</v>
      </c>
      <c r="C57" s="135">
        <v>0</v>
      </c>
      <c r="D57" s="135">
        <v>0</v>
      </c>
      <c r="E57" s="135">
        <v>0</v>
      </c>
      <c r="F57" s="135">
        <v>0</v>
      </c>
      <c r="G57" s="135">
        <v>0</v>
      </c>
      <c r="H57" s="32">
        <v>0</v>
      </c>
      <c r="I57" s="138">
        <v>0</v>
      </c>
      <c r="J57" s="138">
        <v>0</v>
      </c>
      <c r="K57" s="32">
        <v>0</v>
      </c>
      <c r="L57" s="32">
        <v>0</v>
      </c>
      <c r="M57" s="32">
        <v>0</v>
      </c>
      <c r="P57" s="220"/>
    </row>
    <row r="58" spans="1:20" x14ac:dyDescent="0.2">
      <c r="A58" s="263"/>
      <c r="B58" s="179" t="s">
        <v>123</v>
      </c>
      <c r="C58" s="33" t="e">
        <f t="shared" ref="C58:M58" si="25">C57/C56</f>
        <v>#DIV/0!</v>
      </c>
      <c r="D58" s="33">
        <f t="shared" si="25"/>
        <v>0</v>
      </c>
      <c r="E58" s="33">
        <f t="shared" si="25"/>
        <v>0</v>
      </c>
      <c r="F58" s="33">
        <f t="shared" si="25"/>
        <v>0</v>
      </c>
      <c r="G58" s="33" t="e">
        <f t="shared" si="25"/>
        <v>#DIV/0!</v>
      </c>
      <c r="H58" s="142" t="e">
        <f t="shared" si="25"/>
        <v>#DIV/0!</v>
      </c>
      <c r="I58" s="150" t="e">
        <f t="shared" si="25"/>
        <v>#DIV/0!</v>
      </c>
      <c r="J58" s="33" t="e">
        <f t="shared" si="25"/>
        <v>#DIV/0!</v>
      </c>
      <c r="K58" s="33" t="e">
        <f t="shared" si="25"/>
        <v>#DIV/0!</v>
      </c>
      <c r="L58" s="33" t="e">
        <f t="shared" si="25"/>
        <v>#DIV/0!</v>
      </c>
      <c r="M58" s="33" t="e">
        <f t="shared" si="25"/>
        <v>#DIV/0!</v>
      </c>
      <c r="P58" s="220"/>
    </row>
    <row r="59" spans="1:20" x14ac:dyDescent="0.2">
      <c r="A59" s="263"/>
      <c r="B59" s="38" t="s">
        <v>244</v>
      </c>
      <c r="C59" s="135">
        <v>2</v>
      </c>
      <c r="D59" s="135">
        <v>4</v>
      </c>
      <c r="E59" s="135">
        <v>7</v>
      </c>
      <c r="F59" s="135">
        <v>6</v>
      </c>
      <c r="G59" s="135">
        <v>0</v>
      </c>
      <c r="H59" s="32">
        <v>4</v>
      </c>
      <c r="I59" s="138">
        <v>0</v>
      </c>
      <c r="J59" s="138">
        <v>0</v>
      </c>
      <c r="K59" s="32">
        <v>0</v>
      </c>
      <c r="L59" s="32">
        <v>0</v>
      </c>
      <c r="M59" s="32">
        <v>0</v>
      </c>
      <c r="P59" s="220"/>
    </row>
    <row r="60" spans="1:20" x14ac:dyDescent="0.2">
      <c r="A60" s="263"/>
      <c r="B60" s="38" t="s">
        <v>245</v>
      </c>
      <c r="C60" s="135">
        <v>0</v>
      </c>
      <c r="D60" s="135">
        <v>0</v>
      </c>
      <c r="E60" s="135">
        <v>3</v>
      </c>
      <c r="F60" s="135">
        <v>3</v>
      </c>
      <c r="G60" s="135">
        <v>0</v>
      </c>
      <c r="H60" s="32">
        <v>0</v>
      </c>
      <c r="I60" s="138">
        <v>0</v>
      </c>
      <c r="J60" s="138">
        <v>0</v>
      </c>
      <c r="K60" s="32">
        <v>0</v>
      </c>
      <c r="L60" s="32">
        <v>0</v>
      </c>
      <c r="M60" s="32">
        <v>0</v>
      </c>
      <c r="P60" s="220"/>
    </row>
    <row r="61" spans="1:20" ht="17" thickBot="1" x14ac:dyDescent="0.25">
      <c r="A61" s="264"/>
      <c r="B61" s="40" t="s">
        <v>246</v>
      </c>
      <c r="C61" s="33">
        <f t="shared" ref="C61:M61" si="26">C60/C59</f>
        <v>0</v>
      </c>
      <c r="D61" s="33">
        <f t="shared" si="26"/>
        <v>0</v>
      </c>
      <c r="E61" s="33">
        <f t="shared" si="26"/>
        <v>0.42857142857142855</v>
      </c>
      <c r="F61" s="33">
        <f t="shared" si="26"/>
        <v>0.5</v>
      </c>
      <c r="G61" s="33" t="e">
        <f t="shared" si="26"/>
        <v>#DIV/0!</v>
      </c>
      <c r="H61" s="142">
        <f t="shared" si="26"/>
        <v>0</v>
      </c>
      <c r="I61" s="150" t="e">
        <f t="shared" si="26"/>
        <v>#DIV/0!</v>
      </c>
      <c r="J61" s="33" t="e">
        <f t="shared" si="26"/>
        <v>#DIV/0!</v>
      </c>
      <c r="K61" s="33" t="e">
        <f t="shared" si="26"/>
        <v>#DIV/0!</v>
      </c>
      <c r="L61" s="33" t="e">
        <f t="shared" si="26"/>
        <v>#DIV/0!</v>
      </c>
      <c r="M61" s="33" t="e">
        <f t="shared" si="26"/>
        <v>#DIV/0!</v>
      </c>
      <c r="P61" s="220"/>
    </row>
    <row r="62" spans="1:20" s="92" customFormat="1" ht="18" customHeight="1" x14ac:dyDescent="0.2">
      <c r="A62" s="262" t="s">
        <v>216</v>
      </c>
      <c r="B62" s="243" t="s">
        <v>204</v>
      </c>
      <c r="C62" s="229">
        <f>AVERAGEIFS($F$86:$F$404,$B$86:$B$404,C$3,$E$86:$E$404,"FB")</f>
        <v>83.711373337636374</v>
      </c>
      <c r="D62" s="229">
        <f t="shared" ref="D62:J62" si="27">AVERAGEIFS($F$86:$F$404,$B$86:$B$404,D$3,$E$86:$E$404,"FB")</f>
        <v>84.702109472222219</v>
      </c>
      <c r="E62" s="229">
        <f t="shared" si="27"/>
        <v>83.377601174074087</v>
      </c>
      <c r="F62" s="229">
        <f t="shared" si="27"/>
        <v>84.035469727272741</v>
      </c>
      <c r="G62" s="229">
        <f t="shared" si="27"/>
        <v>86.320581459368412</v>
      </c>
      <c r="H62" s="229">
        <f t="shared" si="27"/>
        <v>84.702698036777804</v>
      </c>
      <c r="I62" s="229" t="e">
        <f t="shared" si="27"/>
        <v>#DIV/0!</v>
      </c>
      <c r="J62" s="244" t="e">
        <f t="shared" si="27"/>
        <v>#DIV/0!</v>
      </c>
      <c r="K62" s="194">
        <f>AVERAGEIFS(F86:F404, E86:E404,"FB")</f>
        <v>84.367930214719124</v>
      </c>
      <c r="L62" s="192"/>
      <c r="M62" s="184"/>
      <c r="O62" s="25">
        <v>46193</v>
      </c>
      <c r="P62" s="25">
        <v>46200</v>
      </c>
      <c r="Q62" s="25">
        <v>46214</v>
      </c>
      <c r="R62" s="25">
        <v>46221</v>
      </c>
      <c r="S62" s="25">
        <v>46224</v>
      </c>
      <c r="T62" s="25">
        <v>46228</v>
      </c>
    </row>
    <row r="63" spans="1:20" s="92" customFormat="1" ht="18" customHeight="1" x14ac:dyDescent="0.2">
      <c r="A63" s="263"/>
      <c r="B63" s="211" t="s">
        <v>208</v>
      </c>
      <c r="C63" s="183">
        <f>_xlfn.MINIFS($F$86:$F$404,$B$86:$B$404,C$3,$E$86:$E$404,"FB")</f>
        <v>80.575075826000003</v>
      </c>
      <c r="D63" s="183">
        <f t="shared" ref="D63:J63" si="28">_xlfn.MINIFS($F$86:$F$404,$B$86:$B$404,D$3,$E$86:$E$404,"FB")</f>
        <v>83.655794999999998</v>
      </c>
      <c r="E63" s="183">
        <f t="shared" si="28"/>
        <v>80.019272200000003</v>
      </c>
      <c r="F63" s="183">
        <f t="shared" si="28"/>
        <v>81.877238599999998</v>
      </c>
      <c r="G63" s="183">
        <f t="shared" si="28"/>
        <v>83.570300470999996</v>
      </c>
      <c r="H63" s="183">
        <f t="shared" si="28"/>
        <v>82.893555301000006</v>
      </c>
      <c r="I63" s="183">
        <f t="shared" si="28"/>
        <v>0</v>
      </c>
      <c r="J63" s="190">
        <f t="shared" si="28"/>
        <v>0</v>
      </c>
      <c r="K63" s="195">
        <f>_xlfn.MINIFS(F86:F404, E86:E404,"FB")</f>
        <v>80.019272200000003</v>
      </c>
      <c r="L63" s="192"/>
      <c r="M63" s="184"/>
      <c r="O63" s="64"/>
      <c r="P63" s="224"/>
      <c r="Q63" s="64"/>
      <c r="R63" s="64"/>
    </row>
    <row r="64" spans="1:20" s="92" customFormat="1" ht="18" customHeight="1" x14ac:dyDescent="0.2">
      <c r="A64" s="263"/>
      <c r="B64" s="211" t="s">
        <v>205</v>
      </c>
      <c r="C64" s="183">
        <f>_xlfn.MAXIFS($F$86:$F$404,$B$86:$B$404,C$3,$E$86:$E$404,"FB")</f>
        <v>87.721070105999999</v>
      </c>
      <c r="D64" s="183">
        <f t="shared" ref="D64:J64" si="29">_xlfn.MAXIFS($F$86:$F$404,$B$86:$B$404,D$3,$E$86:$E$404,"FB")</f>
        <v>85.688436800000005</v>
      </c>
      <c r="E64" s="183">
        <f t="shared" si="29"/>
        <v>85.100874700000006</v>
      </c>
      <c r="F64" s="183">
        <f t="shared" si="29"/>
        <v>85.672556400000005</v>
      </c>
      <c r="G64" s="183">
        <f t="shared" si="29"/>
        <v>88.908631690000007</v>
      </c>
      <c r="H64" s="183">
        <f t="shared" si="29"/>
        <v>86.879428751999995</v>
      </c>
      <c r="I64" s="183">
        <f t="shared" si="29"/>
        <v>0</v>
      </c>
      <c r="J64" s="190">
        <f t="shared" si="29"/>
        <v>0</v>
      </c>
      <c r="K64" s="195">
        <f>_xlfn.MAXIFS(F86:F404, E86:E404,"FB")</f>
        <v>88.908631690000007</v>
      </c>
      <c r="L64" s="192"/>
      <c r="M64" s="184"/>
      <c r="P64" s="221"/>
    </row>
    <row r="65" spans="1:19" s="92" customFormat="1" ht="18" customHeight="1" thickBot="1" x14ac:dyDescent="0.25">
      <c r="A65" s="263"/>
      <c r="B65" s="211" t="s">
        <v>211</v>
      </c>
      <c r="C65" s="189">
        <f>AVERAGEIFS($G$86:$G$404,$B$86:$B$404,C$3,$E$86:$E$404,"FB")</f>
        <v>2019.4664559090904</v>
      </c>
      <c r="D65" s="189">
        <f t="shared" ref="D65:J65" si="30">AVERAGEIFS($G$86:$G$404,$B$86:$B$404,D$3,$E$86:$E$404,"FB")</f>
        <v>2044.1486738888884</v>
      </c>
      <c r="E65" s="189">
        <f t="shared" si="30"/>
        <v>1854.8772340740743</v>
      </c>
      <c r="F65" s="189">
        <f t="shared" si="30"/>
        <v>1987.5049051515155</v>
      </c>
      <c r="G65" s="189">
        <f t="shared" si="30"/>
        <v>2144.050722105263</v>
      </c>
      <c r="H65" s="189">
        <f t="shared" si="30"/>
        <v>1907.8115144444444</v>
      </c>
      <c r="I65" s="189" t="e">
        <f t="shared" si="30"/>
        <v>#DIV/0!</v>
      </c>
      <c r="J65" s="191" t="e">
        <f t="shared" si="30"/>
        <v>#DIV/0!</v>
      </c>
      <c r="K65" s="236">
        <f>AVERAGEIFS(G86:G404, E86:E404,"FB")</f>
        <v>1980.4120545205474</v>
      </c>
      <c r="L65" s="192"/>
      <c r="M65" s="184"/>
      <c r="P65" s="221"/>
    </row>
    <row r="66" spans="1:19" s="92" customFormat="1" ht="18" customHeight="1" x14ac:dyDescent="0.2">
      <c r="A66" s="263"/>
      <c r="B66" s="212" t="s">
        <v>206</v>
      </c>
      <c r="C66" s="183">
        <f>AVERAGEIFS($F$86:$F$404,$B$86:$B$404,C$3,$E$86:$E$404,"SL")</f>
        <v>73.660662321166669</v>
      </c>
      <c r="D66" s="183">
        <f t="shared" ref="D66:J66" si="31">AVERAGEIFS($F$86:$F$404,$B$86:$B$404,D$3,$E$86:$E$404,"SL")</f>
        <v>73.250124192307709</v>
      </c>
      <c r="E66" s="183">
        <f t="shared" si="31"/>
        <v>73.858449446153855</v>
      </c>
      <c r="F66" s="183">
        <f t="shared" si="31"/>
        <v>73.195114860000004</v>
      </c>
      <c r="G66" s="183" t="e">
        <f t="shared" si="31"/>
        <v>#DIV/0!</v>
      </c>
      <c r="H66" s="183">
        <f t="shared" si="31"/>
        <v>73.206758769434771</v>
      </c>
      <c r="I66" s="183" t="e">
        <f t="shared" si="31"/>
        <v>#DIV/0!</v>
      </c>
      <c r="J66" s="190" t="e">
        <f t="shared" si="31"/>
        <v>#DIV/0!</v>
      </c>
      <c r="K66" s="194">
        <f>AVERAGEIFS(F86:F404, E86:E404,"SL")</f>
        <v>73.435618010303912</v>
      </c>
      <c r="L66" s="192"/>
      <c r="M66" s="184"/>
      <c r="O66" s="225"/>
      <c r="P66" s="223"/>
      <c r="Q66" s="225"/>
      <c r="R66" s="225"/>
      <c r="S66" s="225"/>
    </row>
    <row r="67" spans="1:19" s="92" customFormat="1" ht="18" customHeight="1" x14ac:dyDescent="0.2">
      <c r="A67" s="263"/>
      <c r="B67" s="212" t="s">
        <v>209</v>
      </c>
      <c r="C67" s="183">
        <f>_xlfn.MINIFS($F$86:$F$404,$B$86:$B$404,C$3,$E$86:$E$404,"SL")</f>
        <v>68.093404003000003</v>
      </c>
      <c r="D67" s="183">
        <f t="shared" ref="D67:J67" si="32">_xlfn.MINIFS($F$86:$F$404,$B$86:$B$404,D$3,$E$86:$E$404,"SL")</f>
        <v>66.997681400000005</v>
      </c>
      <c r="E67" s="183">
        <f t="shared" si="32"/>
        <v>71.904602100000005</v>
      </c>
      <c r="F67" s="183">
        <f t="shared" si="32"/>
        <v>70.761242600000003</v>
      </c>
      <c r="G67" s="183">
        <f t="shared" si="32"/>
        <v>0</v>
      </c>
      <c r="H67" s="183">
        <f t="shared" si="32"/>
        <v>71.650516549000002</v>
      </c>
      <c r="I67" s="183">
        <f t="shared" si="32"/>
        <v>0</v>
      </c>
      <c r="J67" s="190">
        <f t="shared" si="32"/>
        <v>0</v>
      </c>
      <c r="K67" s="195">
        <f>_xlfn.MINIFS(F86:F404, E86:E404,"SL")</f>
        <v>66.997681400000005</v>
      </c>
      <c r="L67" s="192"/>
      <c r="M67" s="184"/>
      <c r="O67" s="225"/>
      <c r="P67" s="223"/>
      <c r="Q67" s="225"/>
      <c r="R67" s="225"/>
      <c r="S67" s="225"/>
    </row>
    <row r="68" spans="1:19" s="92" customFormat="1" ht="18" customHeight="1" x14ac:dyDescent="0.2">
      <c r="A68" s="263"/>
      <c r="B68" s="212" t="s">
        <v>207</v>
      </c>
      <c r="C68" s="183">
        <f>_xlfn.MAXIFS($F$86:$F$404,$B$86:$B$404,C$3,$E$86:$E$404,"SL")</f>
        <v>75.826954130000004</v>
      </c>
      <c r="D68" s="183">
        <f t="shared" ref="D68:J68" si="33">_xlfn.MAXIFS($F$86:$F$404,$B$86:$B$404,D$3,$E$86:$E$404,"SL")</f>
        <v>76.922680999999997</v>
      </c>
      <c r="E68" s="183">
        <f t="shared" si="33"/>
        <v>76.605074099999996</v>
      </c>
      <c r="F68" s="183">
        <f t="shared" si="33"/>
        <v>76.478039899999999</v>
      </c>
      <c r="G68" s="183">
        <f t="shared" si="33"/>
        <v>0</v>
      </c>
      <c r="H68" s="183">
        <f t="shared" si="33"/>
        <v>74.953560588000002</v>
      </c>
      <c r="I68" s="183">
        <f t="shared" si="33"/>
        <v>0</v>
      </c>
      <c r="J68" s="190">
        <f t="shared" si="33"/>
        <v>0</v>
      </c>
      <c r="K68" s="195">
        <f>_xlfn.MAXIFS(F86:F404, E86:E404,"SL")</f>
        <v>76.922680999999997</v>
      </c>
      <c r="L68" s="192"/>
      <c r="M68" s="184"/>
      <c r="O68" s="225"/>
      <c r="P68" s="223"/>
      <c r="Q68" s="225"/>
      <c r="R68" s="225"/>
      <c r="S68" s="225"/>
    </row>
    <row r="69" spans="1:19" s="92" customFormat="1" ht="18" customHeight="1" thickBot="1" x14ac:dyDescent="0.25">
      <c r="A69" s="263"/>
      <c r="B69" s="212" t="s">
        <v>212</v>
      </c>
      <c r="C69" s="189">
        <f>AVERAGEIFS($G$86:$G$404,$B$86:$B$404,C$3,$E$86:$E$404,"SL")</f>
        <v>1850.2748616666668</v>
      </c>
      <c r="D69" s="189">
        <f t="shared" ref="D69:J69" si="34">AVERAGEIFS($G$86:$G$404,$B$86:$B$404,D$3,$E$86:$E$404,"SL")</f>
        <v>1930.8686405769233</v>
      </c>
      <c r="E69" s="189">
        <f t="shared" si="34"/>
        <v>2012.9741002692308</v>
      </c>
      <c r="F69" s="189">
        <f t="shared" si="34"/>
        <v>1955.5227786666667</v>
      </c>
      <c r="G69" s="189" t="e">
        <f t="shared" si="34"/>
        <v>#DIV/0!</v>
      </c>
      <c r="H69" s="189">
        <f t="shared" si="34"/>
        <v>1847.2129049565215</v>
      </c>
      <c r="I69" s="189" t="e">
        <f t="shared" si="34"/>
        <v>#DIV/0!</v>
      </c>
      <c r="J69" s="191" t="e">
        <f t="shared" si="34"/>
        <v>#DIV/0!</v>
      </c>
      <c r="K69" s="236">
        <f>AVERAGEIFS(G86:G404, E86:E404,"SL")</f>
        <v>1927.0779225098049</v>
      </c>
      <c r="L69" s="192"/>
      <c r="M69" s="184"/>
      <c r="O69" s="225"/>
      <c r="P69" s="223"/>
      <c r="Q69" s="225"/>
      <c r="R69" s="225"/>
      <c r="S69" s="225"/>
    </row>
    <row r="70" spans="1:19" s="92" customFormat="1" ht="18" customHeight="1" x14ac:dyDescent="0.2">
      <c r="A70" s="263"/>
      <c r="B70" s="213" t="s">
        <v>222</v>
      </c>
      <c r="C70" s="183">
        <f>AVERAGEIFS($F$86:$F$404,$B$86:$B$404,C$3,$E$86:$E$404,"CT")</f>
        <v>78.73829188516666</v>
      </c>
      <c r="D70" s="183">
        <f t="shared" ref="D70:J70" si="35">AVERAGEIFS($F$86:$F$404,$B$86:$B$404,D$3,$E$86:$E$404,"CT")</f>
        <v>77.036484900000005</v>
      </c>
      <c r="E70" s="183">
        <f t="shared" si="35"/>
        <v>79.108822358333327</v>
      </c>
      <c r="F70" s="183">
        <f t="shared" si="35"/>
        <v>77.704766835000001</v>
      </c>
      <c r="G70" s="183" t="e">
        <f t="shared" si="35"/>
        <v>#DIV/0!</v>
      </c>
      <c r="H70" s="183">
        <f t="shared" si="35"/>
        <v>77.150291727166675</v>
      </c>
      <c r="I70" s="183" t="e">
        <f t="shared" si="35"/>
        <v>#DIV/0!</v>
      </c>
      <c r="J70" s="190" t="e">
        <f t="shared" si="35"/>
        <v>#DIV/0!</v>
      </c>
      <c r="K70" s="194">
        <f>AVERAGEIFS(F86:F404, E86:E404,"CT")</f>
        <v>77.925952972089277</v>
      </c>
      <c r="L70" s="192"/>
      <c r="M70" s="184"/>
      <c r="O70" s="225"/>
      <c r="P70" s="223"/>
      <c r="Q70" s="225"/>
      <c r="R70" s="225"/>
      <c r="S70" s="225"/>
    </row>
    <row r="71" spans="1:19" s="92" customFormat="1" ht="18" customHeight="1" x14ac:dyDescent="0.2">
      <c r="A71" s="263"/>
      <c r="B71" s="213" t="s">
        <v>223</v>
      </c>
      <c r="C71" s="183">
        <f>_xlfn.MINIFS($F$86:$F$404,$B$86:$B$404,C$3,$E$86:$E$404,"CT")</f>
        <v>77.240281612000004</v>
      </c>
      <c r="D71" s="183">
        <f t="shared" ref="D71:J71" si="36">_xlfn.MINIFS($F$86:$F$404,$B$86:$B$404,D$3,$E$86:$E$404,"CT")</f>
        <v>75.525236000000007</v>
      </c>
      <c r="E71" s="183">
        <f t="shared" si="36"/>
        <v>77.811954999999998</v>
      </c>
      <c r="F71" s="183">
        <f t="shared" si="36"/>
        <v>75.842834600000003</v>
      </c>
      <c r="G71" s="183">
        <f t="shared" si="36"/>
        <v>0</v>
      </c>
      <c r="H71" s="183">
        <f t="shared" si="36"/>
        <v>75.144116217999994</v>
      </c>
      <c r="I71" s="183">
        <f t="shared" si="36"/>
        <v>0</v>
      </c>
      <c r="J71" s="190">
        <f t="shared" si="36"/>
        <v>0</v>
      </c>
      <c r="K71" s="195">
        <f>_xlfn.MINIFS(F86:F404, E86:E404,"CT")</f>
        <v>75.144116217999994</v>
      </c>
      <c r="L71" s="192"/>
      <c r="M71" s="184"/>
      <c r="O71" s="225"/>
      <c r="P71" s="223"/>
      <c r="Q71" s="225"/>
      <c r="R71" s="225"/>
      <c r="S71" s="225"/>
    </row>
    <row r="72" spans="1:19" s="92" customFormat="1" ht="18" customHeight="1" x14ac:dyDescent="0.2">
      <c r="A72" s="263"/>
      <c r="B72" s="213" t="s">
        <v>224</v>
      </c>
      <c r="C72" s="183">
        <f>_xlfn.MAXIFS($F$86:$F$404,$B$86:$B$404,C$3,$E$86:$E$404,"CT")</f>
        <v>79.908118146000007</v>
      </c>
      <c r="D72" s="183">
        <f t="shared" ref="D72:J72" si="37">_xlfn.MAXIFS($F$86:$F$404,$B$86:$B$404,D$3,$E$86:$E$404,"CT")</f>
        <v>77.621399400000001</v>
      </c>
      <c r="E72" s="183">
        <f t="shared" si="37"/>
        <v>80.479793799999996</v>
      </c>
      <c r="F72" s="183">
        <f t="shared" si="37"/>
        <v>79.145878600000003</v>
      </c>
      <c r="G72" s="183">
        <f t="shared" si="37"/>
        <v>0</v>
      </c>
      <c r="H72" s="183">
        <f t="shared" si="37"/>
        <v>78.701237264</v>
      </c>
      <c r="I72" s="183">
        <f t="shared" si="37"/>
        <v>0</v>
      </c>
      <c r="J72" s="190">
        <f t="shared" si="37"/>
        <v>0</v>
      </c>
      <c r="K72" s="195">
        <f>_xlfn.MAXIFS(F86:F404, E86:E404,"CT")</f>
        <v>80.479793799999996</v>
      </c>
      <c r="L72" s="192"/>
      <c r="M72" s="184"/>
      <c r="O72" s="225"/>
      <c r="P72" s="223"/>
      <c r="Q72" s="225"/>
      <c r="R72" s="225"/>
      <c r="S72" s="225"/>
    </row>
    <row r="73" spans="1:19" s="92" customFormat="1" ht="18" customHeight="1" thickBot="1" x14ac:dyDescent="0.25">
      <c r="A73" s="263"/>
      <c r="B73" s="213" t="s">
        <v>225</v>
      </c>
      <c r="C73" s="183">
        <f>AVERAGEIFS($G$86:$G$404,$B$86:$B$404,C$3,$E$86:$E$404,"CT")</f>
        <v>1718.5541783333335</v>
      </c>
      <c r="D73" s="183">
        <f t="shared" ref="D73:J73" si="38">AVERAGEIFS($G$86:$G$404,$B$86:$B$404,D$3,$E$86:$E$404,"CT")</f>
        <v>1153.7589581666668</v>
      </c>
      <c r="E73" s="183">
        <f t="shared" si="38"/>
        <v>2013.0325933333334</v>
      </c>
      <c r="F73" s="183">
        <f t="shared" si="38"/>
        <v>1581.0561128999998</v>
      </c>
      <c r="G73" s="183" t="e">
        <f t="shared" si="38"/>
        <v>#DIV/0!</v>
      </c>
      <c r="H73" s="183">
        <f t="shared" si="38"/>
        <v>1556.2754205000001</v>
      </c>
      <c r="I73" s="183" t="e">
        <f t="shared" si="38"/>
        <v>#DIV/0!</v>
      </c>
      <c r="J73" s="190" t="e">
        <f t="shared" si="38"/>
        <v>#DIV/0!</v>
      </c>
      <c r="K73" s="236">
        <f>AVERAGEIFS(G86:G404, E86:E404,"CT")</f>
        <v>1637.2624507678568</v>
      </c>
      <c r="L73" s="192"/>
      <c r="M73" s="184"/>
      <c r="O73" s="225"/>
      <c r="P73" s="223"/>
      <c r="Q73" s="225"/>
      <c r="R73" s="225"/>
      <c r="S73" s="225"/>
    </row>
    <row r="74" spans="1:19" s="92" customFormat="1" ht="18" customHeight="1" x14ac:dyDescent="0.2">
      <c r="A74" s="263"/>
      <c r="B74" s="214" t="s">
        <v>215</v>
      </c>
      <c r="C74" s="183" t="e">
        <f>AVERAGEIFS($F$86:$F$404,$B$86:$B$404,C$3,$E$86:$E$404,"CH")</f>
        <v>#DIV/0!</v>
      </c>
      <c r="D74" s="183">
        <f t="shared" ref="D74:J74" si="39">AVERAGEIFS($F$86:$F$404,$B$86:$B$404,D$3,$E$86:$E$404,"CH")</f>
        <v>80.06294732500001</v>
      </c>
      <c r="E74" s="183">
        <f t="shared" si="39"/>
        <v>79.961049900000006</v>
      </c>
      <c r="F74" s="183">
        <f t="shared" si="39"/>
        <v>78.828274433333334</v>
      </c>
      <c r="G74" s="183" t="e">
        <f t="shared" si="39"/>
        <v>#DIV/0!</v>
      </c>
      <c r="H74" s="183">
        <f t="shared" si="39"/>
        <v>78.250245689400003</v>
      </c>
      <c r="I74" s="183" t="e">
        <f t="shared" si="39"/>
        <v>#DIV/0!</v>
      </c>
      <c r="J74" s="190" t="e">
        <f t="shared" si="39"/>
        <v>#DIV/0!</v>
      </c>
      <c r="K74" s="194">
        <f>AVERAGEIFS(F86:F404, E86:E404,"CH")</f>
        <v>79.19139938313333</v>
      </c>
      <c r="L74" s="192"/>
      <c r="M74" s="184"/>
      <c r="O74" s="225"/>
      <c r="P74" s="223"/>
      <c r="Q74" s="225"/>
      <c r="R74" s="225"/>
      <c r="S74" s="225"/>
    </row>
    <row r="75" spans="1:19" s="92" customFormat="1" ht="18" customHeight="1" x14ac:dyDescent="0.2">
      <c r="A75" s="263"/>
      <c r="B75" s="214" t="s">
        <v>210</v>
      </c>
      <c r="C75" s="183">
        <f>_xlfn.MINIFS($F$86:$F$404,$B$86:$B$404,C$3,$E$86:$E$404,"CH")</f>
        <v>0</v>
      </c>
      <c r="D75" s="183">
        <f t="shared" ref="D75:J75" si="40">_xlfn.MINIFS($F$86:$F$404,$B$86:$B$404,D$3,$E$86:$E$404,"CH")</f>
        <v>78.002519100000001</v>
      </c>
      <c r="E75" s="183">
        <f t="shared" si="40"/>
        <v>79.526998399999997</v>
      </c>
      <c r="F75" s="183">
        <f t="shared" si="40"/>
        <v>78.193074800000005</v>
      </c>
      <c r="G75" s="183">
        <f t="shared" si="40"/>
        <v>0</v>
      </c>
      <c r="H75" s="183">
        <f t="shared" si="40"/>
        <v>75.588757356000002</v>
      </c>
      <c r="I75" s="183">
        <f t="shared" si="40"/>
        <v>0</v>
      </c>
      <c r="J75" s="190">
        <f t="shared" si="40"/>
        <v>0</v>
      </c>
      <c r="K75" s="195">
        <f>_xlfn.MINIFS(F86:F404, E86:E404,"CH")</f>
        <v>75.588757356000002</v>
      </c>
      <c r="L75" s="192"/>
      <c r="M75" s="184"/>
      <c r="O75" s="225"/>
      <c r="P75" s="223"/>
      <c r="Q75" s="133"/>
      <c r="R75" s="225"/>
      <c r="S75" s="225"/>
    </row>
    <row r="76" spans="1:19" s="92" customFormat="1" ht="18" customHeight="1" x14ac:dyDescent="0.2">
      <c r="A76" s="263"/>
      <c r="B76" s="214" t="s">
        <v>214</v>
      </c>
      <c r="C76" s="183">
        <f>_xlfn.MAXIFS($F$86:$F$404,$B$86:$B$404,C$3,$E$86:$E$404,"CH")</f>
        <v>0</v>
      </c>
      <c r="D76" s="183">
        <f t="shared" ref="D76:J76" si="41">_xlfn.MAXIFS($F$86:$F$404,$B$86:$B$404,D$3,$E$86:$E$404,"CH")</f>
        <v>81.543751400000005</v>
      </c>
      <c r="E76" s="183">
        <f t="shared" si="41"/>
        <v>80.336879100000004</v>
      </c>
      <c r="F76" s="183">
        <f t="shared" si="41"/>
        <v>79.781075400000006</v>
      </c>
      <c r="G76" s="183">
        <f t="shared" si="41"/>
        <v>0</v>
      </c>
      <c r="H76" s="183">
        <f t="shared" si="41"/>
        <v>79.781075392999995</v>
      </c>
      <c r="I76" s="183">
        <f t="shared" si="41"/>
        <v>0</v>
      </c>
      <c r="J76" s="190">
        <f t="shared" si="41"/>
        <v>0</v>
      </c>
      <c r="K76" s="195">
        <f>_xlfn.MAXIFS(F86:F404, E86:E404,"CH")</f>
        <v>81.543751400000005</v>
      </c>
      <c r="L76" s="192"/>
      <c r="M76" s="184"/>
      <c r="O76" s="225"/>
      <c r="P76" s="223"/>
      <c r="Q76" s="225"/>
      <c r="R76" s="225"/>
      <c r="S76" s="225"/>
    </row>
    <row r="77" spans="1:19" s="181" customFormat="1" ht="18" customHeight="1" thickBot="1" x14ac:dyDescent="0.25">
      <c r="A77" s="264"/>
      <c r="B77" s="215" t="s">
        <v>213</v>
      </c>
      <c r="C77" s="189" t="e">
        <f>AVERAGEIFS($G$86:$G$404,$B$86:$B$404,C$3,$E$86:$E$404,"CH")</f>
        <v>#DIV/0!</v>
      </c>
      <c r="D77" s="189">
        <f t="shared" ref="D77:J77" si="42">AVERAGEIFS($G$86:$G$404,$B$86:$B$404,D$3,$E$86:$E$404,"CH")</f>
        <v>1763.1748674999999</v>
      </c>
      <c r="E77" s="189">
        <f t="shared" si="42"/>
        <v>1599.4587799999999</v>
      </c>
      <c r="F77" s="189">
        <f t="shared" si="42"/>
        <v>1439.2006066666665</v>
      </c>
      <c r="G77" s="189" t="e">
        <f t="shared" si="42"/>
        <v>#DIV/0!</v>
      </c>
      <c r="H77" s="189">
        <f t="shared" si="42"/>
        <v>1386.4962419999999</v>
      </c>
      <c r="I77" s="189" t="e">
        <f t="shared" si="42"/>
        <v>#DIV/0!</v>
      </c>
      <c r="J77" s="191" t="e">
        <f t="shared" si="42"/>
        <v>#DIV/0!</v>
      </c>
      <c r="K77" s="237">
        <f>AVERAGEIFS(G86:G404, E86:E404,"CH")</f>
        <v>1540.0772560000003</v>
      </c>
      <c r="L77" s="193"/>
      <c r="M77" s="185"/>
      <c r="O77" s="226"/>
      <c r="P77" s="227"/>
      <c r="Q77" s="226"/>
      <c r="R77" s="226"/>
      <c r="S77" s="226"/>
    </row>
    <row r="78" spans="1:19" ht="16" customHeight="1" x14ac:dyDescent="0.2">
      <c r="A78" s="267" t="s">
        <v>221</v>
      </c>
      <c r="B78" s="245" t="s">
        <v>217</v>
      </c>
      <c r="C78" s="11">
        <f>AVERAGEIFS($K$86:$K$404,$B$86:$B$404,C$3)</f>
        <v>82.669086021399991</v>
      </c>
      <c r="D78" s="11">
        <f t="shared" ref="D78:J78" si="43">AVERAGEIFS($K$86:$K$404,$B$86:$B$404,D$3)</f>
        <v>79.63277874545453</v>
      </c>
      <c r="E78" s="11">
        <f t="shared" si="43"/>
        <v>80.870239775000002</v>
      </c>
      <c r="F78" s="11">
        <f t="shared" si="43"/>
        <v>79.15737158461539</v>
      </c>
      <c r="G78" s="11" t="e">
        <f t="shared" si="43"/>
        <v>#DIV/0!</v>
      </c>
      <c r="H78" s="11">
        <f t="shared" si="43"/>
        <v>77.94789221066668</v>
      </c>
      <c r="I78" s="11" t="e">
        <f t="shared" si="43"/>
        <v>#DIV/0!</v>
      </c>
      <c r="J78" s="11" t="e">
        <f t="shared" si="43"/>
        <v>#DIV/0!</v>
      </c>
      <c r="K78" s="238">
        <f>AVERAGE(K86:K404)</f>
        <v>79.605886768061197</v>
      </c>
      <c r="P78" s="220"/>
    </row>
    <row r="79" spans="1:19" x14ac:dyDescent="0.2">
      <c r="A79" s="268"/>
      <c r="B79" s="245" t="s">
        <v>218</v>
      </c>
      <c r="C79" s="11">
        <f>AVERAGEIFS($L$86:$L$404,$B$86:$B$404,C$3)</f>
        <v>20.105638120000002</v>
      </c>
      <c r="D79" s="11">
        <f t="shared" ref="D79:J79" si="44">AVERAGEIFS($L$86:$L$404,$B$86:$B$404,D$3)</f>
        <v>5.6206484808333315</v>
      </c>
      <c r="E79" s="11">
        <f t="shared" si="44"/>
        <v>40.667015237499996</v>
      </c>
      <c r="F79" s="11">
        <f t="shared" si="44"/>
        <v>29.936776175384619</v>
      </c>
      <c r="G79" s="11" t="e">
        <f t="shared" si="44"/>
        <v>#DIV/0!</v>
      </c>
      <c r="H79" s="11">
        <f t="shared" si="44"/>
        <v>6.4438755341666676</v>
      </c>
      <c r="I79" s="11" t="e">
        <f>AVERAGEIFS($L$86:$L$404,$B$86:$B$404,I$3)</f>
        <v>#DIV/0!</v>
      </c>
      <c r="J79" s="11" t="e">
        <f t="shared" si="44"/>
        <v>#DIV/0!</v>
      </c>
      <c r="K79" s="198">
        <f>AVERAGE(L86:L404)</f>
        <v>19.196333819200003</v>
      </c>
      <c r="P79" s="220"/>
    </row>
    <row r="80" spans="1:19" x14ac:dyDescent="0.2">
      <c r="A80" s="268"/>
      <c r="B80" s="246" t="s">
        <v>219</v>
      </c>
      <c r="C80" s="11">
        <f>AVERAGEIFS($O$86:$O$404,$B$86:$B$404,C$3)</f>
        <v>189.25</v>
      </c>
      <c r="D80" s="11">
        <f t="shared" ref="D80:J80" si="45">AVERAGEIFS($O$86:$O$404,$B$86:$B$404,D$3)</f>
        <v>123.66666666666667</v>
      </c>
      <c r="E80" s="11">
        <f t="shared" si="45"/>
        <v>267.71428571428572</v>
      </c>
      <c r="F80" s="11">
        <f t="shared" si="45"/>
        <v>228.33333333333334</v>
      </c>
      <c r="G80" s="11" t="e">
        <f t="shared" si="45"/>
        <v>#DIV/0!</v>
      </c>
      <c r="H80" s="11">
        <f t="shared" si="45"/>
        <v>155.5</v>
      </c>
      <c r="I80" s="11" t="e">
        <f t="shared" si="45"/>
        <v>#DIV/0!</v>
      </c>
      <c r="J80" s="11" t="e">
        <f t="shared" si="45"/>
        <v>#DIV/0!</v>
      </c>
      <c r="K80" s="198">
        <f>AVERAGE(O374:O404)</f>
        <v>125.71428571428571</v>
      </c>
      <c r="L80"/>
      <c r="M80"/>
      <c r="P80" s="220"/>
    </row>
    <row r="81" spans="1:29" x14ac:dyDescent="0.2">
      <c r="A81" s="268"/>
      <c r="B81" s="245" t="s">
        <v>231</v>
      </c>
      <c r="C81" s="172">
        <f>AVERAGEIFS($P$86:$P$404,$B$86:$B$404,C$3)</f>
        <v>0.85600709540000008</v>
      </c>
      <c r="D81" s="172">
        <f t="shared" ref="D81:J81" si="46">AVERAGEIFS($P$86:$P$404,$B$86:$B$404,D$3)</f>
        <v>0.82150186636363642</v>
      </c>
      <c r="E81" s="172">
        <f t="shared" si="46"/>
        <v>0.78222822125000002</v>
      </c>
      <c r="F81" s="172">
        <f t="shared" si="46"/>
        <v>0.74028555153846165</v>
      </c>
      <c r="G81" s="172" t="e">
        <f t="shared" si="46"/>
        <v>#DIV/0!</v>
      </c>
      <c r="H81" s="172">
        <f t="shared" si="46"/>
        <v>0.74509637858333322</v>
      </c>
      <c r="I81" s="172" t="e">
        <f t="shared" si="46"/>
        <v>#DIV/0!</v>
      </c>
      <c r="J81" s="172" t="e">
        <f t="shared" si="46"/>
        <v>#DIV/0!</v>
      </c>
      <c r="K81" s="199">
        <f>AVERAGE(P374:P404)</f>
        <v>0.72630928928571403</v>
      </c>
      <c r="L81"/>
      <c r="M81"/>
      <c r="P81" s="220"/>
    </row>
    <row r="82" spans="1:29" ht="17" thickBot="1" x14ac:dyDescent="0.25">
      <c r="A82" s="269"/>
      <c r="B82" s="247" t="s">
        <v>220</v>
      </c>
      <c r="C82" s="173">
        <f>(SUM(C51,C54,C57,C60)/(SUM(C50,C53,C56,C59)))</f>
        <v>0.23076923076923078</v>
      </c>
      <c r="D82" s="173">
        <f t="shared" ref="D82:F82" si="47">(SUM(D51,D54,D57,D60)/(SUM(D50,D53,D56,D59)))</f>
        <v>0.12</v>
      </c>
      <c r="E82" s="173">
        <f t="shared" si="47"/>
        <v>0.375</v>
      </c>
      <c r="F82" s="173">
        <f t="shared" si="47"/>
        <v>0.36363636363636365</v>
      </c>
      <c r="G82" s="173">
        <f>(SUM(C51:F51)+SUM(C54:F54)+SUM(C57:F57)+SUM(C60:F60))/(SUM(C50:F50)+SUM(C53:F53)+SUM(C56:F56)+SUM(C59:F59))</f>
        <v>0.29126213592233008</v>
      </c>
      <c r="H82" s="173">
        <f>(SUM(D51:G51)+SUM(D54:G54)+SUM(D57:G57)+SUM(D60:G60))/(SUM(D50:G50)+SUM(D53:G53)+SUM(D56:G56)+SUM(D59:G59))</f>
        <v>0.3</v>
      </c>
      <c r="I82" s="115"/>
      <c r="J82" s="115"/>
      <c r="K82" s="201"/>
      <c r="L82"/>
      <c r="M82"/>
      <c r="P82" s="220"/>
    </row>
    <row r="83" spans="1:29" x14ac:dyDescent="0.2">
      <c r="C83"/>
      <c r="D83"/>
      <c r="E83"/>
      <c r="F83"/>
      <c r="G83"/>
      <c r="H83"/>
      <c r="I83"/>
      <c r="J83"/>
      <c r="K83"/>
      <c r="L83"/>
      <c r="M83"/>
      <c r="P83" s="220"/>
    </row>
    <row r="84" spans="1:29" x14ac:dyDescent="0.2">
      <c r="C84" s="33"/>
      <c r="D84" s="33"/>
      <c r="E84" s="33"/>
      <c r="F84" s="33"/>
      <c r="G84" s="172"/>
      <c r="H84" s="172"/>
    </row>
    <row r="85" spans="1:29" s="6" customFormat="1" x14ac:dyDescent="0.2">
      <c r="A85" s="6" t="s">
        <v>0</v>
      </c>
      <c r="B85" s="6" t="s">
        <v>1</v>
      </c>
      <c r="C85" s="6" t="s">
        <v>2</v>
      </c>
      <c r="D85" s="6" t="s">
        <v>3</v>
      </c>
      <c r="E85" s="12" t="s">
        <v>31</v>
      </c>
      <c r="F85" s="15" t="s">
        <v>30</v>
      </c>
      <c r="G85" s="202" t="s">
        <v>5</v>
      </c>
      <c r="H85" s="21" t="s">
        <v>32</v>
      </c>
      <c r="I85" s="18" t="s">
        <v>203</v>
      </c>
      <c r="J85" s="6" t="s">
        <v>4</v>
      </c>
      <c r="K85" s="15" t="s">
        <v>6</v>
      </c>
      <c r="L85" s="15" t="s">
        <v>7</v>
      </c>
      <c r="M85" s="15" t="s">
        <v>8</v>
      </c>
      <c r="N85" s="15" t="s">
        <v>9</v>
      </c>
      <c r="O85" s="15" t="s">
        <v>11</v>
      </c>
      <c r="P85" s="171" t="s">
        <v>15</v>
      </c>
    </row>
    <row r="86" spans="1:29" s="114" customFormat="1" x14ac:dyDescent="0.2">
      <c r="A86" s="114">
        <v>1</v>
      </c>
      <c r="B86" s="203">
        <v>46193</v>
      </c>
      <c r="C86" s="204">
        <v>0.79833333333333334</v>
      </c>
      <c r="D86" s="114" t="s">
        <v>18</v>
      </c>
      <c r="E86" s="216" t="s">
        <v>33</v>
      </c>
      <c r="F86" s="206">
        <v>84.005154117999993</v>
      </c>
      <c r="G86" s="207">
        <v>2205.5835000000002</v>
      </c>
      <c r="H86" s="208">
        <v>0</v>
      </c>
      <c r="I86" s="209"/>
      <c r="J86" s="114" t="s">
        <v>22</v>
      </c>
      <c r="K86" s="206"/>
      <c r="L86" s="206"/>
      <c r="M86" s="206"/>
      <c r="N86" s="206"/>
      <c r="O86" s="206"/>
      <c r="P86" s="222"/>
      <c r="R86" s="216" t="s">
        <v>36</v>
      </c>
      <c r="S86" s="208">
        <v>1</v>
      </c>
      <c r="T86" s="209" t="s">
        <v>40</v>
      </c>
      <c r="AA86" s="253" t="s">
        <v>35</v>
      </c>
      <c r="AB86" s="113">
        <v>0</v>
      </c>
      <c r="AC86" s="112" t="s">
        <v>48</v>
      </c>
    </row>
    <row r="87" spans="1:29" x14ac:dyDescent="0.2">
      <c r="A87">
        <v>2</v>
      </c>
      <c r="B87" s="1">
        <v>46193</v>
      </c>
      <c r="C87" s="2">
        <v>0.79879629629629634</v>
      </c>
      <c r="D87" t="s">
        <v>18</v>
      </c>
      <c r="E87" s="12" t="s">
        <v>37</v>
      </c>
      <c r="F87" s="11">
        <v>74.191321067000004</v>
      </c>
      <c r="G87" s="4">
        <v>2112.2353499999999</v>
      </c>
      <c r="H87" s="20">
        <v>1</v>
      </c>
      <c r="I87" s="17" t="s">
        <v>39</v>
      </c>
      <c r="J87" t="s">
        <v>22</v>
      </c>
      <c r="K87" s="11"/>
      <c r="L87" s="11"/>
      <c r="M87" s="11"/>
      <c r="N87" s="11">
        <v>60.294519016000002</v>
      </c>
      <c r="O87" s="11"/>
      <c r="P87" s="33"/>
      <c r="R87" s="12" t="s">
        <v>36</v>
      </c>
      <c r="S87" s="20">
        <v>0</v>
      </c>
      <c r="T87" s="17"/>
      <c r="AA87" s="12" t="s">
        <v>35</v>
      </c>
      <c r="AB87" s="20">
        <v>1</v>
      </c>
      <c r="AC87" s="17" t="s">
        <v>42</v>
      </c>
    </row>
    <row r="88" spans="1:29" x14ac:dyDescent="0.2">
      <c r="A88">
        <v>3</v>
      </c>
      <c r="B88" s="1">
        <v>46193</v>
      </c>
      <c r="C88" s="2">
        <v>0.79901620370370374</v>
      </c>
      <c r="D88" t="s">
        <v>18</v>
      </c>
      <c r="E88" s="12" t="s">
        <v>33</v>
      </c>
      <c r="F88" s="11">
        <v>86.641228846000004</v>
      </c>
      <c r="G88" s="4">
        <v>2295.9765600000001</v>
      </c>
      <c r="H88" s="20">
        <v>0</v>
      </c>
      <c r="I88" s="17"/>
      <c r="J88" t="s">
        <v>22</v>
      </c>
      <c r="K88" s="11"/>
      <c r="L88" s="11"/>
      <c r="M88" s="11"/>
      <c r="N88" s="11"/>
      <c r="O88" s="11"/>
      <c r="P88" s="33"/>
      <c r="R88" s="12" t="s">
        <v>36</v>
      </c>
      <c r="S88" s="20">
        <v>1</v>
      </c>
      <c r="T88" s="17" t="s">
        <v>43</v>
      </c>
      <c r="AA88" s="218" t="s">
        <v>35</v>
      </c>
      <c r="AB88" s="22">
        <v>1</v>
      </c>
      <c r="AC88" s="19" t="s">
        <v>38</v>
      </c>
    </row>
    <row r="89" spans="1:29" x14ac:dyDescent="0.2">
      <c r="A89">
        <v>4</v>
      </c>
      <c r="B89" s="1">
        <v>46193</v>
      </c>
      <c r="C89" s="2">
        <v>0.79931712962962964</v>
      </c>
      <c r="D89" t="s">
        <v>18</v>
      </c>
      <c r="E89" s="12" t="s">
        <v>36</v>
      </c>
      <c r="F89" s="11">
        <v>78.367758648000006</v>
      </c>
      <c r="G89" s="4">
        <v>1101.5678700000001</v>
      </c>
      <c r="H89" s="20">
        <v>1</v>
      </c>
      <c r="I89" s="17" t="s">
        <v>255</v>
      </c>
      <c r="J89" t="s">
        <v>22</v>
      </c>
      <c r="K89" s="11">
        <v>82.175236229000006</v>
      </c>
      <c r="L89" s="11">
        <v>35.504779800000001</v>
      </c>
      <c r="M89" s="11">
        <v>19.350521100000002</v>
      </c>
      <c r="N89" s="11">
        <v>67.487151846000003</v>
      </c>
      <c r="O89" s="11">
        <v>291</v>
      </c>
      <c r="P89" s="33">
        <v>0.82801643400000002</v>
      </c>
      <c r="R89" s="12" t="s">
        <v>36</v>
      </c>
      <c r="S89" s="20">
        <v>0</v>
      </c>
      <c r="T89" s="17"/>
      <c r="AA89" s="218" t="s">
        <v>35</v>
      </c>
      <c r="AB89" s="22">
        <v>1</v>
      </c>
      <c r="AC89" s="19" t="s">
        <v>38</v>
      </c>
    </row>
    <row r="90" spans="1:29" x14ac:dyDescent="0.2">
      <c r="A90">
        <v>5</v>
      </c>
      <c r="B90" s="1">
        <v>46193</v>
      </c>
      <c r="C90" s="2">
        <v>0.79967592592592596</v>
      </c>
      <c r="D90" t="s">
        <v>18</v>
      </c>
      <c r="E90" s="12" t="s">
        <v>37</v>
      </c>
      <c r="F90" s="11">
        <v>74.445398073999996</v>
      </c>
      <c r="G90" s="4">
        <v>2217.4929200000001</v>
      </c>
      <c r="H90" s="20">
        <v>0</v>
      </c>
      <c r="I90" s="17"/>
      <c r="J90" t="s">
        <v>20</v>
      </c>
      <c r="K90" s="11"/>
      <c r="L90" s="11"/>
      <c r="M90" s="11"/>
      <c r="N90" s="11"/>
      <c r="O90" s="11"/>
      <c r="P90" s="33"/>
      <c r="R90" s="12" t="s">
        <v>36</v>
      </c>
      <c r="S90" s="20">
        <v>1</v>
      </c>
      <c r="T90" s="17" t="s">
        <v>38</v>
      </c>
      <c r="AA90" s="218" t="s">
        <v>35</v>
      </c>
      <c r="AB90" s="22">
        <v>1</v>
      </c>
      <c r="AC90" s="19" t="s">
        <v>38</v>
      </c>
    </row>
    <row r="91" spans="1:29" x14ac:dyDescent="0.2">
      <c r="A91">
        <v>6</v>
      </c>
      <c r="B91" s="1">
        <v>46193</v>
      </c>
      <c r="C91" s="2">
        <v>0.79986111111111113</v>
      </c>
      <c r="D91" t="s">
        <v>18</v>
      </c>
      <c r="E91" s="12" t="s">
        <v>33</v>
      </c>
      <c r="F91" s="11">
        <v>84.735632950999999</v>
      </c>
      <c r="G91" s="4">
        <v>1159.7811300000001</v>
      </c>
      <c r="H91" s="20">
        <v>1</v>
      </c>
      <c r="I91" s="17" t="s">
        <v>38</v>
      </c>
      <c r="J91" t="s">
        <v>20</v>
      </c>
      <c r="K91" s="11">
        <v>67.705513038000007</v>
      </c>
      <c r="L91" s="11">
        <v>38.610313400000003</v>
      </c>
      <c r="M91" s="11"/>
      <c r="N91" s="11">
        <v>67.908595508999994</v>
      </c>
      <c r="O91" s="11"/>
      <c r="P91" s="33">
        <v>0.66806121799999996</v>
      </c>
      <c r="R91" s="12" t="s">
        <v>36</v>
      </c>
      <c r="S91" s="20">
        <v>0</v>
      </c>
      <c r="T91" s="17"/>
      <c r="AA91" s="218" t="s">
        <v>35</v>
      </c>
      <c r="AB91" s="22">
        <v>1</v>
      </c>
      <c r="AC91" s="19" t="s">
        <v>38</v>
      </c>
    </row>
    <row r="92" spans="1:29" x14ac:dyDescent="0.2">
      <c r="A92">
        <v>7</v>
      </c>
      <c r="B92" s="1">
        <v>46193</v>
      </c>
      <c r="C92" s="2">
        <v>0.80012731481481481</v>
      </c>
      <c r="D92" t="s">
        <v>18</v>
      </c>
      <c r="E92" s="12" t="s">
        <v>33</v>
      </c>
      <c r="F92" s="11">
        <v>81.369076035000006</v>
      </c>
      <c r="G92" s="4">
        <v>1434.2364500000001</v>
      </c>
      <c r="H92" s="20">
        <v>0</v>
      </c>
      <c r="I92" s="17"/>
      <c r="J92" t="s">
        <v>20</v>
      </c>
      <c r="K92" s="11"/>
      <c r="L92" s="11"/>
      <c r="M92" s="11"/>
      <c r="N92" s="11"/>
      <c r="O92" s="11"/>
      <c r="P92" s="33"/>
      <c r="R92" s="12" t="s">
        <v>33</v>
      </c>
      <c r="S92" s="20">
        <v>0</v>
      </c>
      <c r="T92" s="17"/>
      <c r="AA92" s="218" t="s">
        <v>35</v>
      </c>
      <c r="AB92" s="22">
        <v>1</v>
      </c>
      <c r="AC92" s="19" t="s">
        <v>255</v>
      </c>
    </row>
    <row r="93" spans="1:29" x14ac:dyDescent="0.2">
      <c r="A93">
        <v>8</v>
      </c>
      <c r="B93" s="1">
        <v>46193</v>
      </c>
      <c r="C93" s="2">
        <v>0.80032407407407402</v>
      </c>
      <c r="D93" t="s">
        <v>18</v>
      </c>
      <c r="E93" s="12" t="s">
        <v>37</v>
      </c>
      <c r="F93" s="11">
        <v>74.572440827999998</v>
      </c>
      <c r="G93" s="4">
        <v>2281.04468</v>
      </c>
      <c r="H93" s="20">
        <v>0</v>
      </c>
      <c r="I93" s="17"/>
      <c r="J93" t="s">
        <v>20</v>
      </c>
      <c r="K93" s="11"/>
      <c r="L93" s="11"/>
      <c r="M93" s="11"/>
      <c r="N93" s="11"/>
      <c r="O93" s="11"/>
      <c r="P93" s="33"/>
      <c r="R93" s="12" t="s">
        <v>33</v>
      </c>
      <c r="S93" s="20">
        <v>0</v>
      </c>
      <c r="T93" s="17"/>
      <c r="AA93" s="218" t="s">
        <v>35</v>
      </c>
      <c r="AB93" s="22">
        <v>1</v>
      </c>
      <c r="AC93" s="19" t="s">
        <v>255</v>
      </c>
    </row>
    <row r="94" spans="1:29" x14ac:dyDescent="0.2">
      <c r="A94">
        <v>9</v>
      </c>
      <c r="B94" s="1">
        <v>46193</v>
      </c>
      <c r="C94" s="2">
        <v>0.80052083333333335</v>
      </c>
      <c r="D94" t="s">
        <v>18</v>
      </c>
      <c r="E94" s="12" t="s">
        <v>33</v>
      </c>
      <c r="F94" s="11">
        <v>85.180274311999995</v>
      </c>
      <c r="G94" s="4">
        <v>2337.9057600000001</v>
      </c>
      <c r="H94" s="20">
        <v>0</v>
      </c>
      <c r="I94" s="17" t="s">
        <v>48</v>
      </c>
      <c r="J94" t="s">
        <v>20</v>
      </c>
      <c r="K94" s="11"/>
      <c r="L94" s="11"/>
      <c r="M94" s="11"/>
      <c r="N94" s="11"/>
      <c r="O94" s="11"/>
      <c r="P94" s="172"/>
      <c r="R94" s="12" t="s">
        <v>33</v>
      </c>
      <c r="S94" s="20">
        <v>1</v>
      </c>
      <c r="T94" s="17" t="s">
        <v>38</v>
      </c>
      <c r="AA94" s="218" t="s">
        <v>35</v>
      </c>
      <c r="AB94" s="22">
        <v>0</v>
      </c>
      <c r="AC94" s="19"/>
    </row>
    <row r="95" spans="1:29" x14ac:dyDescent="0.2">
      <c r="A95">
        <v>10</v>
      </c>
      <c r="B95" s="1">
        <v>46193</v>
      </c>
      <c r="C95" s="2">
        <v>0.80074074074074075</v>
      </c>
      <c r="D95" t="s">
        <v>18</v>
      </c>
      <c r="E95" s="12" t="s">
        <v>33</v>
      </c>
      <c r="F95" s="11">
        <v>85.053227978999999</v>
      </c>
      <c r="G95" s="4">
        <v>1171.7508499999999</v>
      </c>
      <c r="H95" s="20">
        <v>1</v>
      </c>
      <c r="I95" s="17" t="s">
        <v>254</v>
      </c>
      <c r="J95" t="s">
        <v>20</v>
      </c>
      <c r="K95" s="11">
        <v>91.220020078999994</v>
      </c>
      <c r="L95" s="11">
        <v>12.125843</v>
      </c>
      <c r="M95" s="11"/>
      <c r="N95" s="11">
        <v>72.656857908000006</v>
      </c>
      <c r="O95" s="11">
        <v>224</v>
      </c>
      <c r="P95" s="33">
        <v>0.85238060000000004</v>
      </c>
      <c r="R95" s="12" t="s">
        <v>33</v>
      </c>
      <c r="S95" s="20">
        <v>0</v>
      </c>
      <c r="T95" s="17"/>
      <c r="AA95" s="218" t="s">
        <v>35</v>
      </c>
      <c r="AB95" s="22">
        <v>0</v>
      </c>
      <c r="AC95" s="19"/>
    </row>
    <row r="96" spans="1:29" x14ac:dyDescent="0.2">
      <c r="A96">
        <v>11</v>
      </c>
      <c r="B96" s="1">
        <v>46193</v>
      </c>
      <c r="C96" s="2">
        <v>0.80109953703703707</v>
      </c>
      <c r="D96" t="s">
        <v>18</v>
      </c>
      <c r="E96" s="12" t="s">
        <v>33</v>
      </c>
      <c r="F96" s="11">
        <v>84.735632950999999</v>
      </c>
      <c r="G96" s="4">
        <v>2150.64</v>
      </c>
      <c r="H96" s="20">
        <v>0</v>
      </c>
      <c r="I96" s="17"/>
      <c r="J96" t="s">
        <v>23</v>
      </c>
      <c r="K96" s="11"/>
      <c r="L96" s="11"/>
      <c r="M96" s="11"/>
      <c r="N96" s="11"/>
      <c r="O96" s="11"/>
      <c r="P96" s="33"/>
      <c r="R96" s="12" t="s">
        <v>33</v>
      </c>
      <c r="S96" s="20">
        <v>0</v>
      </c>
      <c r="T96" s="17" t="s">
        <v>48</v>
      </c>
      <c r="AA96" s="218" t="s">
        <v>35</v>
      </c>
      <c r="AB96" s="22">
        <v>0</v>
      </c>
      <c r="AC96" s="19"/>
    </row>
    <row r="97" spans="1:29" x14ac:dyDescent="0.2">
      <c r="A97">
        <v>12</v>
      </c>
      <c r="B97" s="1">
        <v>46193</v>
      </c>
      <c r="C97" s="2">
        <v>0.80137731481481478</v>
      </c>
      <c r="D97" t="s">
        <v>18</v>
      </c>
      <c r="E97" s="12" t="s">
        <v>33</v>
      </c>
      <c r="F97" s="11">
        <v>81.559631664999998</v>
      </c>
      <c r="G97" s="4">
        <v>2143.5754400000001</v>
      </c>
      <c r="H97" s="20">
        <v>0</v>
      </c>
      <c r="I97" s="17"/>
      <c r="J97" t="s">
        <v>23</v>
      </c>
      <c r="K97" s="11"/>
      <c r="L97" s="11"/>
      <c r="M97" s="11"/>
      <c r="N97" s="11"/>
      <c r="O97" s="11"/>
      <c r="P97" s="33"/>
      <c r="R97" s="12" t="s">
        <v>33</v>
      </c>
      <c r="S97" s="20">
        <v>1</v>
      </c>
      <c r="T97" s="17" t="s">
        <v>40</v>
      </c>
      <c r="AA97" s="12" t="s">
        <v>35</v>
      </c>
      <c r="AB97" s="20">
        <v>0</v>
      </c>
      <c r="AC97" s="17"/>
    </row>
    <row r="98" spans="1:29" x14ac:dyDescent="0.2">
      <c r="A98">
        <v>13</v>
      </c>
      <c r="B98" s="1">
        <v>46193</v>
      </c>
      <c r="C98" s="2">
        <v>0.80170138888888887</v>
      </c>
      <c r="D98" t="s">
        <v>18</v>
      </c>
      <c r="E98" s="12" t="s">
        <v>33</v>
      </c>
      <c r="F98" s="11">
        <v>86.577710600000003</v>
      </c>
      <c r="G98" s="4">
        <v>2234.8813500000001</v>
      </c>
      <c r="H98" s="20">
        <v>0</v>
      </c>
      <c r="I98" s="17" t="s">
        <v>41</v>
      </c>
      <c r="J98" t="s">
        <v>23</v>
      </c>
      <c r="K98" s="11"/>
      <c r="L98" s="11"/>
      <c r="M98" s="11"/>
      <c r="N98" s="11"/>
      <c r="O98" s="11"/>
      <c r="P98" s="33"/>
      <c r="R98" s="12" t="s">
        <v>33</v>
      </c>
      <c r="S98" s="20">
        <v>0</v>
      </c>
      <c r="T98" s="17"/>
      <c r="AA98" s="12" t="s">
        <v>35</v>
      </c>
      <c r="AB98" s="20">
        <v>0</v>
      </c>
      <c r="AC98" s="17"/>
    </row>
    <row r="99" spans="1:29" x14ac:dyDescent="0.2">
      <c r="A99">
        <v>14</v>
      </c>
      <c r="B99" s="1">
        <v>46193</v>
      </c>
      <c r="C99" s="2">
        <v>0.80300925925925926</v>
      </c>
      <c r="D99" t="s">
        <v>18</v>
      </c>
      <c r="E99" s="12" t="s">
        <v>37</v>
      </c>
      <c r="F99" s="11">
        <v>75.826954130000004</v>
      </c>
      <c r="G99" s="4">
        <v>2359.8290999999999</v>
      </c>
      <c r="H99" s="20">
        <v>1</v>
      </c>
      <c r="I99" s="17" t="s">
        <v>39</v>
      </c>
      <c r="J99" t="s">
        <v>17</v>
      </c>
      <c r="K99" s="11"/>
      <c r="L99" s="11"/>
      <c r="M99" s="11"/>
      <c r="N99" s="11">
        <v>70.690122525999996</v>
      </c>
      <c r="O99" s="11"/>
      <c r="P99" s="33"/>
      <c r="R99" s="12" t="s">
        <v>33</v>
      </c>
      <c r="S99" s="20">
        <v>0</v>
      </c>
      <c r="T99" s="17"/>
      <c r="AA99" s="12" t="s">
        <v>35</v>
      </c>
      <c r="AB99" s="20">
        <v>0</v>
      </c>
      <c r="AC99" s="17"/>
    </row>
    <row r="100" spans="1:29" x14ac:dyDescent="0.2">
      <c r="A100">
        <v>15</v>
      </c>
      <c r="B100" s="1">
        <v>46193</v>
      </c>
      <c r="C100" s="2">
        <v>0.80321759259259262</v>
      </c>
      <c r="D100" t="s">
        <v>18</v>
      </c>
      <c r="E100" s="12" t="s">
        <v>33</v>
      </c>
      <c r="F100" s="11">
        <v>83.131752075999998</v>
      </c>
      <c r="G100" s="4">
        <v>2265.6591800000001</v>
      </c>
      <c r="H100" s="20">
        <v>0</v>
      </c>
      <c r="I100" s="17"/>
      <c r="J100" t="s">
        <v>17</v>
      </c>
      <c r="K100" s="11"/>
      <c r="L100" s="11"/>
      <c r="M100" s="11"/>
      <c r="N100" s="11"/>
      <c r="O100" s="11"/>
      <c r="P100" s="33"/>
      <c r="R100" s="12" t="s">
        <v>33</v>
      </c>
      <c r="S100" s="20">
        <v>0</v>
      </c>
      <c r="T100" s="17" t="s">
        <v>41</v>
      </c>
      <c r="AA100" s="12" t="s">
        <v>35</v>
      </c>
      <c r="AB100" s="20">
        <v>0</v>
      </c>
      <c r="AC100" s="17"/>
    </row>
    <row r="101" spans="1:29" x14ac:dyDescent="0.2">
      <c r="A101">
        <v>16</v>
      </c>
      <c r="B101" s="1">
        <v>46193</v>
      </c>
      <c r="C101" s="2">
        <v>0.80343750000000003</v>
      </c>
      <c r="D101" t="s">
        <v>18</v>
      </c>
      <c r="E101" s="12" t="s">
        <v>33</v>
      </c>
      <c r="F101" s="11">
        <v>85.116756961999997</v>
      </c>
      <c r="G101" s="4">
        <v>2263.6328100000001</v>
      </c>
      <c r="H101" s="20">
        <v>0</v>
      </c>
      <c r="I101" s="17"/>
      <c r="J101" t="s">
        <v>17</v>
      </c>
      <c r="K101" s="11"/>
      <c r="L101" s="11"/>
      <c r="M101" s="11"/>
      <c r="N101" s="11"/>
      <c r="O101" s="11"/>
      <c r="P101" s="33"/>
      <c r="R101" s="12" t="s">
        <v>33</v>
      </c>
      <c r="S101" s="20">
        <v>0</v>
      </c>
      <c r="T101" s="17"/>
      <c r="AA101" s="12" t="s">
        <v>36</v>
      </c>
      <c r="AB101" s="20">
        <v>1</v>
      </c>
      <c r="AC101" s="17" t="s">
        <v>43</v>
      </c>
    </row>
    <row r="102" spans="1:29" x14ac:dyDescent="0.2">
      <c r="A102">
        <v>17</v>
      </c>
      <c r="B102" s="1">
        <v>46193</v>
      </c>
      <c r="C102" s="2">
        <v>0.80373842592592593</v>
      </c>
      <c r="D102" t="s">
        <v>18</v>
      </c>
      <c r="E102" s="12" t="s">
        <v>33</v>
      </c>
      <c r="F102" s="11">
        <v>87.721070105999999</v>
      </c>
      <c r="G102" s="4">
        <v>1157.3105499999999</v>
      </c>
      <c r="H102" s="20">
        <v>1</v>
      </c>
      <c r="I102" s="17" t="s">
        <v>38</v>
      </c>
      <c r="J102" t="s">
        <v>17</v>
      </c>
      <c r="K102" s="11"/>
      <c r="L102" s="11"/>
      <c r="M102" s="11"/>
      <c r="N102" s="11">
        <v>67.093803874000002</v>
      </c>
      <c r="O102" s="11"/>
      <c r="P102" s="33"/>
      <c r="R102" s="12" t="s">
        <v>33</v>
      </c>
      <c r="S102" s="20">
        <v>0</v>
      </c>
      <c r="T102" s="17"/>
      <c r="AA102" s="218" t="s">
        <v>36</v>
      </c>
      <c r="AB102" s="22">
        <v>0</v>
      </c>
      <c r="AC102" s="19" t="s">
        <v>48</v>
      </c>
    </row>
    <row r="103" spans="1:29" x14ac:dyDescent="0.2">
      <c r="A103">
        <v>18</v>
      </c>
      <c r="B103" s="1">
        <v>46193</v>
      </c>
      <c r="C103" s="2">
        <v>0.8040046296296296</v>
      </c>
      <c r="D103" t="s">
        <v>18</v>
      </c>
      <c r="E103" s="12" t="s">
        <v>37</v>
      </c>
      <c r="F103" s="11">
        <v>73.857842227000006</v>
      </c>
      <c r="G103" s="4">
        <v>2109.9846200000002</v>
      </c>
      <c r="H103" s="20">
        <v>1</v>
      </c>
      <c r="I103" s="17" t="s">
        <v>42</v>
      </c>
      <c r="J103" t="s">
        <v>17</v>
      </c>
      <c r="K103" s="11"/>
      <c r="L103" s="11"/>
      <c r="M103" s="11"/>
      <c r="N103" s="11"/>
      <c r="O103" s="11"/>
      <c r="P103" s="33"/>
      <c r="R103" s="12" t="s">
        <v>33</v>
      </c>
      <c r="S103" s="20">
        <v>1</v>
      </c>
      <c r="T103" s="17" t="s">
        <v>38</v>
      </c>
      <c r="AA103" s="12" t="s">
        <v>36</v>
      </c>
      <c r="AB103" s="20">
        <v>0</v>
      </c>
      <c r="AC103" s="17" t="s">
        <v>48</v>
      </c>
    </row>
    <row r="104" spans="1:29" x14ac:dyDescent="0.2">
      <c r="A104">
        <v>19</v>
      </c>
      <c r="B104" s="1">
        <v>46193</v>
      </c>
      <c r="C104" s="2">
        <v>0.80440972222222218</v>
      </c>
      <c r="D104" t="s">
        <v>18</v>
      </c>
      <c r="E104" s="12" t="s">
        <v>37</v>
      </c>
      <c r="F104" s="11">
        <v>73.984876479999997</v>
      </c>
      <c r="G104" s="4">
        <v>1076.02856</v>
      </c>
      <c r="H104" s="20">
        <v>1</v>
      </c>
      <c r="I104" s="17" t="s">
        <v>39</v>
      </c>
      <c r="J104" t="s">
        <v>19</v>
      </c>
      <c r="K104" s="11"/>
      <c r="L104" s="11"/>
      <c r="M104" s="11"/>
      <c r="N104" s="11">
        <v>62.261254397999998</v>
      </c>
      <c r="O104" s="11"/>
      <c r="P104" s="33"/>
      <c r="R104" s="12" t="s">
        <v>33</v>
      </c>
      <c r="S104" s="20">
        <v>1</v>
      </c>
      <c r="T104" s="17"/>
      <c r="AA104" s="12" t="s">
        <v>36</v>
      </c>
      <c r="AB104" s="20">
        <v>0</v>
      </c>
      <c r="AC104" s="17" t="s">
        <v>48</v>
      </c>
    </row>
    <row r="105" spans="1:29" x14ac:dyDescent="0.2">
      <c r="A105">
        <v>20</v>
      </c>
      <c r="B105" s="1">
        <v>46193</v>
      </c>
      <c r="C105" s="2">
        <v>0.80465277777777777</v>
      </c>
      <c r="D105" t="s">
        <v>18</v>
      </c>
      <c r="E105" s="12" t="s">
        <v>33</v>
      </c>
      <c r="F105" s="11">
        <v>84.799154328</v>
      </c>
      <c r="G105" s="4">
        <v>2245.5300000000002</v>
      </c>
      <c r="H105" s="20">
        <v>1</v>
      </c>
      <c r="I105" s="17"/>
      <c r="J105" t="s">
        <v>19</v>
      </c>
      <c r="K105" s="11"/>
      <c r="L105" s="11"/>
      <c r="M105" s="11"/>
      <c r="N105" s="11"/>
      <c r="O105" s="11"/>
      <c r="P105" s="33"/>
      <c r="R105" s="12" t="s">
        <v>33</v>
      </c>
      <c r="S105" s="20">
        <v>1</v>
      </c>
      <c r="T105" s="17" t="s">
        <v>42</v>
      </c>
      <c r="AA105" s="12" t="s">
        <v>36</v>
      </c>
      <c r="AB105" s="20">
        <v>1</v>
      </c>
      <c r="AC105" s="17" t="s">
        <v>38</v>
      </c>
    </row>
    <row r="106" spans="1:29" x14ac:dyDescent="0.2">
      <c r="A106">
        <v>21</v>
      </c>
      <c r="B106" s="1">
        <v>46193</v>
      </c>
      <c r="C106" s="2">
        <v>0.80484953703703699</v>
      </c>
      <c r="D106" t="s">
        <v>18</v>
      </c>
      <c r="E106" s="12" t="s">
        <v>37</v>
      </c>
      <c r="F106" s="11">
        <v>74.318355319999995</v>
      </c>
      <c r="G106" s="4">
        <v>1137.0358900000001</v>
      </c>
      <c r="H106" s="20">
        <v>1</v>
      </c>
      <c r="I106" s="17" t="s">
        <v>38</v>
      </c>
      <c r="J106" t="s">
        <v>19</v>
      </c>
      <c r="K106" s="11"/>
      <c r="L106" s="11"/>
      <c r="M106" s="11"/>
      <c r="N106" s="11">
        <v>62.710793754000001</v>
      </c>
      <c r="O106" s="11"/>
      <c r="P106" s="33"/>
      <c r="R106" s="12" t="s">
        <v>33</v>
      </c>
      <c r="S106" s="20">
        <v>0</v>
      </c>
      <c r="T106" s="17" t="s">
        <v>41</v>
      </c>
      <c r="AA106" s="218" t="s">
        <v>36</v>
      </c>
      <c r="AB106" s="22">
        <v>1</v>
      </c>
      <c r="AC106" s="19" t="s">
        <v>38</v>
      </c>
    </row>
    <row r="107" spans="1:29" x14ac:dyDescent="0.2">
      <c r="A107">
        <v>22</v>
      </c>
      <c r="B107" s="1">
        <v>46193</v>
      </c>
      <c r="C107" s="2">
        <v>0.80540509259259263</v>
      </c>
      <c r="D107" t="s">
        <v>18</v>
      </c>
      <c r="E107" s="12" t="s">
        <v>36</v>
      </c>
      <c r="F107" s="11">
        <v>79.574639529999999</v>
      </c>
      <c r="G107" s="4">
        <v>2189.39941</v>
      </c>
      <c r="H107" s="20">
        <v>0</v>
      </c>
      <c r="I107" s="17"/>
      <c r="J107" t="s">
        <v>19</v>
      </c>
      <c r="K107" s="11"/>
      <c r="L107" s="11"/>
      <c r="M107" s="11"/>
      <c r="N107" s="11"/>
      <c r="O107" s="11"/>
      <c r="P107" s="33"/>
      <c r="R107" s="12" t="s">
        <v>33</v>
      </c>
      <c r="S107" s="20">
        <v>1</v>
      </c>
      <c r="T107" s="17" t="s">
        <v>43</v>
      </c>
      <c r="AA107" s="218" t="s">
        <v>36</v>
      </c>
      <c r="AB107" s="22">
        <v>1</v>
      </c>
      <c r="AC107" s="19" t="s">
        <v>38</v>
      </c>
    </row>
    <row r="108" spans="1:29" x14ac:dyDescent="0.2">
      <c r="A108">
        <v>23</v>
      </c>
      <c r="B108" s="1">
        <v>46193</v>
      </c>
      <c r="C108" s="2">
        <v>0.80562500000000004</v>
      </c>
      <c r="D108" t="s">
        <v>18</v>
      </c>
      <c r="E108" s="12" t="s">
        <v>33</v>
      </c>
      <c r="F108" s="11">
        <v>84.973829725000002</v>
      </c>
      <c r="G108" s="4">
        <v>2465.60205</v>
      </c>
      <c r="H108" s="161">
        <v>1</v>
      </c>
      <c r="I108" s="162" t="s">
        <v>42</v>
      </c>
      <c r="J108" s="155" t="s">
        <v>19</v>
      </c>
      <c r="K108" s="11"/>
      <c r="L108" s="11"/>
      <c r="M108" s="11"/>
      <c r="N108" s="11"/>
      <c r="O108" s="11"/>
      <c r="P108" s="33"/>
      <c r="R108" s="12" t="s">
        <v>33</v>
      </c>
      <c r="S108" s="20">
        <v>1</v>
      </c>
      <c r="T108" s="17" t="s">
        <v>43</v>
      </c>
      <c r="AA108" s="218" t="s">
        <v>36</v>
      </c>
      <c r="AB108" s="169">
        <v>1</v>
      </c>
      <c r="AC108" s="170" t="s">
        <v>38</v>
      </c>
    </row>
    <row r="109" spans="1:29" x14ac:dyDescent="0.2">
      <c r="A109">
        <v>42</v>
      </c>
      <c r="B109" s="1">
        <v>46193</v>
      </c>
      <c r="C109" s="2">
        <v>0.81462962962962959</v>
      </c>
      <c r="D109" t="s">
        <v>18</v>
      </c>
      <c r="E109" s="12" t="s">
        <v>37</v>
      </c>
      <c r="F109" s="11">
        <v>75.826954130000004</v>
      </c>
      <c r="G109" s="4">
        <v>1762.8067599999999</v>
      </c>
      <c r="H109" s="20">
        <v>0</v>
      </c>
      <c r="I109" s="4" t="s">
        <v>43</v>
      </c>
      <c r="J109" t="s">
        <v>23</v>
      </c>
      <c r="K109" s="11"/>
      <c r="L109" s="11"/>
      <c r="M109" s="11"/>
      <c r="N109" s="11"/>
      <c r="O109" s="11"/>
      <c r="P109" s="172"/>
      <c r="R109" s="12" t="s">
        <v>33</v>
      </c>
      <c r="S109" s="20">
        <v>0</v>
      </c>
      <c r="T109" s="4"/>
      <c r="AA109" s="218" t="s">
        <v>36</v>
      </c>
      <c r="AB109" s="22">
        <v>1</v>
      </c>
      <c r="AC109" s="129" t="s">
        <v>38</v>
      </c>
    </row>
    <row r="110" spans="1:29" x14ac:dyDescent="0.2">
      <c r="A110">
        <v>43</v>
      </c>
      <c r="B110" s="1">
        <v>46193</v>
      </c>
      <c r="C110" s="2">
        <v>0.8147106481481482</v>
      </c>
      <c r="D110" t="s">
        <v>18</v>
      </c>
      <c r="E110" s="12" t="s">
        <v>33</v>
      </c>
      <c r="F110" s="11">
        <v>80.924434898000001</v>
      </c>
      <c r="G110" s="4">
        <v>2086.11987</v>
      </c>
      <c r="H110" s="20">
        <v>0</v>
      </c>
      <c r="I110" s="17" t="s">
        <v>41</v>
      </c>
      <c r="J110" t="s">
        <v>23</v>
      </c>
      <c r="K110" s="11"/>
      <c r="L110" s="11"/>
      <c r="M110" s="11"/>
      <c r="N110" s="11"/>
      <c r="O110" s="11"/>
      <c r="P110" s="33"/>
      <c r="R110" s="12" t="s">
        <v>33</v>
      </c>
      <c r="S110" s="20">
        <v>1</v>
      </c>
      <c r="T110" s="17" t="s">
        <v>40</v>
      </c>
      <c r="AA110" s="218" t="s">
        <v>36</v>
      </c>
      <c r="AB110" s="22">
        <v>1</v>
      </c>
      <c r="AC110" s="19" t="s">
        <v>38</v>
      </c>
    </row>
    <row r="111" spans="1:29" x14ac:dyDescent="0.2">
      <c r="A111">
        <v>44</v>
      </c>
      <c r="B111" s="1">
        <v>46193</v>
      </c>
      <c r="C111" s="2">
        <v>0.81487268518518519</v>
      </c>
      <c r="D111" t="s">
        <v>18</v>
      </c>
      <c r="E111" s="12" t="s">
        <v>33</v>
      </c>
      <c r="F111" s="11">
        <v>81.686674418999999</v>
      </c>
      <c r="G111" s="4">
        <v>2215.70532</v>
      </c>
      <c r="H111" s="20">
        <v>1</v>
      </c>
      <c r="I111" s="17" t="s">
        <v>43</v>
      </c>
      <c r="J111" t="s">
        <v>23</v>
      </c>
      <c r="K111" s="11"/>
      <c r="L111" s="11"/>
      <c r="M111" s="11"/>
      <c r="N111" s="11"/>
      <c r="O111" s="11"/>
      <c r="P111" s="33"/>
      <c r="R111" s="12" t="s">
        <v>33</v>
      </c>
      <c r="S111" s="20">
        <v>1</v>
      </c>
      <c r="T111" s="17"/>
      <c r="AA111" s="218" t="s">
        <v>36</v>
      </c>
      <c r="AB111" s="22">
        <v>1</v>
      </c>
      <c r="AC111" s="19" t="s">
        <v>38</v>
      </c>
    </row>
    <row r="112" spans="1:29" x14ac:dyDescent="0.2">
      <c r="A112">
        <v>45</v>
      </c>
      <c r="B112" s="1">
        <v>46193</v>
      </c>
      <c r="C112" s="2">
        <v>0.81530092592592596</v>
      </c>
      <c r="D112" t="s">
        <v>18</v>
      </c>
      <c r="E112" s="12" t="s">
        <v>36</v>
      </c>
      <c r="F112" s="11">
        <v>77.240281612000004</v>
      </c>
      <c r="G112" s="4">
        <v>1373.30078</v>
      </c>
      <c r="H112" s="20">
        <v>1</v>
      </c>
      <c r="I112" s="17" t="s">
        <v>43</v>
      </c>
      <c r="J112" t="s">
        <v>23</v>
      </c>
      <c r="K112" s="11"/>
      <c r="L112" s="11"/>
      <c r="M112" s="11"/>
      <c r="N112" s="11"/>
      <c r="O112" s="11"/>
      <c r="P112" s="33"/>
      <c r="R112" s="12" t="s">
        <v>33</v>
      </c>
      <c r="S112" s="20">
        <v>0</v>
      </c>
      <c r="T112" s="17"/>
      <c r="AA112" s="218" t="s">
        <v>36</v>
      </c>
      <c r="AB112" s="22">
        <v>1</v>
      </c>
      <c r="AC112" s="19" t="s">
        <v>38</v>
      </c>
    </row>
    <row r="113" spans="1:29" x14ac:dyDescent="0.2">
      <c r="A113">
        <v>46</v>
      </c>
      <c r="B113" s="1">
        <v>46193</v>
      </c>
      <c r="C113" s="2">
        <v>0.8153125</v>
      </c>
      <c r="D113" t="s">
        <v>18</v>
      </c>
      <c r="E113" s="12" t="s">
        <v>36</v>
      </c>
      <c r="F113" s="11">
        <v>79.908118146000007</v>
      </c>
      <c r="G113" s="4">
        <v>1991.73621</v>
      </c>
      <c r="H113" s="20">
        <v>0</v>
      </c>
      <c r="I113" s="17"/>
      <c r="J113" t="s">
        <v>23</v>
      </c>
      <c r="K113" s="11"/>
      <c r="L113" s="11"/>
      <c r="M113" s="11"/>
      <c r="N113" s="11"/>
      <c r="O113" s="11"/>
      <c r="P113" s="33"/>
      <c r="R113" s="12" t="s">
        <v>33</v>
      </c>
      <c r="S113" s="20">
        <v>1</v>
      </c>
      <c r="T113" s="17" t="s">
        <v>40</v>
      </c>
      <c r="AA113" s="12" t="s">
        <v>36</v>
      </c>
      <c r="AB113" s="20">
        <v>1</v>
      </c>
      <c r="AC113" s="17" t="s">
        <v>38</v>
      </c>
    </row>
    <row r="114" spans="1:29" x14ac:dyDescent="0.2">
      <c r="A114">
        <v>47</v>
      </c>
      <c r="B114" s="1">
        <v>46193</v>
      </c>
      <c r="C114" s="2">
        <v>0.8153125</v>
      </c>
      <c r="D114" t="s">
        <v>18</v>
      </c>
      <c r="E114" s="12" t="s">
        <v>37</v>
      </c>
      <c r="F114" s="11">
        <v>70.824759678000007</v>
      </c>
      <c r="G114" s="4">
        <v>2272.6831099999999</v>
      </c>
      <c r="H114" s="20">
        <v>0</v>
      </c>
      <c r="I114" s="17" t="s">
        <v>43</v>
      </c>
      <c r="J114" t="s">
        <v>23</v>
      </c>
      <c r="K114" s="11"/>
      <c r="L114" s="11"/>
      <c r="M114" s="11"/>
      <c r="N114" s="11"/>
      <c r="O114" s="11"/>
      <c r="P114" s="33"/>
      <c r="R114" s="12" t="s">
        <v>37</v>
      </c>
      <c r="S114" s="20">
        <v>1</v>
      </c>
      <c r="T114" s="17" t="s">
        <v>39</v>
      </c>
      <c r="AA114" s="218" t="s">
        <v>36</v>
      </c>
      <c r="AB114" s="22">
        <v>1</v>
      </c>
      <c r="AC114" s="19" t="s">
        <v>254</v>
      </c>
    </row>
    <row r="115" spans="1:29" x14ac:dyDescent="0.2">
      <c r="A115">
        <v>48</v>
      </c>
      <c r="B115" s="1">
        <v>46193</v>
      </c>
      <c r="C115" s="2">
        <v>0.81557870370370367</v>
      </c>
      <c r="D115" t="s">
        <v>18</v>
      </c>
      <c r="E115" s="12" t="s">
        <v>36</v>
      </c>
      <c r="F115" s="11">
        <v>79.463477009000002</v>
      </c>
      <c r="G115" s="4">
        <v>2059.9448200000002</v>
      </c>
      <c r="H115" s="20">
        <v>1</v>
      </c>
      <c r="I115" s="17" t="s">
        <v>38</v>
      </c>
      <c r="J115" t="s">
        <v>23</v>
      </c>
      <c r="K115" s="11"/>
      <c r="L115" s="11"/>
      <c r="M115" s="11"/>
      <c r="N115" s="11"/>
      <c r="O115" s="11"/>
      <c r="P115" s="33"/>
      <c r="R115" s="12" t="s">
        <v>37</v>
      </c>
      <c r="S115" s="20">
        <v>0</v>
      </c>
      <c r="T115" s="17"/>
      <c r="AA115" s="218" t="s">
        <v>36</v>
      </c>
      <c r="AB115" s="22">
        <v>1</v>
      </c>
      <c r="AC115" s="19" t="s">
        <v>254</v>
      </c>
    </row>
    <row r="116" spans="1:29" x14ac:dyDescent="0.2">
      <c r="A116">
        <v>49</v>
      </c>
      <c r="B116" s="1">
        <v>46193</v>
      </c>
      <c r="C116" s="2">
        <v>0.81575231481481481</v>
      </c>
      <c r="D116" t="s">
        <v>18</v>
      </c>
      <c r="E116" s="12" t="s">
        <v>37</v>
      </c>
      <c r="F116" s="11">
        <v>68.093404003000003</v>
      </c>
      <c r="G116" s="4">
        <v>1092.8313000000001</v>
      </c>
      <c r="H116" s="20">
        <v>0</v>
      </c>
      <c r="I116" s="17" t="s">
        <v>43</v>
      </c>
      <c r="J116" t="s">
        <v>23</v>
      </c>
      <c r="K116" s="11"/>
      <c r="L116" s="11"/>
      <c r="M116" s="11"/>
      <c r="N116" s="11"/>
      <c r="O116" s="11"/>
      <c r="P116" s="33"/>
      <c r="R116" s="12" t="s">
        <v>37</v>
      </c>
      <c r="S116" s="20">
        <v>0</v>
      </c>
      <c r="T116" s="17"/>
      <c r="AA116" s="12" t="s">
        <v>36</v>
      </c>
      <c r="AB116" s="20">
        <v>1</v>
      </c>
      <c r="AC116" s="17" t="s">
        <v>254</v>
      </c>
    </row>
    <row r="117" spans="1:29" x14ac:dyDescent="0.2">
      <c r="A117">
        <v>50</v>
      </c>
      <c r="B117" s="1">
        <v>46193</v>
      </c>
      <c r="C117" s="2">
        <v>0.81620370370370365</v>
      </c>
      <c r="D117" t="s">
        <v>18</v>
      </c>
      <c r="E117" s="12" t="s">
        <v>37</v>
      </c>
      <c r="F117" s="11">
        <v>74.635962203999995</v>
      </c>
      <c r="G117" s="4">
        <v>1908.45508</v>
      </c>
      <c r="H117" s="20">
        <v>1</v>
      </c>
      <c r="I117" s="17" t="s">
        <v>38</v>
      </c>
      <c r="J117" t="s">
        <v>23</v>
      </c>
      <c r="K117" s="11"/>
      <c r="L117" s="11"/>
      <c r="M117" s="11"/>
      <c r="N117" s="11"/>
      <c r="O117" s="11"/>
      <c r="P117" s="33"/>
      <c r="R117" s="12" t="s">
        <v>37</v>
      </c>
      <c r="S117" s="20">
        <v>1</v>
      </c>
      <c r="T117" s="17" t="s">
        <v>39</v>
      </c>
      <c r="AA117" s="12" t="s">
        <v>36</v>
      </c>
      <c r="AB117" s="20">
        <v>1</v>
      </c>
      <c r="AC117" s="17" t="s">
        <v>255</v>
      </c>
    </row>
    <row r="118" spans="1:29" x14ac:dyDescent="0.2">
      <c r="A118">
        <v>51</v>
      </c>
      <c r="B118" s="1">
        <v>46193</v>
      </c>
      <c r="C118" s="2">
        <v>0.81620370370370365</v>
      </c>
      <c r="D118" t="s">
        <v>18</v>
      </c>
      <c r="E118" s="12" t="s">
        <v>37</v>
      </c>
      <c r="F118" s="11">
        <v>73.349679713</v>
      </c>
      <c r="G118" s="4">
        <v>1872.8709699999999</v>
      </c>
      <c r="H118" s="20">
        <v>1</v>
      </c>
      <c r="I118" s="17" t="s">
        <v>255</v>
      </c>
      <c r="J118" t="s">
        <v>23</v>
      </c>
      <c r="K118" s="11"/>
      <c r="L118" s="11"/>
      <c r="M118" s="11"/>
      <c r="N118" s="11"/>
      <c r="O118" s="11"/>
      <c r="P118" s="33"/>
      <c r="R118" s="12" t="s">
        <v>37</v>
      </c>
      <c r="S118" s="20">
        <v>1</v>
      </c>
      <c r="T118" s="17" t="s">
        <v>42</v>
      </c>
      <c r="AA118" s="218" t="s">
        <v>36</v>
      </c>
      <c r="AB118" s="22">
        <v>1</v>
      </c>
      <c r="AC118" s="19" t="s">
        <v>255</v>
      </c>
    </row>
    <row r="119" spans="1:29" x14ac:dyDescent="0.2">
      <c r="A119">
        <v>52</v>
      </c>
      <c r="B119" s="1">
        <v>46193</v>
      </c>
      <c r="C119" s="2">
        <v>0.81644675925925925</v>
      </c>
      <c r="D119" t="s">
        <v>18</v>
      </c>
      <c r="E119" s="12" t="s">
        <v>33</v>
      </c>
      <c r="F119" s="11">
        <v>81.099118571999995</v>
      </c>
      <c r="G119" s="4">
        <v>2059.91113</v>
      </c>
      <c r="H119" s="20">
        <v>1</v>
      </c>
      <c r="I119" s="17" t="s">
        <v>43</v>
      </c>
      <c r="J119" t="s">
        <v>21</v>
      </c>
      <c r="K119" s="11"/>
      <c r="L119" s="11"/>
      <c r="M119" s="11"/>
      <c r="N119" s="11"/>
      <c r="O119" s="11"/>
      <c r="P119" s="33"/>
      <c r="R119" s="12" t="s">
        <v>37</v>
      </c>
      <c r="S119" s="20">
        <v>1</v>
      </c>
      <c r="T119" s="17" t="s">
        <v>39</v>
      </c>
      <c r="AA119" s="218" t="s">
        <v>36</v>
      </c>
      <c r="AB119" s="22">
        <v>1</v>
      </c>
      <c r="AC119" s="19" t="s">
        <v>255</v>
      </c>
    </row>
    <row r="120" spans="1:29" x14ac:dyDescent="0.2">
      <c r="A120">
        <v>53</v>
      </c>
      <c r="B120" s="1">
        <v>46193</v>
      </c>
      <c r="C120" s="2">
        <v>0.81667824074074069</v>
      </c>
      <c r="D120" t="s">
        <v>18</v>
      </c>
      <c r="E120" s="12" t="s">
        <v>36</v>
      </c>
      <c r="F120" s="11">
        <v>77.875476366000001</v>
      </c>
      <c r="G120" s="4">
        <v>1595.37598</v>
      </c>
      <c r="H120" s="20">
        <v>0</v>
      </c>
      <c r="I120" s="17"/>
      <c r="J120" t="s">
        <v>21</v>
      </c>
      <c r="K120" s="11"/>
      <c r="L120" s="11"/>
      <c r="M120" s="11"/>
      <c r="N120" s="11"/>
      <c r="O120" s="11"/>
      <c r="P120" s="33"/>
      <c r="R120" s="12" t="s">
        <v>37</v>
      </c>
      <c r="S120" s="20">
        <v>1</v>
      </c>
      <c r="T120" s="17" t="s">
        <v>38</v>
      </c>
      <c r="AA120" s="12" t="s">
        <v>36</v>
      </c>
      <c r="AB120" s="20">
        <v>1</v>
      </c>
      <c r="AC120" s="17" t="s">
        <v>255</v>
      </c>
    </row>
    <row r="121" spans="1:29" x14ac:dyDescent="0.2">
      <c r="A121">
        <v>54</v>
      </c>
      <c r="B121" s="1">
        <v>46193</v>
      </c>
      <c r="C121" s="2">
        <v>0.81686342592592598</v>
      </c>
      <c r="D121" t="s">
        <v>18</v>
      </c>
      <c r="E121" s="12" t="s">
        <v>33</v>
      </c>
      <c r="F121" s="11">
        <v>83.655795045999994</v>
      </c>
      <c r="G121" s="4">
        <v>2202.4262699999999</v>
      </c>
      <c r="H121" s="20">
        <v>0</v>
      </c>
      <c r="I121" s="17"/>
      <c r="J121" t="s">
        <v>21</v>
      </c>
      <c r="K121" s="11"/>
      <c r="L121" s="11"/>
      <c r="M121" s="11"/>
      <c r="N121" s="11"/>
      <c r="O121" s="11"/>
      <c r="P121" s="33"/>
      <c r="R121" s="12" t="s">
        <v>37</v>
      </c>
      <c r="S121" s="20">
        <v>0</v>
      </c>
      <c r="T121" s="17" t="s">
        <v>43</v>
      </c>
      <c r="AA121" s="12" t="s">
        <v>36</v>
      </c>
      <c r="AB121" s="20">
        <v>1</v>
      </c>
      <c r="AC121" s="17" t="s">
        <v>255</v>
      </c>
    </row>
    <row r="122" spans="1:29" x14ac:dyDescent="0.2">
      <c r="A122">
        <v>55</v>
      </c>
      <c r="B122" s="1">
        <v>46193</v>
      </c>
      <c r="C122" s="2">
        <v>0.81706018518518519</v>
      </c>
      <c r="D122" t="s">
        <v>18</v>
      </c>
      <c r="E122" s="12" t="s">
        <v>33</v>
      </c>
      <c r="F122" s="11">
        <v>82.131315779999994</v>
      </c>
      <c r="G122" s="4">
        <v>2154.8913600000001</v>
      </c>
      <c r="H122" s="20">
        <v>1</v>
      </c>
      <c r="I122" s="17" t="s">
        <v>255</v>
      </c>
      <c r="J122" t="s">
        <v>21</v>
      </c>
      <c r="K122" s="11">
        <v>75.839830828000004</v>
      </c>
      <c r="L122" s="11">
        <v>25.239139600000001</v>
      </c>
      <c r="M122" s="11">
        <v>18.849454900000001</v>
      </c>
      <c r="N122" s="11">
        <v>37.030837818999998</v>
      </c>
      <c r="O122" s="11">
        <v>227</v>
      </c>
      <c r="P122" s="33">
        <v>1</v>
      </c>
      <c r="R122" s="12" t="s">
        <v>37</v>
      </c>
      <c r="S122" s="20">
        <v>0</v>
      </c>
      <c r="T122" s="17" t="s">
        <v>43</v>
      </c>
      <c r="AA122" s="218" t="s">
        <v>36</v>
      </c>
      <c r="AB122" s="22">
        <v>1</v>
      </c>
      <c r="AC122" s="19" t="s">
        <v>45</v>
      </c>
    </row>
    <row r="123" spans="1:29" x14ac:dyDescent="0.2">
      <c r="A123">
        <v>56</v>
      </c>
      <c r="B123" s="1">
        <v>46193</v>
      </c>
      <c r="C123" s="2">
        <v>0.81756944444444446</v>
      </c>
      <c r="D123" t="s">
        <v>18</v>
      </c>
      <c r="E123" s="12" t="s">
        <v>33</v>
      </c>
      <c r="F123" s="11">
        <v>80.575075826000003</v>
      </c>
      <c r="G123" s="4">
        <v>2106.9887699999999</v>
      </c>
      <c r="H123" s="20">
        <v>1</v>
      </c>
      <c r="I123" s="17"/>
      <c r="J123" t="s">
        <v>17</v>
      </c>
      <c r="K123" s="11"/>
      <c r="L123" s="11"/>
      <c r="M123" s="11"/>
      <c r="N123" s="11"/>
      <c r="O123" s="11"/>
      <c r="P123" s="33"/>
      <c r="R123" s="12" t="s">
        <v>37</v>
      </c>
      <c r="S123" s="20">
        <v>0</v>
      </c>
      <c r="T123" s="17" t="s">
        <v>43</v>
      </c>
      <c r="AA123" s="218" t="s">
        <v>36</v>
      </c>
      <c r="AB123" s="22">
        <v>1</v>
      </c>
      <c r="AC123" s="19" t="s">
        <v>39</v>
      </c>
    </row>
    <row r="124" spans="1:29" x14ac:dyDescent="0.2">
      <c r="A124">
        <v>57</v>
      </c>
      <c r="B124" s="1">
        <v>46193</v>
      </c>
      <c r="C124" s="2">
        <v>0.8177430555555556</v>
      </c>
      <c r="D124" t="s">
        <v>18</v>
      </c>
      <c r="E124" s="12" t="s">
        <v>33</v>
      </c>
      <c r="F124" s="11">
        <v>82.702991170999994</v>
      </c>
      <c r="G124" s="4">
        <v>1916.3033399999999</v>
      </c>
      <c r="H124" s="20">
        <v>0</v>
      </c>
      <c r="I124" s="17"/>
      <c r="J124" t="s">
        <v>17</v>
      </c>
      <c r="K124" s="11"/>
      <c r="L124" s="11"/>
      <c r="M124" s="11"/>
      <c r="N124" s="11"/>
      <c r="O124" s="11"/>
      <c r="P124" s="33"/>
      <c r="R124" s="12" t="s">
        <v>37</v>
      </c>
      <c r="S124" s="20">
        <v>1</v>
      </c>
      <c r="T124" s="17" t="s">
        <v>38</v>
      </c>
      <c r="AA124" s="218" t="s">
        <v>36</v>
      </c>
      <c r="AB124" s="22">
        <v>1</v>
      </c>
      <c r="AC124" s="19" t="s">
        <v>39</v>
      </c>
    </row>
    <row r="125" spans="1:29" s="155" customFormat="1" x14ac:dyDescent="0.2">
      <c r="A125" s="155">
        <v>58</v>
      </c>
      <c r="B125" s="156">
        <v>46193</v>
      </c>
      <c r="C125" s="157">
        <v>0.81795138888888885</v>
      </c>
      <c r="D125" s="155" t="s">
        <v>18</v>
      </c>
      <c r="E125" s="217" t="s">
        <v>33</v>
      </c>
      <c r="F125" s="159">
        <v>83.274675062</v>
      </c>
      <c r="G125" s="160">
        <v>2153.85034</v>
      </c>
      <c r="H125" s="161">
        <v>1</v>
      </c>
      <c r="I125" s="162" t="s">
        <v>255</v>
      </c>
      <c r="J125" s="155" t="s">
        <v>17</v>
      </c>
      <c r="K125" s="159">
        <v>96.404829933000002</v>
      </c>
      <c r="L125" s="159">
        <v>-10.9518852</v>
      </c>
      <c r="M125" s="159">
        <v>-8.89981461</v>
      </c>
      <c r="N125" s="159">
        <v>69.622465633000004</v>
      </c>
      <c r="O125" s="159">
        <v>15</v>
      </c>
      <c r="P125" s="174">
        <v>0.93157722499999995</v>
      </c>
      <c r="R125" s="217" t="s">
        <v>37</v>
      </c>
      <c r="S125" s="161">
        <v>1</v>
      </c>
      <c r="T125" s="162" t="s">
        <v>40</v>
      </c>
      <c r="AA125" s="219" t="s">
        <v>36</v>
      </c>
      <c r="AB125" s="169">
        <v>1</v>
      </c>
      <c r="AC125" s="170" t="s">
        <v>39</v>
      </c>
    </row>
    <row r="126" spans="1:29" x14ac:dyDescent="0.2">
      <c r="A126">
        <v>308</v>
      </c>
      <c r="B126" s="8">
        <v>46200</v>
      </c>
      <c r="C126" s="9">
        <v>0.73606481481481478</v>
      </c>
      <c r="D126" s="7" t="s">
        <v>18</v>
      </c>
      <c r="E126" s="218" t="s">
        <v>37</v>
      </c>
      <c r="F126" s="16">
        <v>72.206320199999993</v>
      </c>
      <c r="G126" s="129">
        <v>2138.5288099999998</v>
      </c>
      <c r="H126" s="22">
        <v>0</v>
      </c>
      <c r="I126" s="19"/>
      <c r="J126" s="7" t="s">
        <v>22</v>
      </c>
      <c r="K126" s="16"/>
      <c r="L126" s="16"/>
      <c r="M126" s="16"/>
      <c r="N126" s="16"/>
      <c r="O126" s="16"/>
      <c r="P126" s="175"/>
      <c r="R126" s="218" t="s">
        <v>35</v>
      </c>
      <c r="S126" s="22">
        <v>0</v>
      </c>
      <c r="T126" s="19"/>
      <c r="AA126" s="218" t="s">
        <v>36</v>
      </c>
      <c r="AB126" s="22">
        <v>1</v>
      </c>
      <c r="AC126" s="19" t="s">
        <v>39</v>
      </c>
    </row>
    <row r="127" spans="1:29" x14ac:dyDescent="0.2">
      <c r="A127">
        <v>309</v>
      </c>
      <c r="B127" s="8">
        <v>46200</v>
      </c>
      <c r="C127" s="9">
        <v>0.73648148148148151</v>
      </c>
      <c r="D127" s="7" t="s">
        <v>18</v>
      </c>
      <c r="E127" s="218" t="s">
        <v>37</v>
      </c>
      <c r="F127" s="16">
        <v>71.0153198</v>
      </c>
      <c r="G127" s="129">
        <v>2206.4589799999999</v>
      </c>
      <c r="H127" s="22">
        <v>1</v>
      </c>
      <c r="I127" s="19"/>
      <c r="J127" s="7" t="s">
        <v>22</v>
      </c>
      <c r="K127" s="16"/>
      <c r="L127" s="16"/>
      <c r="M127" s="16"/>
      <c r="N127" s="16"/>
      <c r="O127" s="16"/>
      <c r="P127" s="175"/>
      <c r="R127" s="218" t="s">
        <v>35</v>
      </c>
      <c r="S127" s="22">
        <v>1</v>
      </c>
      <c r="T127" s="19" t="s">
        <v>38</v>
      </c>
      <c r="AA127" s="218" t="s">
        <v>36</v>
      </c>
      <c r="AB127" s="22">
        <v>1</v>
      </c>
      <c r="AC127" s="19" t="s">
        <v>39</v>
      </c>
    </row>
    <row r="128" spans="1:29" x14ac:dyDescent="0.2">
      <c r="A128">
        <v>310</v>
      </c>
      <c r="B128" s="8">
        <v>46200</v>
      </c>
      <c r="C128" s="9">
        <v>0.73670138888888892</v>
      </c>
      <c r="D128" s="7" t="s">
        <v>18</v>
      </c>
      <c r="E128" s="218" t="s">
        <v>37</v>
      </c>
      <c r="F128" s="16">
        <v>71.253520600000002</v>
      </c>
      <c r="G128" s="129">
        <v>2144.4856</v>
      </c>
      <c r="H128" s="22">
        <v>1</v>
      </c>
      <c r="I128" s="19" t="s">
        <v>255</v>
      </c>
      <c r="J128" s="7" t="s">
        <v>22</v>
      </c>
      <c r="K128" s="16">
        <v>58.930153099999998</v>
      </c>
      <c r="L128" s="16">
        <v>56.5157089</v>
      </c>
      <c r="M128" s="16">
        <v>12.751541100000001</v>
      </c>
      <c r="N128" s="16">
        <v>57.934435700000002</v>
      </c>
      <c r="O128" s="16">
        <v>167</v>
      </c>
      <c r="P128" s="175">
        <v>0.68034218000000002</v>
      </c>
      <c r="R128" s="218" t="s">
        <v>35</v>
      </c>
      <c r="S128" s="22">
        <v>1</v>
      </c>
      <c r="T128" s="19" t="s">
        <v>38</v>
      </c>
      <c r="AA128" s="12" t="s">
        <v>36</v>
      </c>
      <c r="AB128" s="20">
        <v>0</v>
      </c>
      <c r="AC128" s="17"/>
    </row>
    <row r="129" spans="1:29" x14ac:dyDescent="0.2">
      <c r="A129">
        <v>311</v>
      </c>
      <c r="B129" s="8">
        <v>46200</v>
      </c>
      <c r="C129" s="9">
        <v>0.73709490740740746</v>
      </c>
      <c r="D129" s="7" t="s">
        <v>18</v>
      </c>
      <c r="E129" s="218" t="s">
        <v>35</v>
      </c>
      <c r="F129" s="16">
        <v>79.971639499999995</v>
      </c>
      <c r="G129" s="129">
        <v>1573.26514</v>
      </c>
      <c r="H129" s="22">
        <v>0</v>
      </c>
      <c r="I129" s="19"/>
      <c r="J129" s="7" t="s">
        <v>24</v>
      </c>
      <c r="K129" s="16"/>
      <c r="L129" s="16"/>
      <c r="M129" s="16"/>
      <c r="N129" s="16"/>
      <c r="O129" s="16"/>
      <c r="P129" s="175"/>
      <c r="R129" s="218" t="s">
        <v>35</v>
      </c>
      <c r="S129" s="22">
        <v>1</v>
      </c>
      <c r="T129" s="19" t="s">
        <v>38</v>
      </c>
      <c r="AA129" s="12" t="s">
        <v>36</v>
      </c>
      <c r="AB129" s="20">
        <v>0</v>
      </c>
      <c r="AC129" s="17"/>
    </row>
    <row r="130" spans="1:29" x14ac:dyDescent="0.2">
      <c r="A130">
        <v>312</v>
      </c>
      <c r="B130" s="8">
        <v>46200</v>
      </c>
      <c r="C130" s="9">
        <v>0.73728009259259264</v>
      </c>
      <c r="D130" s="7" t="s">
        <v>18</v>
      </c>
      <c r="E130" s="218" t="s">
        <v>33</v>
      </c>
      <c r="F130" s="16">
        <v>84.418034599999999</v>
      </c>
      <c r="G130" s="129">
        <v>1121.9829099999999</v>
      </c>
      <c r="H130" s="22">
        <v>1</v>
      </c>
      <c r="I130" s="19" t="s">
        <v>38</v>
      </c>
      <c r="J130" s="7" t="s">
        <v>24</v>
      </c>
      <c r="K130" s="16"/>
      <c r="L130" s="16"/>
      <c r="M130" s="16"/>
      <c r="N130" s="16">
        <v>68.498617400000001</v>
      </c>
      <c r="O130" s="16"/>
      <c r="P130" s="175"/>
      <c r="R130" s="218" t="s">
        <v>36</v>
      </c>
      <c r="S130" s="22">
        <v>0</v>
      </c>
      <c r="T130" s="19"/>
      <c r="AA130" s="12" t="s">
        <v>36</v>
      </c>
      <c r="AB130" s="20">
        <v>0</v>
      </c>
      <c r="AC130" s="17"/>
    </row>
    <row r="131" spans="1:29" x14ac:dyDescent="0.2">
      <c r="A131">
        <v>313</v>
      </c>
      <c r="B131" s="8">
        <v>46200</v>
      </c>
      <c r="C131" s="9">
        <v>0.73762731481481481</v>
      </c>
      <c r="D131" s="7" t="s">
        <v>18</v>
      </c>
      <c r="E131" s="218" t="s">
        <v>37</v>
      </c>
      <c r="F131" s="16">
        <v>70.951802700000002</v>
      </c>
      <c r="G131" s="129">
        <v>2140.7736799999998</v>
      </c>
      <c r="H131" s="22">
        <v>1</v>
      </c>
      <c r="I131" s="19"/>
      <c r="J131" s="7" t="s">
        <v>24</v>
      </c>
      <c r="K131" s="16"/>
      <c r="L131" s="16"/>
      <c r="M131" s="16"/>
      <c r="N131" s="16"/>
      <c r="O131" s="16"/>
      <c r="P131" s="175"/>
      <c r="R131" s="218" t="s">
        <v>36</v>
      </c>
      <c r="S131" s="22">
        <v>1</v>
      </c>
      <c r="T131" s="19" t="s">
        <v>38</v>
      </c>
      <c r="AA131" s="218" t="s">
        <v>36</v>
      </c>
      <c r="AB131" s="22">
        <v>0</v>
      </c>
      <c r="AC131" s="19"/>
    </row>
    <row r="132" spans="1:29" x14ac:dyDescent="0.2">
      <c r="A132">
        <v>314</v>
      </c>
      <c r="B132" s="8">
        <v>46200</v>
      </c>
      <c r="C132" s="9">
        <v>0.73784722222222221</v>
      </c>
      <c r="D132" s="7" t="s">
        <v>18</v>
      </c>
      <c r="E132" s="218" t="s">
        <v>33</v>
      </c>
      <c r="F132" s="16">
        <v>83.655794999999998</v>
      </c>
      <c r="G132" s="129">
        <v>1157.8474100000001</v>
      </c>
      <c r="H132" s="22">
        <v>1</v>
      </c>
      <c r="I132" s="19" t="s">
        <v>38</v>
      </c>
      <c r="J132" s="7" t="s">
        <v>24</v>
      </c>
      <c r="K132" s="16">
        <v>79.362545999999995</v>
      </c>
      <c r="L132" s="16">
        <v>46.221958200000003</v>
      </c>
      <c r="M132" s="16"/>
      <c r="N132" s="16">
        <v>68.891965299999995</v>
      </c>
      <c r="O132" s="16">
        <v>286</v>
      </c>
      <c r="P132" s="175">
        <v>0.77629952000000002</v>
      </c>
      <c r="R132" s="218" t="s">
        <v>36</v>
      </c>
      <c r="S132" s="22">
        <v>1</v>
      </c>
      <c r="T132" s="19" t="s">
        <v>38</v>
      </c>
      <c r="AA132" s="218" t="s">
        <v>36</v>
      </c>
      <c r="AB132" s="22">
        <v>1</v>
      </c>
      <c r="AC132" s="19"/>
    </row>
    <row r="133" spans="1:29" x14ac:dyDescent="0.2">
      <c r="A133">
        <v>315</v>
      </c>
      <c r="B133" s="8">
        <v>46200</v>
      </c>
      <c r="C133" s="9">
        <v>0.7380902777777778</v>
      </c>
      <c r="D133" s="7" t="s">
        <v>18</v>
      </c>
      <c r="E133" s="218" t="s">
        <v>37</v>
      </c>
      <c r="F133" s="16">
        <v>72.412756099999996</v>
      </c>
      <c r="G133" s="129">
        <v>2141.50317</v>
      </c>
      <c r="H133" s="22">
        <v>1</v>
      </c>
      <c r="I133" s="19" t="s">
        <v>255</v>
      </c>
      <c r="J133" s="7" t="s">
        <v>24</v>
      </c>
      <c r="K133" s="16">
        <v>89.191474400000004</v>
      </c>
      <c r="L133" s="16">
        <v>-3.4964168</v>
      </c>
      <c r="M133" s="16">
        <v>-12.917782000000001</v>
      </c>
      <c r="N133" s="16">
        <v>65.969955600000006</v>
      </c>
      <c r="O133" s="16">
        <v>38</v>
      </c>
      <c r="P133" s="175">
        <v>0.92541191</v>
      </c>
      <c r="R133" s="218" t="s">
        <v>36</v>
      </c>
      <c r="S133" s="22">
        <v>1</v>
      </c>
      <c r="T133" s="19"/>
      <c r="AA133" s="218" t="s">
        <v>36</v>
      </c>
      <c r="AB133" s="22">
        <v>0</v>
      </c>
      <c r="AC133" s="19"/>
    </row>
    <row r="134" spans="1:29" x14ac:dyDescent="0.2">
      <c r="A134">
        <v>316</v>
      </c>
      <c r="B134" s="8">
        <v>46200</v>
      </c>
      <c r="C134" s="9">
        <v>0.73850694444444442</v>
      </c>
      <c r="D134" s="7" t="s">
        <v>18</v>
      </c>
      <c r="E134" s="218" t="s">
        <v>36</v>
      </c>
      <c r="F134" s="16">
        <v>75.525236000000007</v>
      </c>
      <c r="G134" s="129">
        <v>553.326233</v>
      </c>
      <c r="H134" s="22">
        <v>0</v>
      </c>
      <c r="I134" s="19"/>
      <c r="J134" s="7" t="s">
        <v>20</v>
      </c>
      <c r="K134" s="16"/>
      <c r="L134" s="16"/>
      <c r="M134" s="16"/>
      <c r="N134" s="16"/>
      <c r="O134" s="16"/>
      <c r="P134" s="175"/>
      <c r="R134" s="218" t="s">
        <v>36</v>
      </c>
      <c r="S134" s="22">
        <v>1</v>
      </c>
      <c r="T134" s="19" t="s">
        <v>38</v>
      </c>
      <c r="AA134" s="218" t="s">
        <v>36</v>
      </c>
      <c r="AB134" s="22">
        <v>0</v>
      </c>
      <c r="AC134" s="19"/>
    </row>
    <row r="135" spans="1:29" x14ac:dyDescent="0.2">
      <c r="A135">
        <v>317</v>
      </c>
      <c r="B135" s="8">
        <v>46200</v>
      </c>
      <c r="C135" s="9">
        <v>0.73875000000000002</v>
      </c>
      <c r="D135" s="7" t="s">
        <v>18</v>
      </c>
      <c r="E135" s="218" t="s">
        <v>36</v>
      </c>
      <c r="F135" s="16">
        <v>77.176758000000007</v>
      </c>
      <c r="G135" s="129">
        <v>778.66064500000005</v>
      </c>
      <c r="H135" s="22">
        <v>1</v>
      </c>
      <c r="I135" s="19" t="s">
        <v>38</v>
      </c>
      <c r="J135" s="7" t="s">
        <v>20</v>
      </c>
      <c r="K135" s="16"/>
      <c r="L135" s="16"/>
      <c r="M135" s="16"/>
      <c r="N135" s="16">
        <v>69.762948100000003</v>
      </c>
      <c r="O135" s="16"/>
      <c r="P135" s="175"/>
      <c r="R135" s="218" t="s">
        <v>36</v>
      </c>
      <c r="S135" s="22">
        <v>1</v>
      </c>
      <c r="T135" s="19" t="s">
        <v>38</v>
      </c>
      <c r="AA135" s="218" t="s">
        <v>36</v>
      </c>
      <c r="AB135" s="22">
        <v>0</v>
      </c>
      <c r="AC135" s="19"/>
    </row>
    <row r="136" spans="1:29" x14ac:dyDescent="0.2">
      <c r="A136">
        <v>318</v>
      </c>
      <c r="B136" s="8">
        <v>46200</v>
      </c>
      <c r="C136" s="9">
        <v>0.73896990740740742</v>
      </c>
      <c r="D136" s="7" t="s">
        <v>18</v>
      </c>
      <c r="E136" s="218" t="s">
        <v>37</v>
      </c>
      <c r="F136" s="16">
        <v>72.412756099999996</v>
      </c>
      <c r="G136" s="129">
        <v>1052.8978300000001</v>
      </c>
      <c r="H136" s="22">
        <v>1</v>
      </c>
      <c r="I136" s="19"/>
      <c r="J136" s="7" t="s">
        <v>20</v>
      </c>
      <c r="K136" s="16"/>
      <c r="L136" s="16"/>
      <c r="M136" s="16"/>
      <c r="N136" s="16"/>
      <c r="O136" s="16"/>
      <c r="P136" s="175"/>
      <c r="R136" s="218" t="s">
        <v>33</v>
      </c>
      <c r="S136" s="22">
        <v>1</v>
      </c>
      <c r="T136" s="19" t="s">
        <v>38</v>
      </c>
      <c r="AA136" s="218" t="s">
        <v>36</v>
      </c>
      <c r="AB136" s="22">
        <v>0</v>
      </c>
      <c r="AC136" s="19"/>
    </row>
    <row r="137" spans="1:29" x14ac:dyDescent="0.2">
      <c r="A137">
        <v>319</v>
      </c>
      <c r="B137" s="8">
        <v>46200</v>
      </c>
      <c r="C137" s="9">
        <v>0.73927083333333332</v>
      </c>
      <c r="D137" s="7" t="s">
        <v>18</v>
      </c>
      <c r="E137" s="218" t="s">
        <v>37</v>
      </c>
      <c r="F137" s="16">
        <v>72.9685597</v>
      </c>
      <c r="G137" s="129">
        <v>2247.4479999999999</v>
      </c>
      <c r="H137" s="22">
        <v>0</v>
      </c>
      <c r="I137" s="19"/>
      <c r="J137" s="7" t="s">
        <v>20</v>
      </c>
      <c r="K137" s="16"/>
      <c r="L137" s="16"/>
      <c r="M137" s="16"/>
      <c r="N137" s="16"/>
      <c r="O137" s="16"/>
      <c r="P137" s="175"/>
      <c r="R137" s="218" t="s">
        <v>33</v>
      </c>
      <c r="S137" s="22">
        <v>1</v>
      </c>
      <c r="T137" s="19" t="s">
        <v>38</v>
      </c>
      <c r="AA137" s="218" t="s">
        <v>36</v>
      </c>
      <c r="AB137" s="22">
        <v>0</v>
      </c>
      <c r="AC137" s="19"/>
    </row>
    <row r="138" spans="1:29" x14ac:dyDescent="0.2">
      <c r="A138">
        <v>320</v>
      </c>
      <c r="B138" s="8">
        <v>46200</v>
      </c>
      <c r="C138" s="9">
        <v>0.73946759259259254</v>
      </c>
      <c r="D138" s="7" t="s">
        <v>18</v>
      </c>
      <c r="E138" s="218" t="s">
        <v>36</v>
      </c>
      <c r="F138" s="16">
        <v>77.621399400000001</v>
      </c>
      <c r="G138" s="129">
        <v>2247.8789099999999</v>
      </c>
      <c r="H138" s="22">
        <v>1</v>
      </c>
      <c r="I138" s="19" t="s">
        <v>38</v>
      </c>
      <c r="J138" s="7" t="s">
        <v>20</v>
      </c>
      <c r="K138" s="16">
        <v>98.446397500000003</v>
      </c>
      <c r="L138" s="16">
        <v>35.019641900000003</v>
      </c>
      <c r="M138" s="16">
        <v>-36.598788999999996</v>
      </c>
      <c r="N138" s="16">
        <v>66.026146999999995</v>
      </c>
      <c r="O138" s="16">
        <v>372</v>
      </c>
      <c r="P138" s="175">
        <v>1</v>
      </c>
      <c r="R138" s="218" t="s">
        <v>33</v>
      </c>
      <c r="S138" s="22">
        <v>1</v>
      </c>
      <c r="T138" s="19" t="s">
        <v>39</v>
      </c>
      <c r="AA138" s="218" t="s">
        <v>36</v>
      </c>
      <c r="AB138" s="22">
        <v>0</v>
      </c>
      <c r="AC138" s="19"/>
    </row>
    <row r="139" spans="1:29" x14ac:dyDescent="0.2">
      <c r="A139">
        <v>321</v>
      </c>
      <c r="B139" s="8">
        <v>46200</v>
      </c>
      <c r="C139" s="9">
        <v>0.7397569444444444</v>
      </c>
      <c r="D139" s="7" t="s">
        <v>18</v>
      </c>
      <c r="E139" s="218" t="s">
        <v>37</v>
      </c>
      <c r="F139" s="16">
        <v>66.997681400000005</v>
      </c>
      <c r="G139" s="129">
        <v>2256.7597700000001</v>
      </c>
      <c r="H139" s="22">
        <v>0</v>
      </c>
      <c r="I139" s="19"/>
      <c r="J139" s="7" t="s">
        <v>20</v>
      </c>
      <c r="K139" s="16"/>
      <c r="L139" s="16"/>
      <c r="M139" s="16"/>
      <c r="N139" s="16"/>
      <c r="O139" s="16"/>
      <c r="P139" s="175"/>
      <c r="R139" s="218" t="s">
        <v>33</v>
      </c>
      <c r="S139" s="22">
        <v>0</v>
      </c>
      <c r="T139" s="19"/>
      <c r="AA139" s="218" t="s">
        <v>36</v>
      </c>
      <c r="AB139" s="22">
        <v>0</v>
      </c>
      <c r="AC139" s="19"/>
    </row>
    <row r="140" spans="1:29" x14ac:dyDescent="0.2">
      <c r="A140">
        <v>322</v>
      </c>
      <c r="B140" s="8">
        <v>46200</v>
      </c>
      <c r="C140" s="9">
        <v>0.74005787037037041</v>
      </c>
      <c r="D140" s="7" t="s">
        <v>18</v>
      </c>
      <c r="E140" s="218" t="s">
        <v>37</v>
      </c>
      <c r="F140" s="16">
        <v>72.730363199999999</v>
      </c>
      <c r="G140" s="129">
        <v>2251.73657</v>
      </c>
      <c r="H140" s="22">
        <v>0</v>
      </c>
      <c r="I140" s="19" t="s">
        <v>48</v>
      </c>
      <c r="J140" s="7" t="s">
        <v>20</v>
      </c>
      <c r="K140" s="16"/>
      <c r="L140" s="16"/>
      <c r="M140" s="16"/>
      <c r="N140" s="16"/>
      <c r="O140" s="16"/>
      <c r="P140" s="175"/>
      <c r="R140" s="218" t="s">
        <v>33</v>
      </c>
      <c r="S140" s="22">
        <v>0</v>
      </c>
      <c r="T140" s="19"/>
      <c r="AA140" s="218" t="s">
        <v>36</v>
      </c>
      <c r="AB140" s="22">
        <v>0</v>
      </c>
      <c r="AC140" s="19"/>
    </row>
    <row r="141" spans="1:29" x14ac:dyDescent="0.2">
      <c r="A141">
        <v>323</v>
      </c>
      <c r="B141" s="8">
        <v>46200</v>
      </c>
      <c r="C141" s="9">
        <v>0.74020833333333336</v>
      </c>
      <c r="D141" s="7" t="s">
        <v>18</v>
      </c>
      <c r="E141" s="218" t="s">
        <v>33</v>
      </c>
      <c r="F141" s="16">
        <v>84.719752700000001</v>
      </c>
      <c r="G141" s="129">
        <v>2449.28467</v>
      </c>
      <c r="H141" s="22">
        <v>1</v>
      </c>
      <c r="I141" s="19" t="s">
        <v>39</v>
      </c>
      <c r="J141" s="7" t="s">
        <v>20</v>
      </c>
      <c r="K141" s="16"/>
      <c r="L141" s="16"/>
      <c r="M141" s="16"/>
      <c r="N141" s="16">
        <v>67.655730000000005</v>
      </c>
      <c r="O141" s="16"/>
      <c r="P141" s="175"/>
      <c r="R141" s="218" t="s">
        <v>33</v>
      </c>
      <c r="S141" s="22">
        <v>0</v>
      </c>
      <c r="T141" s="19"/>
      <c r="AA141" s="218" t="s">
        <v>36</v>
      </c>
      <c r="AB141" s="22">
        <v>0</v>
      </c>
      <c r="AC141" s="19"/>
    </row>
    <row r="142" spans="1:29" x14ac:dyDescent="0.2">
      <c r="A142">
        <v>324</v>
      </c>
      <c r="B142" s="8">
        <v>46200</v>
      </c>
      <c r="C142" s="9">
        <v>0.74048611111111107</v>
      </c>
      <c r="D142" s="7" t="s">
        <v>18</v>
      </c>
      <c r="E142" s="218" t="s">
        <v>33</v>
      </c>
      <c r="F142" s="16">
        <v>83.719316399999997</v>
      </c>
      <c r="G142" s="129">
        <v>2364.9448200000002</v>
      </c>
      <c r="H142" s="22">
        <v>0</v>
      </c>
      <c r="I142" s="19"/>
      <c r="J142" s="7" t="s">
        <v>27</v>
      </c>
      <c r="K142" s="16"/>
      <c r="L142" s="16"/>
      <c r="M142" s="16"/>
      <c r="N142" s="16"/>
      <c r="O142" s="16"/>
      <c r="P142" s="175"/>
      <c r="R142" s="218" t="s">
        <v>33</v>
      </c>
      <c r="S142" s="22">
        <v>0</v>
      </c>
      <c r="T142" s="19"/>
      <c r="AA142" s="218" t="s">
        <v>36</v>
      </c>
      <c r="AB142" s="22">
        <v>0</v>
      </c>
      <c r="AC142" s="19"/>
    </row>
    <row r="143" spans="1:29" x14ac:dyDescent="0.2">
      <c r="A143">
        <v>325</v>
      </c>
      <c r="B143" s="8">
        <v>46200</v>
      </c>
      <c r="C143" s="9">
        <v>0.74077546296296293</v>
      </c>
      <c r="D143" s="7" t="s">
        <v>18</v>
      </c>
      <c r="E143" s="218" t="s">
        <v>37</v>
      </c>
      <c r="F143" s="16">
        <v>72.714482700000005</v>
      </c>
      <c r="G143" s="129">
        <v>2286.77979</v>
      </c>
      <c r="H143" s="22">
        <v>0</v>
      </c>
      <c r="I143" s="19"/>
      <c r="J143" s="7" t="s">
        <v>27</v>
      </c>
      <c r="K143" s="16"/>
      <c r="L143" s="16"/>
      <c r="M143" s="16"/>
      <c r="N143" s="16"/>
      <c r="O143" s="16"/>
      <c r="P143" s="175"/>
      <c r="R143" s="218" t="s">
        <v>33</v>
      </c>
      <c r="S143" s="22">
        <v>0</v>
      </c>
      <c r="T143" s="19"/>
      <c r="AA143" s="218" t="s">
        <v>36</v>
      </c>
      <c r="AB143" s="22">
        <v>0</v>
      </c>
      <c r="AC143" s="19"/>
    </row>
    <row r="144" spans="1:29" x14ac:dyDescent="0.2">
      <c r="A144">
        <v>326</v>
      </c>
      <c r="B144" s="8">
        <v>46200</v>
      </c>
      <c r="C144" s="9">
        <v>0.74109953703703701</v>
      </c>
      <c r="D144" s="7" t="s">
        <v>18</v>
      </c>
      <c r="E144" s="218" t="s">
        <v>36</v>
      </c>
      <c r="F144" s="16">
        <v>77.351433400000005</v>
      </c>
      <c r="G144" s="129">
        <v>2266.7197299999998</v>
      </c>
      <c r="H144" s="22">
        <v>1</v>
      </c>
      <c r="I144" s="19"/>
      <c r="J144" s="7" t="s">
        <v>27</v>
      </c>
      <c r="K144" s="16"/>
      <c r="L144" s="16"/>
      <c r="M144" s="16"/>
      <c r="N144" s="16"/>
      <c r="O144" s="16"/>
      <c r="P144" s="175"/>
      <c r="R144" s="218" t="s">
        <v>33</v>
      </c>
      <c r="S144" s="22">
        <v>0</v>
      </c>
      <c r="T144" s="19"/>
      <c r="AA144" s="218" t="s">
        <v>36</v>
      </c>
      <c r="AB144" s="22">
        <v>0</v>
      </c>
      <c r="AC144" s="19"/>
    </row>
    <row r="145" spans="1:29" x14ac:dyDescent="0.2">
      <c r="A145">
        <v>327</v>
      </c>
      <c r="B145" s="8">
        <v>46200</v>
      </c>
      <c r="C145" s="9">
        <v>0.74133101851851857</v>
      </c>
      <c r="D145" s="7" t="s">
        <v>18</v>
      </c>
      <c r="E145" s="218" t="s">
        <v>37</v>
      </c>
      <c r="F145" s="16">
        <v>73.159115400000005</v>
      </c>
      <c r="G145" s="129">
        <v>2296.44238</v>
      </c>
      <c r="H145" s="22">
        <v>1</v>
      </c>
      <c r="I145" s="19" t="s">
        <v>254</v>
      </c>
      <c r="J145" s="7" t="s">
        <v>27</v>
      </c>
      <c r="K145" s="16">
        <v>86.102273100000005</v>
      </c>
      <c r="L145" s="16">
        <v>14.074970199999999</v>
      </c>
      <c r="M145" s="16">
        <v>-0.1393605</v>
      </c>
      <c r="N145" s="16">
        <v>63.890833399999998</v>
      </c>
      <c r="O145" s="16">
        <v>198</v>
      </c>
      <c r="P145" s="175">
        <v>0.91397339</v>
      </c>
      <c r="R145" s="218" t="s">
        <v>33</v>
      </c>
      <c r="S145" s="22">
        <v>1</v>
      </c>
      <c r="T145" s="19"/>
      <c r="AA145" s="218" t="s">
        <v>36</v>
      </c>
      <c r="AB145" s="22">
        <v>0</v>
      </c>
      <c r="AC145" s="19"/>
    </row>
    <row r="146" spans="1:29" x14ac:dyDescent="0.2">
      <c r="A146">
        <v>328</v>
      </c>
      <c r="B146" s="8">
        <v>46200</v>
      </c>
      <c r="C146" s="9">
        <v>0.74170138888888892</v>
      </c>
      <c r="D146" s="7" t="s">
        <v>18</v>
      </c>
      <c r="E146" s="218" t="s">
        <v>33</v>
      </c>
      <c r="F146" s="16">
        <v>85.370829900000004</v>
      </c>
      <c r="G146" s="129">
        <v>2422.70532</v>
      </c>
      <c r="H146" s="22">
        <v>0</v>
      </c>
      <c r="I146" s="19"/>
      <c r="J146" s="7" t="s">
        <v>29</v>
      </c>
      <c r="K146" s="16"/>
      <c r="L146" s="16"/>
      <c r="M146" s="16"/>
      <c r="N146" s="16"/>
      <c r="O146" s="16"/>
      <c r="P146" s="175"/>
      <c r="R146" s="218" t="s">
        <v>33</v>
      </c>
      <c r="S146" s="22">
        <v>1</v>
      </c>
      <c r="T146" s="19" t="s">
        <v>38</v>
      </c>
      <c r="AA146" s="218" t="s">
        <v>36</v>
      </c>
      <c r="AB146" s="22">
        <v>0</v>
      </c>
      <c r="AC146" s="19"/>
    </row>
    <row r="147" spans="1:29" x14ac:dyDescent="0.2">
      <c r="A147">
        <v>329</v>
      </c>
      <c r="B147" s="8">
        <v>46200</v>
      </c>
      <c r="C147" s="9">
        <v>0.74189814814814814</v>
      </c>
      <c r="D147" s="7" t="s">
        <v>18</v>
      </c>
      <c r="E147" s="218" t="s">
        <v>37</v>
      </c>
      <c r="F147" s="16">
        <v>76.922680999999997</v>
      </c>
      <c r="G147" s="129">
        <v>2248.0107400000002</v>
      </c>
      <c r="H147" s="22">
        <v>1</v>
      </c>
      <c r="I147" s="19"/>
      <c r="J147" s="7" t="s">
        <v>29</v>
      </c>
      <c r="K147" s="16"/>
      <c r="L147" s="16"/>
      <c r="M147" s="16"/>
      <c r="N147" s="16"/>
      <c r="O147" s="16"/>
      <c r="P147" s="175"/>
      <c r="R147" s="218" t="s">
        <v>33</v>
      </c>
      <c r="S147" s="22">
        <v>1</v>
      </c>
      <c r="T147" s="19" t="s">
        <v>38</v>
      </c>
      <c r="AA147" s="218" t="s">
        <v>36</v>
      </c>
      <c r="AB147" s="22">
        <v>0</v>
      </c>
      <c r="AC147" s="19"/>
    </row>
    <row r="148" spans="1:29" x14ac:dyDescent="0.2">
      <c r="A148">
        <v>330</v>
      </c>
      <c r="B148" s="8">
        <v>46200</v>
      </c>
      <c r="C148" s="9">
        <v>0.74212962962962958</v>
      </c>
      <c r="D148" s="7" t="s">
        <v>18</v>
      </c>
      <c r="E148" s="218" t="s">
        <v>37</v>
      </c>
      <c r="F148" s="16">
        <v>76.906800799999999</v>
      </c>
      <c r="G148" s="129">
        <v>2237.83374</v>
      </c>
      <c r="H148" s="22">
        <v>1</v>
      </c>
      <c r="I148" s="19" t="s">
        <v>38</v>
      </c>
      <c r="J148" s="7" t="s">
        <v>29</v>
      </c>
      <c r="K148" s="16"/>
      <c r="L148" s="16"/>
      <c r="M148" s="16"/>
      <c r="N148" s="16">
        <v>65.969955600000006</v>
      </c>
      <c r="O148" s="16"/>
      <c r="P148" s="175"/>
      <c r="R148" s="218" t="s">
        <v>33</v>
      </c>
      <c r="S148" s="22">
        <v>1</v>
      </c>
      <c r="T148" s="19" t="s">
        <v>39</v>
      </c>
      <c r="AA148" s="218" t="s">
        <v>36</v>
      </c>
      <c r="AB148" s="22">
        <v>0</v>
      </c>
      <c r="AC148" s="19"/>
    </row>
    <row r="149" spans="1:29" x14ac:dyDescent="0.2">
      <c r="A149">
        <v>331</v>
      </c>
      <c r="B149" s="8">
        <v>46200</v>
      </c>
      <c r="C149" s="9">
        <v>0.74239583333333337</v>
      </c>
      <c r="D149" s="7" t="s">
        <v>18</v>
      </c>
      <c r="E149" s="218" t="s">
        <v>33</v>
      </c>
      <c r="F149" s="16">
        <v>85.100874700000006</v>
      </c>
      <c r="G149" s="129">
        <v>2370.0949700000001</v>
      </c>
      <c r="H149" s="22">
        <v>0</v>
      </c>
      <c r="I149" s="19"/>
      <c r="J149" s="7" t="s">
        <v>29</v>
      </c>
      <c r="K149" s="16"/>
      <c r="L149" s="16"/>
      <c r="M149" s="16"/>
      <c r="N149" s="16"/>
      <c r="O149" s="16"/>
      <c r="P149" s="175"/>
      <c r="R149" s="218" t="s">
        <v>33</v>
      </c>
      <c r="S149" s="22">
        <v>1</v>
      </c>
      <c r="T149" s="19" t="s">
        <v>40</v>
      </c>
      <c r="AA149" s="218" t="s">
        <v>36</v>
      </c>
      <c r="AB149" s="22">
        <v>0</v>
      </c>
      <c r="AC149" s="19"/>
    </row>
    <row r="150" spans="1:29" x14ac:dyDescent="0.2">
      <c r="A150">
        <v>332</v>
      </c>
      <c r="B150" s="8">
        <v>46200</v>
      </c>
      <c r="C150" s="9">
        <v>0.74263888888888885</v>
      </c>
      <c r="D150" s="7" t="s">
        <v>18</v>
      </c>
      <c r="E150" s="218" t="s">
        <v>37</v>
      </c>
      <c r="F150" s="16">
        <v>72.920918799999995</v>
      </c>
      <c r="G150" s="129">
        <v>1170.40894</v>
      </c>
      <c r="H150" s="169">
        <v>1</v>
      </c>
      <c r="I150" s="170" t="s">
        <v>255</v>
      </c>
      <c r="J150" s="165" t="s">
        <v>29</v>
      </c>
      <c r="K150" s="16">
        <v>87.422739800000002</v>
      </c>
      <c r="L150" s="16">
        <v>-8.7541341999999993</v>
      </c>
      <c r="M150" s="16"/>
      <c r="N150" s="16">
        <v>69.453891499999997</v>
      </c>
      <c r="O150" s="16">
        <v>29</v>
      </c>
      <c r="P150" s="175">
        <v>0.87260963000000002</v>
      </c>
      <c r="R150" s="218" t="s">
        <v>33</v>
      </c>
      <c r="S150" s="22">
        <v>0</v>
      </c>
      <c r="T150" s="19"/>
      <c r="AA150" s="218" t="s">
        <v>36</v>
      </c>
      <c r="AB150" s="169">
        <v>0</v>
      </c>
      <c r="AC150" s="170"/>
    </row>
    <row r="151" spans="1:29" x14ac:dyDescent="0.2">
      <c r="A151">
        <v>342</v>
      </c>
      <c r="B151" s="8">
        <v>46200</v>
      </c>
      <c r="C151" s="9">
        <v>0.74943287037037032</v>
      </c>
      <c r="D151" s="7" t="s">
        <v>18</v>
      </c>
      <c r="E151" s="218" t="s">
        <v>33</v>
      </c>
      <c r="F151" s="16">
        <v>84.7832741</v>
      </c>
      <c r="G151" s="129">
        <v>2285.0632300000002</v>
      </c>
      <c r="H151" s="22">
        <v>0</v>
      </c>
      <c r="I151" s="19"/>
      <c r="J151" s="7" t="s">
        <v>24</v>
      </c>
      <c r="K151" s="16"/>
      <c r="L151" s="16"/>
      <c r="M151" s="16"/>
      <c r="N151" s="16"/>
      <c r="O151" s="16"/>
      <c r="P151" s="175"/>
      <c r="R151" s="218" t="s">
        <v>33</v>
      </c>
      <c r="S151" s="22">
        <v>0</v>
      </c>
      <c r="T151" s="19"/>
      <c r="AA151" s="12" t="s">
        <v>36</v>
      </c>
      <c r="AB151" s="20">
        <v>0</v>
      </c>
      <c r="AC151" s="17"/>
    </row>
    <row r="152" spans="1:29" x14ac:dyDescent="0.2">
      <c r="A152">
        <v>343</v>
      </c>
      <c r="B152" s="8">
        <v>46200</v>
      </c>
      <c r="C152" s="9">
        <v>0.74959490740740742</v>
      </c>
      <c r="D152" s="7" t="s">
        <v>18</v>
      </c>
      <c r="E152" s="218" t="s">
        <v>35</v>
      </c>
      <c r="F152" s="16">
        <v>78.002519100000001</v>
      </c>
      <c r="G152" s="129">
        <v>2228.5439500000002</v>
      </c>
      <c r="H152" s="22">
        <v>1</v>
      </c>
      <c r="I152" s="19" t="s">
        <v>38</v>
      </c>
      <c r="J152" s="7" t="s">
        <v>24</v>
      </c>
      <c r="K152" s="16">
        <v>76.359701000000001</v>
      </c>
      <c r="L152" s="16">
        <v>0.51693487000000005</v>
      </c>
      <c r="M152" s="16">
        <v>-9.6527843999999998</v>
      </c>
      <c r="N152" s="16">
        <v>56.417235400000003</v>
      </c>
      <c r="O152" s="16">
        <v>37</v>
      </c>
      <c r="P152" s="175">
        <v>0.88112670999999998</v>
      </c>
      <c r="R152" s="218" t="s">
        <v>33</v>
      </c>
      <c r="S152" s="22">
        <v>1</v>
      </c>
      <c r="T152" s="19" t="s">
        <v>38</v>
      </c>
      <c r="AA152" s="12" t="s">
        <v>36</v>
      </c>
      <c r="AB152" s="20">
        <v>0</v>
      </c>
      <c r="AC152" s="17"/>
    </row>
    <row r="153" spans="1:29" x14ac:dyDescent="0.2">
      <c r="A153">
        <v>344</v>
      </c>
      <c r="B153" s="8">
        <v>46200</v>
      </c>
      <c r="C153" s="9">
        <v>0.74982638888888886</v>
      </c>
      <c r="D153" s="7" t="s">
        <v>18</v>
      </c>
      <c r="E153" s="218" t="s">
        <v>33</v>
      </c>
      <c r="F153" s="16">
        <v>84.402154300000007</v>
      </c>
      <c r="G153" s="129">
        <v>2280.6691900000001</v>
      </c>
      <c r="H153" s="22">
        <v>0</v>
      </c>
      <c r="I153" s="19"/>
      <c r="J153" s="7" t="s">
        <v>24</v>
      </c>
      <c r="K153" s="16"/>
      <c r="L153" s="16"/>
      <c r="M153" s="16"/>
      <c r="N153" s="16"/>
      <c r="O153" s="16"/>
      <c r="P153" s="175"/>
      <c r="R153" s="218" t="s">
        <v>33</v>
      </c>
      <c r="S153" s="22">
        <v>1</v>
      </c>
      <c r="T153" s="19" t="s">
        <v>39</v>
      </c>
      <c r="AA153" s="12" t="s">
        <v>36</v>
      </c>
      <c r="AB153" s="20">
        <v>0</v>
      </c>
      <c r="AC153" s="17"/>
    </row>
    <row r="154" spans="1:29" x14ac:dyDescent="0.2">
      <c r="A154">
        <v>345</v>
      </c>
      <c r="B154" s="8">
        <v>46200</v>
      </c>
      <c r="C154" s="9">
        <v>0.75002314814814819</v>
      </c>
      <c r="D154" s="7" t="s">
        <v>18</v>
      </c>
      <c r="E154" s="218" t="s">
        <v>35</v>
      </c>
      <c r="F154" s="16">
        <v>81.543751400000005</v>
      </c>
      <c r="G154" s="129">
        <v>1569.5502899999999</v>
      </c>
      <c r="H154" s="22">
        <v>1</v>
      </c>
      <c r="I154" s="19" t="s">
        <v>38</v>
      </c>
      <c r="J154" s="7" t="s">
        <v>24</v>
      </c>
      <c r="K154" s="16"/>
      <c r="L154" s="16"/>
      <c r="M154" s="16"/>
      <c r="N154" s="16">
        <v>49.646046200000001</v>
      </c>
      <c r="O154" s="16"/>
      <c r="P154" s="175"/>
      <c r="R154" s="218" t="s">
        <v>37</v>
      </c>
      <c r="S154" s="22">
        <v>0</v>
      </c>
      <c r="T154" s="19"/>
      <c r="AA154" s="12" t="s">
        <v>36</v>
      </c>
      <c r="AB154" s="20">
        <v>0</v>
      </c>
      <c r="AC154" s="17"/>
    </row>
    <row r="155" spans="1:29" x14ac:dyDescent="0.2">
      <c r="A155">
        <v>346</v>
      </c>
      <c r="B155" s="8">
        <v>46200</v>
      </c>
      <c r="C155" s="9">
        <v>0.75028935185185186</v>
      </c>
      <c r="D155" s="7" t="s">
        <v>18</v>
      </c>
      <c r="E155" s="218" t="s">
        <v>37</v>
      </c>
      <c r="F155" s="16">
        <v>74.238962000000001</v>
      </c>
      <c r="G155" s="129">
        <v>1172.49756</v>
      </c>
      <c r="H155" s="22">
        <v>1</v>
      </c>
      <c r="I155" s="19" t="s">
        <v>255</v>
      </c>
      <c r="J155" s="7" t="s">
        <v>24</v>
      </c>
      <c r="K155" s="16">
        <v>53.953025099999998</v>
      </c>
      <c r="L155" s="16">
        <v>-17.759308000000001</v>
      </c>
      <c r="M155" s="16">
        <v>-10.687233000000001</v>
      </c>
      <c r="N155" s="16">
        <v>64.621337800000006</v>
      </c>
      <c r="O155" s="16">
        <v>10</v>
      </c>
      <c r="P155" s="175">
        <v>0.56896214000000001</v>
      </c>
      <c r="R155" s="218" t="s">
        <v>37</v>
      </c>
      <c r="S155" s="22">
        <v>1</v>
      </c>
      <c r="T155" s="19"/>
      <c r="AA155" s="12" t="s">
        <v>36</v>
      </c>
      <c r="AB155" s="20">
        <v>0</v>
      </c>
      <c r="AC155" s="17"/>
    </row>
    <row r="156" spans="1:29" x14ac:dyDescent="0.2">
      <c r="A156">
        <v>347</v>
      </c>
      <c r="B156" s="8">
        <v>46200</v>
      </c>
      <c r="C156" s="9">
        <v>0.75063657407407403</v>
      </c>
      <c r="D156" s="7" t="s">
        <v>18</v>
      </c>
      <c r="E156" s="218" t="s">
        <v>33</v>
      </c>
      <c r="F156" s="16">
        <v>84.926197099999996</v>
      </c>
      <c r="G156" s="129">
        <v>2294.1567399999999</v>
      </c>
      <c r="H156" s="22">
        <v>0</v>
      </c>
      <c r="I156" s="19"/>
      <c r="J156" s="7" t="s">
        <v>20</v>
      </c>
      <c r="K156" s="16"/>
      <c r="L156" s="16"/>
      <c r="M156" s="16"/>
      <c r="N156" s="16"/>
      <c r="O156" s="16"/>
      <c r="P156" s="175"/>
      <c r="R156" s="218" t="s">
        <v>37</v>
      </c>
      <c r="S156" s="22">
        <v>1</v>
      </c>
      <c r="T156" s="19" t="s">
        <v>40</v>
      </c>
      <c r="AA156" s="12" t="s">
        <v>36</v>
      </c>
      <c r="AB156" s="20">
        <v>1</v>
      </c>
      <c r="AC156" s="17"/>
    </row>
    <row r="157" spans="1:29" x14ac:dyDescent="0.2">
      <c r="A157">
        <v>348</v>
      </c>
      <c r="B157" s="8">
        <v>46200</v>
      </c>
      <c r="C157" s="9">
        <v>0.75081018518518516</v>
      </c>
      <c r="D157" s="7" t="s">
        <v>18</v>
      </c>
      <c r="E157" s="218" t="s">
        <v>36</v>
      </c>
      <c r="F157" s="16">
        <v>77.303801000000007</v>
      </c>
      <c r="G157" s="129">
        <v>326.81991599999998</v>
      </c>
      <c r="H157" s="22">
        <v>1</v>
      </c>
      <c r="I157" s="19" t="s">
        <v>38</v>
      </c>
      <c r="J157" s="7" t="s">
        <v>20</v>
      </c>
      <c r="K157" s="16"/>
      <c r="L157" s="16"/>
      <c r="M157" s="16"/>
      <c r="N157" s="16">
        <v>71.926361900000003</v>
      </c>
      <c r="O157" s="16"/>
      <c r="P157" s="175"/>
      <c r="R157" s="218" t="s">
        <v>44</v>
      </c>
      <c r="S157" s="22">
        <v>1</v>
      </c>
      <c r="T157" s="19"/>
      <c r="AA157" s="12" t="s">
        <v>33</v>
      </c>
      <c r="AB157" s="20">
        <v>1</v>
      </c>
      <c r="AC157" s="17" t="s">
        <v>43</v>
      </c>
    </row>
    <row r="158" spans="1:29" x14ac:dyDescent="0.2">
      <c r="A158">
        <v>349</v>
      </c>
      <c r="B158" s="8">
        <v>46200</v>
      </c>
      <c r="C158" s="9">
        <v>0.75105324074074076</v>
      </c>
      <c r="D158" s="7" t="s">
        <v>18</v>
      </c>
      <c r="E158" s="218" t="s">
        <v>33</v>
      </c>
      <c r="F158" s="16">
        <v>85.053228000000004</v>
      </c>
      <c r="G158" s="129">
        <v>1216.87195</v>
      </c>
      <c r="H158" s="22">
        <v>1</v>
      </c>
      <c r="I158" s="19"/>
      <c r="J158" s="7" t="s">
        <v>20</v>
      </c>
      <c r="K158" s="16"/>
      <c r="L158" s="16"/>
      <c r="M158" s="16"/>
      <c r="N158" s="16"/>
      <c r="O158" s="16"/>
      <c r="P158" s="175"/>
      <c r="R158" s="218" t="s">
        <v>37</v>
      </c>
      <c r="S158" s="22">
        <v>1</v>
      </c>
      <c r="T158" s="19" t="s">
        <v>40</v>
      </c>
      <c r="AA158" s="12" t="s">
        <v>33</v>
      </c>
      <c r="AB158" s="20">
        <v>1</v>
      </c>
      <c r="AC158" s="17" t="s">
        <v>43</v>
      </c>
    </row>
    <row r="159" spans="1:29" x14ac:dyDescent="0.2">
      <c r="A159">
        <v>350</v>
      </c>
      <c r="B159" s="8">
        <v>46200</v>
      </c>
      <c r="C159" s="9">
        <v>0.75129629629629635</v>
      </c>
      <c r="D159" s="7" t="s">
        <v>18</v>
      </c>
      <c r="E159" s="218" t="s">
        <v>37</v>
      </c>
      <c r="F159" s="16">
        <v>72.857397399999996</v>
      </c>
      <c r="G159" s="129">
        <v>1148.7955300000001</v>
      </c>
      <c r="H159" s="22">
        <v>0</v>
      </c>
      <c r="I159" s="19"/>
      <c r="J159" s="7" t="s">
        <v>20</v>
      </c>
      <c r="K159" s="16"/>
      <c r="L159" s="16"/>
      <c r="M159" s="16"/>
      <c r="N159" s="16"/>
      <c r="O159" s="16"/>
      <c r="P159" s="175"/>
      <c r="R159" s="218" t="s">
        <v>37</v>
      </c>
      <c r="S159" s="22">
        <v>1</v>
      </c>
      <c r="T159" s="19"/>
      <c r="AA159" s="12" t="s">
        <v>33</v>
      </c>
      <c r="AB159" s="20">
        <v>0</v>
      </c>
      <c r="AC159" s="17" t="s">
        <v>48</v>
      </c>
    </row>
    <row r="160" spans="1:29" x14ac:dyDescent="0.2">
      <c r="A160">
        <v>351</v>
      </c>
      <c r="B160" s="8">
        <v>46200</v>
      </c>
      <c r="C160" s="9">
        <v>0.75160879629629629</v>
      </c>
      <c r="D160" s="7" t="s">
        <v>18</v>
      </c>
      <c r="E160" s="218" t="s">
        <v>33</v>
      </c>
      <c r="F160" s="16">
        <v>85.688436800000005</v>
      </c>
      <c r="G160" s="129">
        <v>2452.2656200000001</v>
      </c>
      <c r="H160" s="22">
        <v>1</v>
      </c>
      <c r="I160" s="19" t="s">
        <v>38</v>
      </c>
      <c r="J160" s="7" t="s">
        <v>20</v>
      </c>
      <c r="K160" s="16">
        <v>70.065877999999998</v>
      </c>
      <c r="L160" s="16">
        <v>-0.72788660000000005</v>
      </c>
      <c r="M160" s="16">
        <v>-44.820704999999997</v>
      </c>
      <c r="N160" s="16">
        <v>67.515247500000001</v>
      </c>
      <c r="O160" s="16">
        <v>29</v>
      </c>
      <c r="P160" s="175">
        <v>0.68797783000000001</v>
      </c>
      <c r="R160" s="218" t="s">
        <v>37</v>
      </c>
      <c r="S160" s="22">
        <v>0</v>
      </c>
      <c r="T160" s="19"/>
      <c r="AA160" s="218" t="s">
        <v>33</v>
      </c>
      <c r="AB160" s="22">
        <v>0</v>
      </c>
      <c r="AC160" s="19" t="s">
        <v>48</v>
      </c>
    </row>
    <row r="161" spans="1:29" x14ac:dyDescent="0.2">
      <c r="A161">
        <v>352</v>
      </c>
      <c r="B161" s="8">
        <v>46200</v>
      </c>
      <c r="C161" s="9">
        <v>0.75194444444444442</v>
      </c>
      <c r="D161" s="7" t="s">
        <v>18</v>
      </c>
      <c r="E161" s="218" t="s">
        <v>35</v>
      </c>
      <c r="F161" s="16">
        <v>80.733879299999998</v>
      </c>
      <c r="G161" s="129">
        <v>1681.3400899999999</v>
      </c>
      <c r="H161" s="22">
        <v>1</v>
      </c>
      <c r="I161" s="19" t="s">
        <v>38</v>
      </c>
      <c r="J161" s="7" t="s">
        <v>20</v>
      </c>
      <c r="K161" s="16"/>
      <c r="L161" s="16"/>
      <c r="M161" s="16"/>
      <c r="N161" s="16">
        <v>66.3352079</v>
      </c>
      <c r="O161" s="16"/>
      <c r="P161" s="175"/>
      <c r="R161" s="218" t="s">
        <v>37</v>
      </c>
      <c r="S161" s="22">
        <v>0</v>
      </c>
      <c r="T161" s="19"/>
      <c r="AA161" s="218" t="s">
        <v>33</v>
      </c>
      <c r="AB161" s="22">
        <v>0</v>
      </c>
      <c r="AC161" s="19" t="s">
        <v>48</v>
      </c>
    </row>
    <row r="162" spans="1:29" x14ac:dyDescent="0.2">
      <c r="A162">
        <v>353</v>
      </c>
      <c r="B162" s="8">
        <v>46200</v>
      </c>
      <c r="C162" s="9">
        <v>0.75228009259259254</v>
      </c>
      <c r="D162" s="7" t="s">
        <v>18</v>
      </c>
      <c r="E162" s="218" t="s">
        <v>36</v>
      </c>
      <c r="F162" s="16">
        <v>77.240281600000003</v>
      </c>
      <c r="G162" s="129">
        <v>749.14831500000003</v>
      </c>
      <c r="H162" s="22">
        <v>1</v>
      </c>
      <c r="I162" s="19" t="s">
        <v>38</v>
      </c>
      <c r="J162" s="7" t="s">
        <v>20</v>
      </c>
      <c r="K162" s="16"/>
      <c r="L162" s="16"/>
      <c r="M162" s="16"/>
      <c r="N162" s="16">
        <v>67.768117000000004</v>
      </c>
      <c r="O162" s="16"/>
      <c r="P162" s="175"/>
      <c r="R162" s="218" t="s">
        <v>37</v>
      </c>
      <c r="S162" s="22">
        <v>0</v>
      </c>
      <c r="T162" s="19" t="s">
        <v>48</v>
      </c>
      <c r="AA162" s="12" t="s">
        <v>33</v>
      </c>
      <c r="AB162" s="20">
        <v>0</v>
      </c>
      <c r="AC162" s="17" t="s">
        <v>48</v>
      </c>
    </row>
    <row r="163" spans="1:29" x14ac:dyDescent="0.2">
      <c r="A163">
        <v>354</v>
      </c>
      <c r="B163" s="8">
        <v>46200</v>
      </c>
      <c r="C163" s="9">
        <v>0.7525694444444444</v>
      </c>
      <c r="D163" s="7" t="s">
        <v>18</v>
      </c>
      <c r="E163" s="218" t="s">
        <v>33</v>
      </c>
      <c r="F163" s="16">
        <v>85.053228000000004</v>
      </c>
      <c r="G163" s="129">
        <v>2403.6450199999999</v>
      </c>
      <c r="H163" s="22">
        <v>1</v>
      </c>
      <c r="I163" s="19" t="s">
        <v>38</v>
      </c>
      <c r="J163" s="7" t="s">
        <v>20</v>
      </c>
      <c r="K163" s="16"/>
      <c r="L163" s="16">
        <v>-65.415610999999998</v>
      </c>
      <c r="M163" s="16">
        <v>-16.252065999999999</v>
      </c>
      <c r="N163" s="16">
        <v>67.0095168</v>
      </c>
      <c r="O163" s="16">
        <v>3</v>
      </c>
      <c r="P163" s="175"/>
      <c r="R163" s="218" t="s">
        <v>37</v>
      </c>
      <c r="S163" s="22">
        <v>0</v>
      </c>
      <c r="T163" s="19"/>
      <c r="AA163" s="12" t="s">
        <v>33</v>
      </c>
      <c r="AB163" s="20">
        <v>0</v>
      </c>
      <c r="AC163" s="17" t="s">
        <v>48</v>
      </c>
    </row>
    <row r="164" spans="1:29" x14ac:dyDescent="0.2">
      <c r="A164">
        <v>355</v>
      </c>
      <c r="B164" s="8">
        <v>46200</v>
      </c>
      <c r="C164" s="9">
        <v>0.75282407407407403</v>
      </c>
      <c r="D164" s="7" t="s">
        <v>18</v>
      </c>
      <c r="E164" s="218" t="s">
        <v>37</v>
      </c>
      <c r="F164" s="16">
        <v>74.111919200000003</v>
      </c>
      <c r="G164" s="129">
        <v>1159.1673599999999</v>
      </c>
      <c r="H164" s="22">
        <v>1</v>
      </c>
      <c r="I164" s="19" t="s">
        <v>38</v>
      </c>
      <c r="J164" s="7" t="s">
        <v>20</v>
      </c>
      <c r="K164" s="16"/>
      <c r="L164" s="16"/>
      <c r="M164" s="16"/>
      <c r="N164" s="16">
        <v>59.7325929</v>
      </c>
      <c r="O164" s="16"/>
      <c r="P164" s="175"/>
      <c r="R164" s="218" t="s">
        <v>37</v>
      </c>
      <c r="S164" s="22">
        <v>1</v>
      </c>
      <c r="T164" s="19" t="s">
        <v>40</v>
      </c>
      <c r="AA164" s="12" t="s">
        <v>33</v>
      </c>
      <c r="AB164" s="20">
        <v>0</v>
      </c>
      <c r="AC164" s="17" t="s">
        <v>48</v>
      </c>
    </row>
    <row r="165" spans="1:29" x14ac:dyDescent="0.2">
      <c r="A165">
        <v>356</v>
      </c>
      <c r="B165" s="8">
        <v>46200</v>
      </c>
      <c r="C165" s="9">
        <v>0.75310185185185186</v>
      </c>
      <c r="D165" s="7" t="s">
        <v>18</v>
      </c>
      <c r="E165" s="218" t="s">
        <v>37</v>
      </c>
      <c r="F165" s="16">
        <v>74.508919500000005</v>
      </c>
      <c r="G165" s="129">
        <v>2295.3203100000001</v>
      </c>
      <c r="H165" s="22">
        <v>0</v>
      </c>
      <c r="I165" s="19"/>
      <c r="J165" s="7" t="s">
        <v>20</v>
      </c>
      <c r="K165" s="16"/>
      <c r="L165" s="16"/>
      <c r="M165" s="16"/>
      <c r="N165" s="16"/>
      <c r="O165" s="16"/>
      <c r="P165" s="175"/>
      <c r="R165" s="218" t="s">
        <v>37</v>
      </c>
      <c r="S165" s="22">
        <v>1</v>
      </c>
      <c r="T165" s="19"/>
      <c r="AA165" s="12" t="s">
        <v>33</v>
      </c>
      <c r="AB165" s="20">
        <v>1</v>
      </c>
      <c r="AC165" s="17" t="s">
        <v>42</v>
      </c>
    </row>
    <row r="166" spans="1:29" x14ac:dyDescent="0.2">
      <c r="A166">
        <v>357</v>
      </c>
      <c r="B166" s="8">
        <v>46200</v>
      </c>
      <c r="C166" s="9">
        <v>0.75339120370370372</v>
      </c>
      <c r="D166" s="7" t="s">
        <v>18</v>
      </c>
      <c r="E166" s="218" t="s">
        <v>37</v>
      </c>
      <c r="F166" s="16">
        <v>74.572440799999995</v>
      </c>
      <c r="G166" s="129">
        <v>2270.7216800000001</v>
      </c>
      <c r="H166" s="22">
        <v>0</v>
      </c>
      <c r="I166" s="19" t="s">
        <v>48</v>
      </c>
      <c r="J166" s="7" t="s">
        <v>20</v>
      </c>
      <c r="K166" s="16"/>
      <c r="L166" s="16"/>
      <c r="M166" s="16"/>
      <c r="N166" s="16"/>
      <c r="O166" s="16"/>
      <c r="P166" s="175"/>
      <c r="R166" s="218" t="s">
        <v>37</v>
      </c>
      <c r="S166" s="22">
        <v>1</v>
      </c>
      <c r="T166" s="19" t="s">
        <v>38</v>
      </c>
      <c r="AA166" s="218" t="s">
        <v>33</v>
      </c>
      <c r="AB166" s="22">
        <v>1</v>
      </c>
      <c r="AC166" s="19" t="s">
        <v>42</v>
      </c>
    </row>
    <row r="167" spans="1:29" x14ac:dyDescent="0.2">
      <c r="A167">
        <v>358</v>
      </c>
      <c r="B167" s="8">
        <v>46200</v>
      </c>
      <c r="C167" s="9">
        <v>0.75364583333333335</v>
      </c>
      <c r="D167" s="7" t="s">
        <v>18</v>
      </c>
      <c r="E167" s="218" t="s">
        <v>33</v>
      </c>
      <c r="F167" s="16">
        <v>85.672556400000005</v>
      </c>
      <c r="G167" s="129">
        <v>1262.38464</v>
      </c>
      <c r="H167" s="22">
        <v>1</v>
      </c>
      <c r="I167" s="19" t="s">
        <v>39</v>
      </c>
      <c r="J167" s="7" t="s">
        <v>20</v>
      </c>
      <c r="K167" s="16"/>
      <c r="L167" s="16"/>
      <c r="M167" s="16"/>
      <c r="N167" s="16">
        <v>71.392531399999996</v>
      </c>
      <c r="O167" s="16"/>
      <c r="P167" s="175"/>
      <c r="R167" s="218" t="s">
        <v>37</v>
      </c>
      <c r="S167" s="22">
        <v>1</v>
      </c>
      <c r="T167" s="19" t="s">
        <v>40</v>
      </c>
      <c r="AA167" s="218" t="s">
        <v>33</v>
      </c>
      <c r="AB167" s="22">
        <v>1</v>
      </c>
      <c r="AC167" s="19" t="s">
        <v>42</v>
      </c>
    </row>
    <row r="168" spans="1:29" x14ac:dyDescent="0.2">
      <c r="A168">
        <v>359</v>
      </c>
      <c r="B168" s="8">
        <v>46200</v>
      </c>
      <c r="C168" s="9">
        <v>0.75394675925925925</v>
      </c>
      <c r="D168" s="7" t="s">
        <v>18</v>
      </c>
      <c r="E168" s="218" t="s">
        <v>37</v>
      </c>
      <c r="F168" s="16">
        <v>74.508919500000005</v>
      </c>
      <c r="G168" s="129">
        <v>2265.1948200000002</v>
      </c>
      <c r="H168" s="22">
        <v>0</v>
      </c>
      <c r="I168" s="19"/>
      <c r="J168" s="7" t="s">
        <v>27</v>
      </c>
      <c r="K168" s="16"/>
      <c r="L168" s="16"/>
      <c r="M168" s="16"/>
      <c r="N168" s="16"/>
      <c r="O168" s="16"/>
      <c r="P168" s="175"/>
      <c r="R168" s="218" t="s">
        <v>37</v>
      </c>
      <c r="S168" s="22">
        <v>1</v>
      </c>
      <c r="T168" s="19" t="s">
        <v>40</v>
      </c>
      <c r="AA168" s="12" t="s">
        <v>33</v>
      </c>
      <c r="AB168" s="20">
        <v>1</v>
      </c>
      <c r="AC168" s="17" t="s">
        <v>38</v>
      </c>
    </row>
    <row r="169" spans="1:29" x14ac:dyDescent="0.2">
      <c r="A169">
        <v>360</v>
      </c>
      <c r="B169" s="8">
        <v>46200</v>
      </c>
      <c r="C169" s="9">
        <v>0.75415509259259261</v>
      </c>
      <c r="D169" s="7" t="s">
        <v>18</v>
      </c>
      <c r="E169" s="218" t="s">
        <v>37</v>
      </c>
      <c r="F169" s="16">
        <v>74.635962199999994</v>
      </c>
      <c r="G169" s="129">
        <v>2276.8940400000001</v>
      </c>
      <c r="H169" s="22">
        <v>0</v>
      </c>
      <c r="I169" s="19"/>
      <c r="J169" s="7" t="s">
        <v>27</v>
      </c>
      <c r="K169" s="16"/>
      <c r="L169" s="16"/>
      <c r="M169" s="16"/>
      <c r="N169" s="16"/>
      <c r="O169" s="16"/>
      <c r="P169" s="175"/>
      <c r="R169" s="218" t="s">
        <v>37</v>
      </c>
      <c r="S169" s="22">
        <v>0</v>
      </c>
      <c r="T169" s="19"/>
      <c r="AA169" s="12" t="s">
        <v>33</v>
      </c>
      <c r="AB169" s="20">
        <v>1</v>
      </c>
      <c r="AC169" s="17" t="s">
        <v>38</v>
      </c>
    </row>
    <row r="170" spans="1:29" x14ac:dyDescent="0.2">
      <c r="A170">
        <v>361</v>
      </c>
      <c r="B170" s="8">
        <v>46200</v>
      </c>
      <c r="C170" s="9">
        <v>0.75438657407407406</v>
      </c>
      <c r="D170" s="7" t="s">
        <v>18</v>
      </c>
      <c r="E170" s="218" t="s">
        <v>33</v>
      </c>
      <c r="F170" s="16">
        <v>84.799154299999998</v>
      </c>
      <c r="G170" s="129">
        <v>2427.4482400000002</v>
      </c>
      <c r="H170" s="22">
        <v>1</v>
      </c>
      <c r="I170" s="19" t="s">
        <v>254</v>
      </c>
      <c r="J170" s="7" t="s">
        <v>27</v>
      </c>
      <c r="K170" s="16">
        <v>100.29364700000001</v>
      </c>
      <c r="L170" s="16">
        <v>13.9743967</v>
      </c>
      <c r="M170" s="16">
        <v>-35.048794000000001</v>
      </c>
      <c r="N170" s="16">
        <v>71.5330096</v>
      </c>
      <c r="O170" s="16">
        <v>248</v>
      </c>
      <c r="P170" s="175">
        <v>0.94311721999999998</v>
      </c>
      <c r="R170" s="218" t="s">
        <v>37</v>
      </c>
      <c r="S170" s="22">
        <v>1</v>
      </c>
      <c r="T170" s="19" t="s">
        <v>38</v>
      </c>
      <c r="AA170" s="218" t="s">
        <v>33</v>
      </c>
      <c r="AB170" s="22">
        <v>1</v>
      </c>
      <c r="AC170" s="19" t="s">
        <v>38</v>
      </c>
    </row>
    <row r="171" spans="1:29" x14ac:dyDescent="0.2">
      <c r="A171">
        <v>362</v>
      </c>
      <c r="B171" s="8">
        <v>46200</v>
      </c>
      <c r="C171" s="9">
        <v>0.75481481481481483</v>
      </c>
      <c r="D171" s="7" t="s">
        <v>18</v>
      </c>
      <c r="E171" s="218" t="s">
        <v>37</v>
      </c>
      <c r="F171" s="16">
        <v>73.3973206</v>
      </c>
      <c r="G171" s="129">
        <v>2312.6970200000001</v>
      </c>
      <c r="H171" s="22">
        <v>1</v>
      </c>
      <c r="I171" s="19" t="s">
        <v>38</v>
      </c>
      <c r="J171" s="7" t="s">
        <v>29</v>
      </c>
      <c r="K171" s="16"/>
      <c r="L171" s="16"/>
      <c r="M171" s="16"/>
      <c r="N171" s="16">
        <v>63.216524499999998</v>
      </c>
      <c r="O171" s="16"/>
      <c r="P171" s="175"/>
      <c r="R171" s="218" t="s">
        <v>37</v>
      </c>
      <c r="S171" s="22">
        <v>0</v>
      </c>
      <c r="T171" s="19"/>
      <c r="AA171" s="218" t="s">
        <v>33</v>
      </c>
      <c r="AB171" s="22">
        <v>1</v>
      </c>
      <c r="AC171" s="19" t="s">
        <v>38</v>
      </c>
    </row>
    <row r="172" spans="1:29" x14ac:dyDescent="0.2">
      <c r="A172">
        <v>363</v>
      </c>
      <c r="B172" s="8">
        <v>46200</v>
      </c>
      <c r="C172" s="9">
        <v>0.75504629629629627</v>
      </c>
      <c r="D172" s="7" t="s">
        <v>18</v>
      </c>
      <c r="E172" s="218" t="s">
        <v>33</v>
      </c>
      <c r="F172" s="16">
        <v>84.3545132</v>
      </c>
      <c r="G172" s="129">
        <v>2349.7624500000002</v>
      </c>
      <c r="H172" s="22">
        <v>0</v>
      </c>
      <c r="I172" s="19"/>
      <c r="J172" s="7" t="s">
        <v>29</v>
      </c>
      <c r="K172" s="16"/>
      <c r="L172" s="16"/>
      <c r="M172" s="16"/>
      <c r="N172" s="16"/>
      <c r="O172" s="16"/>
      <c r="P172" s="175"/>
      <c r="R172" s="218" t="s">
        <v>37</v>
      </c>
      <c r="S172" s="22">
        <v>0</v>
      </c>
      <c r="T172" s="19" t="s">
        <v>48</v>
      </c>
      <c r="AA172" s="218" t="s">
        <v>33</v>
      </c>
      <c r="AB172" s="22">
        <v>1</v>
      </c>
      <c r="AC172" s="19" t="s">
        <v>38</v>
      </c>
    </row>
    <row r="173" spans="1:29" x14ac:dyDescent="0.2">
      <c r="A173">
        <v>364</v>
      </c>
      <c r="B173" s="8">
        <v>46200</v>
      </c>
      <c r="C173" s="9">
        <v>0.7552430555555556</v>
      </c>
      <c r="D173" s="7" t="s">
        <v>18</v>
      </c>
      <c r="E173" s="218" t="s">
        <v>37</v>
      </c>
      <c r="F173" s="16">
        <v>73.937235299999998</v>
      </c>
      <c r="G173" s="129">
        <v>2247.5131799999999</v>
      </c>
      <c r="H173" s="22">
        <v>1</v>
      </c>
      <c r="I173" s="19" t="s">
        <v>255</v>
      </c>
      <c r="J173" s="7" t="s">
        <v>29</v>
      </c>
      <c r="K173" s="16">
        <v>75.832731199999998</v>
      </c>
      <c r="L173" s="16">
        <v>-2.7224724</v>
      </c>
      <c r="M173" s="16">
        <v>22.409706100000001</v>
      </c>
      <c r="N173" s="16">
        <v>65.576607800000005</v>
      </c>
      <c r="O173" s="16">
        <v>67</v>
      </c>
      <c r="P173" s="175">
        <v>0.78669999999999995</v>
      </c>
      <c r="R173" s="218" t="s">
        <v>37</v>
      </c>
      <c r="S173" s="22">
        <v>0</v>
      </c>
      <c r="T173" s="19"/>
      <c r="AA173" s="218" t="s">
        <v>33</v>
      </c>
      <c r="AB173" s="22">
        <v>1</v>
      </c>
      <c r="AC173" s="19" t="s">
        <v>38</v>
      </c>
    </row>
    <row r="174" spans="1:29" x14ac:dyDescent="0.2">
      <c r="A174">
        <v>365</v>
      </c>
      <c r="B174" s="8">
        <v>46200</v>
      </c>
      <c r="C174" s="9">
        <v>0.75564814814814818</v>
      </c>
      <c r="D174" s="7" t="s">
        <v>18</v>
      </c>
      <c r="E174" s="218" t="s">
        <v>33</v>
      </c>
      <c r="F174" s="16">
        <v>84.545077300000003</v>
      </c>
      <c r="G174" s="129">
        <v>2342.77612</v>
      </c>
      <c r="H174" s="22">
        <v>0</v>
      </c>
      <c r="I174" s="19"/>
      <c r="J174" s="7" t="s">
        <v>19</v>
      </c>
      <c r="K174" s="16"/>
      <c r="L174" s="16"/>
      <c r="M174" s="16"/>
      <c r="N174" s="16"/>
      <c r="O174" s="16"/>
      <c r="P174" s="175"/>
      <c r="R174" s="218" t="s">
        <v>37</v>
      </c>
      <c r="S174" s="22">
        <v>0</v>
      </c>
      <c r="T174" s="19"/>
      <c r="AA174" s="218" t="s">
        <v>33</v>
      </c>
      <c r="AB174" s="22">
        <v>1</v>
      </c>
      <c r="AC174" s="19" t="s">
        <v>38</v>
      </c>
    </row>
    <row r="175" spans="1:29" x14ac:dyDescent="0.2">
      <c r="A175">
        <v>366</v>
      </c>
      <c r="B175" s="8">
        <v>46200</v>
      </c>
      <c r="C175" s="9">
        <v>0.7558449074074074</v>
      </c>
      <c r="D175" s="7" t="s">
        <v>18</v>
      </c>
      <c r="E175" s="218" t="s">
        <v>33</v>
      </c>
      <c r="F175" s="16">
        <v>83.655794999999998</v>
      </c>
      <c r="G175" s="129">
        <v>2347.88501</v>
      </c>
      <c r="H175" s="22">
        <v>1</v>
      </c>
      <c r="I175" s="19" t="s">
        <v>38</v>
      </c>
      <c r="J175" s="7" t="s">
        <v>19</v>
      </c>
      <c r="K175" s="16"/>
      <c r="L175" s="16"/>
      <c r="M175" s="16"/>
      <c r="N175" s="16">
        <v>58.383975</v>
      </c>
      <c r="O175" s="16"/>
      <c r="P175" s="175"/>
      <c r="R175" s="218" t="s">
        <v>37</v>
      </c>
      <c r="S175" s="22">
        <v>1</v>
      </c>
      <c r="T175" s="19" t="s">
        <v>38</v>
      </c>
      <c r="AA175" s="218" t="s">
        <v>33</v>
      </c>
      <c r="AB175" s="22">
        <v>1</v>
      </c>
      <c r="AC175" s="19" t="s">
        <v>38</v>
      </c>
    </row>
    <row r="176" spans="1:29" x14ac:dyDescent="0.2">
      <c r="A176">
        <v>367</v>
      </c>
      <c r="B176" s="8">
        <v>46200</v>
      </c>
      <c r="C176" s="9">
        <v>0.7560648148148148</v>
      </c>
      <c r="D176" s="7" t="s">
        <v>18</v>
      </c>
      <c r="E176" s="218" t="s">
        <v>37</v>
      </c>
      <c r="F176" s="16">
        <v>73.413201099999995</v>
      </c>
      <c r="G176" s="129">
        <v>1175.8065200000001</v>
      </c>
      <c r="H176" s="22">
        <v>0</v>
      </c>
      <c r="I176" s="19"/>
      <c r="J176" s="7" t="s">
        <v>19</v>
      </c>
      <c r="K176" s="16"/>
      <c r="L176" s="16"/>
      <c r="M176" s="16"/>
      <c r="N176" s="16">
        <v>58.046818399999999</v>
      </c>
      <c r="O176" s="16"/>
      <c r="P176" s="175"/>
      <c r="R176" s="218" t="s">
        <v>37</v>
      </c>
      <c r="S176" s="22">
        <v>1</v>
      </c>
      <c r="T176" s="19" t="s">
        <v>40</v>
      </c>
      <c r="AA176" s="218" t="s">
        <v>33</v>
      </c>
      <c r="AB176" s="22">
        <v>1</v>
      </c>
      <c r="AC176" s="19" t="s">
        <v>38</v>
      </c>
    </row>
    <row r="177" spans="1:29" x14ac:dyDescent="0.2">
      <c r="A177">
        <v>368</v>
      </c>
      <c r="B177" s="8">
        <v>46200</v>
      </c>
      <c r="C177" s="9">
        <v>0.75631944444444443</v>
      </c>
      <c r="D177" s="7" t="s">
        <v>18</v>
      </c>
      <c r="E177" s="218" t="s">
        <v>37</v>
      </c>
      <c r="F177" s="16">
        <v>73.174995800000005</v>
      </c>
      <c r="G177" s="129">
        <v>2282.9714399999998</v>
      </c>
      <c r="H177" s="22">
        <v>0</v>
      </c>
      <c r="I177" s="19"/>
      <c r="J177" s="7" t="s">
        <v>19</v>
      </c>
      <c r="K177" s="16"/>
      <c r="L177" s="16"/>
      <c r="M177" s="16"/>
      <c r="N177" s="16"/>
      <c r="O177" s="16"/>
      <c r="P177" s="175"/>
      <c r="R177" s="218" t="s">
        <v>37</v>
      </c>
      <c r="S177" s="22">
        <v>0</v>
      </c>
      <c r="T177" s="19"/>
      <c r="AA177" s="218" t="s">
        <v>33</v>
      </c>
      <c r="AB177" s="22">
        <v>1</v>
      </c>
      <c r="AC177" s="19" t="s">
        <v>38</v>
      </c>
    </row>
    <row r="178" spans="1:29" x14ac:dyDescent="0.2">
      <c r="A178">
        <v>369</v>
      </c>
      <c r="B178" s="8">
        <v>46200</v>
      </c>
      <c r="C178" s="9">
        <v>0.75662037037037033</v>
      </c>
      <c r="D178" s="7" t="s">
        <v>18</v>
      </c>
      <c r="E178" s="218" t="s">
        <v>37</v>
      </c>
      <c r="F178" s="16">
        <v>75.572877099999999</v>
      </c>
      <c r="G178" s="129">
        <v>774.93719499999997</v>
      </c>
      <c r="H178" s="22">
        <v>0</v>
      </c>
      <c r="I178" s="19" t="s">
        <v>48</v>
      </c>
      <c r="J178" s="7" t="s">
        <v>19</v>
      </c>
      <c r="K178" s="16"/>
      <c r="L178" s="16"/>
      <c r="M178" s="16"/>
      <c r="N178" s="16"/>
      <c r="O178" s="16"/>
      <c r="P178" s="175"/>
      <c r="R178" s="218" t="s">
        <v>37</v>
      </c>
      <c r="S178" s="22">
        <v>0</v>
      </c>
      <c r="T178" s="19"/>
      <c r="AA178" s="218" t="s">
        <v>33</v>
      </c>
      <c r="AB178" s="22">
        <v>1</v>
      </c>
      <c r="AC178" s="19" t="s">
        <v>38</v>
      </c>
    </row>
    <row r="179" spans="1:29" s="155" customFormat="1" x14ac:dyDescent="0.2">
      <c r="A179" s="155">
        <v>370</v>
      </c>
      <c r="B179" s="163">
        <v>46200</v>
      </c>
      <c r="C179" s="164">
        <v>0.75679398148148147</v>
      </c>
      <c r="D179" s="165" t="s">
        <v>18</v>
      </c>
      <c r="E179" s="219" t="s">
        <v>33</v>
      </c>
      <c r="F179" s="167">
        <v>84.719752700000001</v>
      </c>
      <c r="G179" s="168">
        <v>1244.8878199999999</v>
      </c>
      <c r="H179" s="169">
        <v>1</v>
      </c>
      <c r="I179" s="170" t="s">
        <v>39</v>
      </c>
      <c r="J179" s="165" t="s">
        <v>19</v>
      </c>
      <c r="K179" s="167"/>
      <c r="L179" s="167"/>
      <c r="M179" s="167"/>
      <c r="N179" s="167">
        <v>59.844975400000003</v>
      </c>
      <c r="O179" s="167"/>
      <c r="P179" s="176"/>
      <c r="R179" s="219" t="s">
        <v>37</v>
      </c>
      <c r="S179" s="169">
        <v>0</v>
      </c>
      <c r="T179" s="170" t="s">
        <v>48</v>
      </c>
      <c r="AA179" s="219" t="s">
        <v>33</v>
      </c>
      <c r="AB179" s="169">
        <v>1</v>
      </c>
      <c r="AC179" s="170" t="s">
        <v>38</v>
      </c>
    </row>
    <row r="180" spans="1:29" x14ac:dyDescent="0.2">
      <c r="A180">
        <v>606</v>
      </c>
      <c r="B180" s="8">
        <v>46214</v>
      </c>
      <c r="C180" s="9">
        <v>0.46444444444444444</v>
      </c>
      <c r="D180" s="7" t="s">
        <v>18</v>
      </c>
      <c r="E180" s="218" t="s">
        <v>33</v>
      </c>
      <c r="F180" s="16">
        <v>82.639478299999993</v>
      </c>
      <c r="G180" s="129">
        <v>1026.6961699999999</v>
      </c>
      <c r="H180" s="22">
        <v>1</v>
      </c>
      <c r="I180" s="19" t="s">
        <v>254</v>
      </c>
      <c r="J180" s="7" t="s">
        <v>21</v>
      </c>
      <c r="K180" s="16">
        <v>96.788586600000002</v>
      </c>
      <c r="L180" s="16">
        <v>19.264827700000001</v>
      </c>
      <c r="M180" s="16">
        <v>18.0981159</v>
      </c>
      <c r="N180" s="16">
        <v>67.505383100000003</v>
      </c>
      <c r="O180" s="16">
        <v>283</v>
      </c>
      <c r="P180" s="175">
        <v>0.89866584999999999</v>
      </c>
      <c r="R180" s="218" t="s">
        <v>35</v>
      </c>
      <c r="S180" s="22">
        <v>1</v>
      </c>
      <c r="T180" s="19" t="s">
        <v>38</v>
      </c>
      <c r="AA180" s="218" t="s">
        <v>33</v>
      </c>
      <c r="AB180" s="22">
        <v>1</v>
      </c>
      <c r="AC180" s="19" t="s">
        <v>38</v>
      </c>
    </row>
    <row r="181" spans="1:29" x14ac:dyDescent="0.2">
      <c r="A181">
        <v>607</v>
      </c>
      <c r="B181" s="8">
        <v>46214</v>
      </c>
      <c r="C181" s="9">
        <v>0.46486111111111111</v>
      </c>
      <c r="D181" s="7" t="s">
        <v>18</v>
      </c>
      <c r="E181" s="218" t="s">
        <v>36</v>
      </c>
      <c r="F181" s="16">
        <v>77.811954999999998</v>
      </c>
      <c r="G181" s="129">
        <v>2225.5505400000002</v>
      </c>
      <c r="H181" s="22">
        <v>1</v>
      </c>
      <c r="I181" s="19" t="s">
        <v>39</v>
      </c>
      <c r="J181" s="7" t="s">
        <v>27</v>
      </c>
      <c r="K181" s="16"/>
      <c r="L181" s="16"/>
      <c r="M181" s="16"/>
      <c r="N181" s="16">
        <v>68.011254500000007</v>
      </c>
      <c r="O181" s="16"/>
      <c r="P181" s="175"/>
      <c r="R181" s="218" t="s">
        <v>35</v>
      </c>
      <c r="S181" s="22">
        <v>0</v>
      </c>
      <c r="T181" s="19"/>
      <c r="AA181" s="218" t="s">
        <v>33</v>
      </c>
      <c r="AB181" s="22">
        <v>1</v>
      </c>
      <c r="AC181" s="19" t="s">
        <v>38</v>
      </c>
    </row>
    <row r="182" spans="1:29" x14ac:dyDescent="0.2">
      <c r="A182">
        <v>608</v>
      </c>
      <c r="B182" s="8">
        <v>46214</v>
      </c>
      <c r="C182" s="9">
        <v>0.46512731481481484</v>
      </c>
      <c r="D182" s="7" t="s">
        <v>18</v>
      </c>
      <c r="E182" s="218" t="s">
        <v>33</v>
      </c>
      <c r="F182" s="16">
        <v>84.3545132</v>
      </c>
      <c r="G182" s="129">
        <v>1121.42542</v>
      </c>
      <c r="H182" s="22">
        <v>0</v>
      </c>
      <c r="I182" s="19"/>
      <c r="J182" s="7" t="s">
        <v>27</v>
      </c>
      <c r="K182" s="16"/>
      <c r="L182" s="16"/>
      <c r="M182" s="16"/>
      <c r="N182" s="16">
        <v>68.292292200000006</v>
      </c>
      <c r="O182" s="16"/>
      <c r="P182" s="175"/>
      <c r="R182" s="218" t="s">
        <v>35</v>
      </c>
      <c r="S182" s="22">
        <v>0</v>
      </c>
      <c r="T182" s="19"/>
      <c r="AA182" s="218" t="s">
        <v>33</v>
      </c>
      <c r="AB182" s="22">
        <v>1</v>
      </c>
      <c r="AC182" s="19" t="s">
        <v>38</v>
      </c>
    </row>
    <row r="183" spans="1:29" x14ac:dyDescent="0.2">
      <c r="A183">
        <v>609</v>
      </c>
      <c r="B183" s="8">
        <v>46214</v>
      </c>
      <c r="C183" s="9">
        <v>0.46540509259259261</v>
      </c>
      <c r="D183" s="7" t="s">
        <v>18</v>
      </c>
      <c r="E183" s="218" t="s">
        <v>37</v>
      </c>
      <c r="F183" s="16">
        <v>72.777995599999997</v>
      </c>
      <c r="G183" s="129">
        <v>2253.3789099999999</v>
      </c>
      <c r="H183" s="22">
        <v>0</v>
      </c>
      <c r="I183" s="19"/>
      <c r="J183" s="7" t="s">
        <v>27</v>
      </c>
      <c r="K183" s="16"/>
      <c r="L183" s="16"/>
      <c r="M183" s="16"/>
      <c r="N183" s="16"/>
      <c r="O183" s="16"/>
      <c r="P183" s="175"/>
      <c r="R183" s="218" t="s">
        <v>36</v>
      </c>
      <c r="S183" s="22">
        <v>1</v>
      </c>
      <c r="T183" s="19" t="s">
        <v>39</v>
      </c>
      <c r="AA183" s="218" t="s">
        <v>33</v>
      </c>
      <c r="AB183" s="22">
        <v>1</v>
      </c>
      <c r="AC183" s="19" t="s">
        <v>38</v>
      </c>
    </row>
    <row r="184" spans="1:29" x14ac:dyDescent="0.2">
      <c r="A184">
        <v>610</v>
      </c>
      <c r="B184" s="8">
        <v>46214</v>
      </c>
      <c r="C184" s="9">
        <v>0.46569444444444447</v>
      </c>
      <c r="D184" s="7" t="s">
        <v>18</v>
      </c>
      <c r="E184" s="218" t="s">
        <v>36</v>
      </c>
      <c r="F184" s="16">
        <v>79.781075400000006</v>
      </c>
      <c r="G184" s="129">
        <v>2126.5671400000001</v>
      </c>
      <c r="H184" s="22">
        <v>0</v>
      </c>
      <c r="I184" s="19"/>
      <c r="J184" s="7" t="s">
        <v>27</v>
      </c>
      <c r="K184" s="16"/>
      <c r="L184" s="16"/>
      <c r="M184" s="16"/>
      <c r="N184" s="16"/>
      <c r="O184" s="16"/>
      <c r="P184" s="175"/>
      <c r="R184" s="218" t="s">
        <v>36</v>
      </c>
      <c r="S184" s="22">
        <v>0</v>
      </c>
      <c r="T184" s="19"/>
      <c r="AA184" s="218" t="s">
        <v>33</v>
      </c>
      <c r="AB184" s="22">
        <v>1</v>
      </c>
      <c r="AC184" s="19" t="s">
        <v>38</v>
      </c>
    </row>
    <row r="185" spans="1:29" x14ac:dyDescent="0.2">
      <c r="A185">
        <v>611</v>
      </c>
      <c r="B185" s="8">
        <v>46214</v>
      </c>
      <c r="C185" s="9">
        <v>0.46607638888888892</v>
      </c>
      <c r="D185" s="7" t="s">
        <v>18</v>
      </c>
      <c r="E185" s="218" t="s">
        <v>37</v>
      </c>
      <c r="F185" s="16">
        <v>72.793876100000006</v>
      </c>
      <c r="G185" s="129">
        <v>2072.1674800000001</v>
      </c>
      <c r="H185" s="22">
        <v>1</v>
      </c>
      <c r="I185" s="19"/>
      <c r="J185" s="7" t="s">
        <v>27</v>
      </c>
      <c r="K185" s="16"/>
      <c r="L185" s="16"/>
      <c r="M185" s="16"/>
      <c r="N185" s="16"/>
      <c r="O185" s="16"/>
      <c r="P185" s="175"/>
      <c r="R185" s="218" t="s">
        <v>36</v>
      </c>
      <c r="S185" s="22">
        <v>1</v>
      </c>
      <c r="T185" s="19" t="s">
        <v>38</v>
      </c>
      <c r="AA185" s="218" t="s">
        <v>33</v>
      </c>
      <c r="AB185" s="22">
        <v>1</v>
      </c>
      <c r="AC185" s="19" t="s">
        <v>38</v>
      </c>
    </row>
    <row r="186" spans="1:29" x14ac:dyDescent="0.2">
      <c r="A186">
        <v>612</v>
      </c>
      <c r="B186" s="8">
        <v>46214</v>
      </c>
      <c r="C186" s="9">
        <v>0.46635416666666668</v>
      </c>
      <c r="D186" s="7" t="s">
        <v>18</v>
      </c>
      <c r="E186" s="218" t="s">
        <v>33</v>
      </c>
      <c r="F186" s="16">
        <v>84.846795499999999</v>
      </c>
      <c r="G186" s="129">
        <v>2182.83374</v>
      </c>
      <c r="H186" s="22">
        <v>1</v>
      </c>
      <c r="I186" s="19" t="s">
        <v>38</v>
      </c>
      <c r="J186" s="7" t="s">
        <v>27</v>
      </c>
      <c r="K186" s="16">
        <v>82.145762399999995</v>
      </c>
      <c r="L186" s="16">
        <v>59.802589400000002</v>
      </c>
      <c r="M186" s="16">
        <v>23.813457499999998</v>
      </c>
      <c r="N186" s="16">
        <v>66.662269800000004</v>
      </c>
      <c r="O186" s="16"/>
      <c r="P186" s="175">
        <v>0.76030326999999998</v>
      </c>
      <c r="R186" s="218" t="s">
        <v>36</v>
      </c>
      <c r="S186" s="22">
        <v>1</v>
      </c>
      <c r="T186" s="19" t="s">
        <v>38</v>
      </c>
      <c r="AA186" s="218" t="s">
        <v>33</v>
      </c>
      <c r="AB186" s="22">
        <v>1</v>
      </c>
      <c r="AC186" s="19" t="s">
        <v>38</v>
      </c>
    </row>
    <row r="187" spans="1:29" x14ac:dyDescent="0.2">
      <c r="A187">
        <v>613</v>
      </c>
      <c r="B187" s="8">
        <v>46214</v>
      </c>
      <c r="C187" s="9">
        <v>0.46667824074074077</v>
      </c>
      <c r="D187" s="7" t="s">
        <v>18</v>
      </c>
      <c r="E187" s="218" t="s">
        <v>37</v>
      </c>
      <c r="F187" s="16">
        <v>73.349679699999996</v>
      </c>
      <c r="G187" s="129">
        <v>2123.1535600000002</v>
      </c>
      <c r="H187" s="22">
        <v>1</v>
      </c>
      <c r="I187" s="19" t="s">
        <v>45</v>
      </c>
      <c r="J187" s="7" t="s">
        <v>27</v>
      </c>
      <c r="K187" s="16"/>
      <c r="L187" s="16"/>
      <c r="M187" s="16"/>
      <c r="N187" s="16">
        <v>68.629538499999995</v>
      </c>
      <c r="O187" s="16"/>
      <c r="P187" s="175"/>
      <c r="R187" s="218" t="s">
        <v>36</v>
      </c>
      <c r="S187" s="22">
        <v>0</v>
      </c>
      <c r="T187" s="19"/>
      <c r="AA187" s="218" t="s">
        <v>33</v>
      </c>
      <c r="AB187" s="22">
        <v>1</v>
      </c>
      <c r="AC187" s="19" t="s">
        <v>38</v>
      </c>
    </row>
    <row r="188" spans="1:29" x14ac:dyDescent="0.2">
      <c r="A188">
        <v>614</v>
      </c>
      <c r="B188" s="8">
        <v>46214</v>
      </c>
      <c r="C188" s="9">
        <v>0.46696759259259257</v>
      </c>
      <c r="D188" s="7" t="s">
        <v>18</v>
      </c>
      <c r="E188" s="218" t="s">
        <v>37</v>
      </c>
      <c r="F188" s="16">
        <v>71.904602100000005</v>
      </c>
      <c r="G188" s="129">
        <v>2209.03125</v>
      </c>
      <c r="H188" s="22">
        <v>0</v>
      </c>
      <c r="I188" s="19"/>
      <c r="J188" s="7" t="s">
        <v>29</v>
      </c>
      <c r="K188" s="16"/>
      <c r="L188" s="16"/>
      <c r="M188" s="16"/>
      <c r="N188" s="16"/>
      <c r="O188" s="16"/>
      <c r="P188" s="175"/>
      <c r="R188" s="218" t="s">
        <v>36</v>
      </c>
      <c r="S188" s="22">
        <v>1</v>
      </c>
      <c r="T188" s="19" t="s">
        <v>39</v>
      </c>
      <c r="AA188" s="218" t="s">
        <v>33</v>
      </c>
      <c r="AB188" s="22">
        <v>1</v>
      </c>
      <c r="AC188" s="19" t="s">
        <v>38</v>
      </c>
    </row>
    <row r="189" spans="1:29" x14ac:dyDescent="0.2">
      <c r="A189">
        <v>615</v>
      </c>
      <c r="B189" s="8">
        <v>46214</v>
      </c>
      <c r="C189" s="9">
        <v>0.46725694444444443</v>
      </c>
      <c r="D189" s="7" t="s">
        <v>18</v>
      </c>
      <c r="E189" s="218" t="s">
        <v>36</v>
      </c>
      <c r="F189" s="16">
        <v>79.002955400000005</v>
      </c>
      <c r="G189" s="129">
        <v>2188.48486</v>
      </c>
      <c r="H189" s="22">
        <v>1</v>
      </c>
      <c r="I189" s="19" t="s">
        <v>38</v>
      </c>
      <c r="J189" s="7" t="s">
        <v>29</v>
      </c>
      <c r="K189" s="16"/>
      <c r="L189" s="16"/>
      <c r="M189" s="16"/>
      <c r="N189" s="16">
        <v>57.781460299999999</v>
      </c>
      <c r="O189" s="16"/>
      <c r="P189" s="175"/>
      <c r="R189" s="218" t="s">
        <v>36</v>
      </c>
      <c r="S189" s="22">
        <v>1</v>
      </c>
      <c r="T189" s="19" t="s">
        <v>45</v>
      </c>
      <c r="AA189" s="218" t="s">
        <v>33</v>
      </c>
      <c r="AB189" s="22">
        <v>1</v>
      </c>
      <c r="AC189" s="19" t="s">
        <v>38</v>
      </c>
    </row>
    <row r="190" spans="1:29" x14ac:dyDescent="0.2">
      <c r="A190">
        <v>616</v>
      </c>
      <c r="B190" s="8">
        <v>46214</v>
      </c>
      <c r="C190" s="9">
        <v>0.46755787037037039</v>
      </c>
      <c r="D190" s="7" t="s">
        <v>18</v>
      </c>
      <c r="E190" s="218" t="s">
        <v>37</v>
      </c>
      <c r="F190" s="16">
        <v>74.365996199999998</v>
      </c>
      <c r="G190" s="129">
        <v>2116.2336399999999</v>
      </c>
      <c r="H190" s="22">
        <v>1</v>
      </c>
      <c r="I190" s="19"/>
      <c r="J190" s="7" t="s">
        <v>29</v>
      </c>
      <c r="K190" s="16"/>
      <c r="L190" s="16"/>
      <c r="M190" s="16"/>
      <c r="N190" s="16"/>
      <c r="O190" s="16"/>
      <c r="P190" s="175"/>
      <c r="R190" s="218" t="s">
        <v>36</v>
      </c>
      <c r="S190" s="22">
        <v>0</v>
      </c>
      <c r="T190" s="19"/>
      <c r="AA190" s="12" t="s">
        <v>33</v>
      </c>
      <c r="AB190" s="20">
        <v>1</v>
      </c>
      <c r="AC190" s="17" t="s">
        <v>38</v>
      </c>
    </row>
    <row r="191" spans="1:29" x14ac:dyDescent="0.2">
      <c r="A191">
        <v>617</v>
      </c>
      <c r="B191" s="8">
        <v>46214</v>
      </c>
      <c r="C191" s="9">
        <v>0.4677662037037037</v>
      </c>
      <c r="D191" s="7" t="s">
        <v>18</v>
      </c>
      <c r="E191" s="218" t="s">
        <v>33</v>
      </c>
      <c r="F191" s="16">
        <v>84.926197099999996</v>
      </c>
      <c r="G191" s="129">
        <v>2390.2192399999999</v>
      </c>
      <c r="H191" s="22">
        <v>1</v>
      </c>
      <c r="I191" s="19" t="s">
        <v>45</v>
      </c>
      <c r="J191" s="7" t="s">
        <v>29</v>
      </c>
      <c r="K191" s="16"/>
      <c r="L191" s="16"/>
      <c r="M191" s="16"/>
      <c r="N191" s="16">
        <v>58.231123400000001</v>
      </c>
      <c r="O191" s="16"/>
      <c r="P191" s="175"/>
      <c r="R191" s="218" t="s">
        <v>36</v>
      </c>
      <c r="S191" s="22">
        <v>1</v>
      </c>
      <c r="T191" s="19" t="s">
        <v>38</v>
      </c>
      <c r="AA191" s="12" t="s">
        <v>33</v>
      </c>
      <c r="AB191" s="20">
        <v>1</v>
      </c>
      <c r="AC191" s="17" t="s">
        <v>38</v>
      </c>
    </row>
    <row r="192" spans="1:29" x14ac:dyDescent="0.2">
      <c r="A192">
        <v>618</v>
      </c>
      <c r="B192" s="8">
        <v>46214</v>
      </c>
      <c r="C192" s="9">
        <v>0.4682175925925926</v>
      </c>
      <c r="D192" s="7" t="s">
        <v>18</v>
      </c>
      <c r="E192" s="218" t="s">
        <v>36</v>
      </c>
      <c r="F192" s="16">
        <v>79.272912899999994</v>
      </c>
      <c r="G192" s="129">
        <v>2201.8808600000002</v>
      </c>
      <c r="H192" s="22">
        <v>1</v>
      </c>
      <c r="I192" s="19" t="s">
        <v>38</v>
      </c>
      <c r="J192" s="7" t="s">
        <v>22</v>
      </c>
      <c r="K192" s="16">
        <v>67.0817421</v>
      </c>
      <c r="L192" s="16">
        <v>52.7724075</v>
      </c>
      <c r="M192" s="16">
        <v>39.477577199999999</v>
      </c>
      <c r="N192" s="16">
        <v>58.961819900000002</v>
      </c>
      <c r="O192" s="16">
        <v>210</v>
      </c>
      <c r="P192" s="175">
        <v>0.68752853000000003</v>
      </c>
      <c r="R192" s="218" t="s">
        <v>36</v>
      </c>
      <c r="S192" s="22">
        <v>0</v>
      </c>
      <c r="T192" s="19" t="s">
        <v>48</v>
      </c>
      <c r="AA192" s="12" t="s">
        <v>33</v>
      </c>
      <c r="AB192" s="20">
        <v>1</v>
      </c>
      <c r="AC192" s="17" t="s">
        <v>38</v>
      </c>
    </row>
    <row r="193" spans="1:29" x14ac:dyDescent="0.2">
      <c r="A193">
        <v>619</v>
      </c>
      <c r="B193" s="8">
        <v>46214</v>
      </c>
      <c r="C193" s="9">
        <v>0.46856481481481482</v>
      </c>
      <c r="D193" s="7" t="s">
        <v>18</v>
      </c>
      <c r="E193" s="218" t="s">
        <v>37</v>
      </c>
      <c r="F193" s="16">
        <v>74.810637400000005</v>
      </c>
      <c r="G193" s="129">
        <v>2345.55737</v>
      </c>
      <c r="H193" s="22">
        <v>1</v>
      </c>
      <c r="I193" s="169" t="s">
        <v>255</v>
      </c>
      <c r="J193" s="165" t="s">
        <v>22</v>
      </c>
      <c r="K193" s="16"/>
      <c r="L193" s="16"/>
      <c r="M193" s="16"/>
      <c r="N193" s="16">
        <v>61.884618799999998</v>
      </c>
      <c r="O193" s="16"/>
      <c r="P193" s="175"/>
      <c r="R193" s="218" t="s">
        <v>36</v>
      </c>
      <c r="S193" s="22">
        <v>1</v>
      </c>
      <c r="T193" s="19" t="s">
        <v>40</v>
      </c>
      <c r="AA193" s="12" t="s">
        <v>33</v>
      </c>
      <c r="AB193" s="20">
        <v>1</v>
      </c>
      <c r="AC193" s="161" t="s">
        <v>38</v>
      </c>
    </row>
    <row r="194" spans="1:29" x14ac:dyDescent="0.2">
      <c r="A194">
        <v>643</v>
      </c>
      <c r="B194" s="8">
        <v>46214</v>
      </c>
      <c r="C194" s="9">
        <v>0.47758101851851853</v>
      </c>
      <c r="D194" s="7" t="s">
        <v>18</v>
      </c>
      <c r="E194" s="218" t="s">
        <v>36</v>
      </c>
      <c r="F194" s="16">
        <v>78.9553145</v>
      </c>
      <c r="G194" s="129">
        <v>2152.7077599999998</v>
      </c>
      <c r="H194" s="22">
        <v>0</v>
      </c>
      <c r="I194" s="19"/>
      <c r="J194" s="7" t="s">
        <v>22</v>
      </c>
      <c r="K194" s="16"/>
      <c r="L194" s="16"/>
      <c r="M194" s="16"/>
      <c r="N194" s="16"/>
      <c r="O194" s="16"/>
      <c r="P194" s="175"/>
      <c r="R194" s="218" t="s">
        <v>36</v>
      </c>
      <c r="S194" s="22">
        <v>0</v>
      </c>
      <c r="T194" s="19"/>
      <c r="AA194" s="12" t="s">
        <v>33</v>
      </c>
      <c r="AB194" s="20">
        <v>1</v>
      </c>
      <c r="AC194" s="17" t="s">
        <v>38</v>
      </c>
    </row>
    <row r="195" spans="1:29" x14ac:dyDescent="0.2">
      <c r="A195">
        <v>644</v>
      </c>
      <c r="B195" s="8">
        <v>46214</v>
      </c>
      <c r="C195" s="9">
        <v>0.47778935185185184</v>
      </c>
      <c r="D195" s="7" t="s">
        <v>18</v>
      </c>
      <c r="E195" s="218" t="s">
        <v>35</v>
      </c>
      <c r="F195" s="16">
        <v>80.019272200000003</v>
      </c>
      <c r="G195" s="129">
        <v>1640.3298299999999</v>
      </c>
      <c r="H195" s="22">
        <v>1</v>
      </c>
      <c r="I195" s="19" t="s">
        <v>38</v>
      </c>
      <c r="J195" s="7" t="s">
        <v>22</v>
      </c>
      <c r="K195" s="16"/>
      <c r="L195" s="16"/>
      <c r="M195" s="16"/>
      <c r="N195" s="16">
        <v>63.458432999999999</v>
      </c>
      <c r="O195" s="16"/>
      <c r="P195" s="175"/>
      <c r="R195" s="218" t="s">
        <v>33</v>
      </c>
      <c r="S195" s="22">
        <v>1</v>
      </c>
      <c r="T195" s="19" t="s">
        <v>40</v>
      </c>
      <c r="AA195" s="12" t="s">
        <v>33</v>
      </c>
      <c r="AB195" s="20">
        <v>1</v>
      </c>
      <c r="AC195" s="17" t="s">
        <v>38</v>
      </c>
    </row>
    <row r="196" spans="1:29" x14ac:dyDescent="0.2">
      <c r="A196">
        <v>645</v>
      </c>
      <c r="B196" s="8">
        <v>46214</v>
      </c>
      <c r="C196" s="9">
        <v>0.47813657407407406</v>
      </c>
      <c r="D196" s="7" t="s">
        <v>18</v>
      </c>
      <c r="E196" s="218" t="s">
        <v>37</v>
      </c>
      <c r="F196" s="16">
        <v>73.238517200000004</v>
      </c>
      <c r="G196" s="129">
        <v>2189.0258800000001</v>
      </c>
      <c r="H196" s="22">
        <v>0</v>
      </c>
      <c r="I196" s="19"/>
      <c r="J196" s="7" t="s">
        <v>22</v>
      </c>
      <c r="K196" s="16"/>
      <c r="L196" s="16"/>
      <c r="M196" s="16"/>
      <c r="N196" s="16"/>
      <c r="O196" s="16"/>
      <c r="P196" s="175"/>
      <c r="R196" s="218" t="s">
        <v>33</v>
      </c>
      <c r="S196" s="22">
        <v>0</v>
      </c>
      <c r="T196" s="19"/>
      <c r="AA196" s="12" t="s">
        <v>33</v>
      </c>
      <c r="AB196" s="20">
        <v>1</v>
      </c>
      <c r="AC196" s="17" t="s">
        <v>38</v>
      </c>
    </row>
    <row r="197" spans="1:29" x14ac:dyDescent="0.2">
      <c r="A197">
        <v>646</v>
      </c>
      <c r="B197" s="8">
        <v>46214</v>
      </c>
      <c r="C197" s="9">
        <v>0.47839120370370369</v>
      </c>
      <c r="D197" s="7" t="s">
        <v>18</v>
      </c>
      <c r="E197" s="218" t="s">
        <v>36</v>
      </c>
      <c r="F197" s="16">
        <v>78.812400199999999</v>
      </c>
      <c r="G197" s="129">
        <v>1362.19092</v>
      </c>
      <c r="H197" s="22">
        <v>1</v>
      </c>
      <c r="I197" s="19" t="s">
        <v>39</v>
      </c>
      <c r="J197" s="7" t="s">
        <v>22</v>
      </c>
      <c r="K197" s="16"/>
      <c r="L197" s="16"/>
      <c r="M197" s="16"/>
      <c r="N197" s="16">
        <v>58.0624982</v>
      </c>
      <c r="O197" s="16"/>
      <c r="P197" s="175"/>
      <c r="R197" s="218" t="s">
        <v>33</v>
      </c>
      <c r="S197" s="22">
        <v>1</v>
      </c>
      <c r="T197" s="19" t="s">
        <v>38</v>
      </c>
      <c r="AA197" s="12" t="s">
        <v>33</v>
      </c>
      <c r="AB197" s="20">
        <v>0</v>
      </c>
      <c r="AC197" s="17" t="s">
        <v>41</v>
      </c>
    </row>
    <row r="198" spans="1:29" x14ac:dyDescent="0.2">
      <c r="A198">
        <v>647</v>
      </c>
      <c r="B198" s="8">
        <v>46214</v>
      </c>
      <c r="C198" s="9">
        <v>0.4788425925925926</v>
      </c>
      <c r="D198" s="7" t="s">
        <v>18</v>
      </c>
      <c r="E198" s="218" t="s">
        <v>33</v>
      </c>
      <c r="F198" s="16">
        <v>81.7501958</v>
      </c>
      <c r="G198" s="129">
        <v>2203.97388</v>
      </c>
      <c r="H198" s="22">
        <v>1</v>
      </c>
      <c r="I198" s="19" t="s">
        <v>38</v>
      </c>
      <c r="J198" s="7" t="s">
        <v>22</v>
      </c>
      <c r="K198" s="16"/>
      <c r="L198" s="16"/>
      <c r="M198" s="16"/>
      <c r="N198" s="16">
        <v>57.106968000000002</v>
      </c>
      <c r="O198" s="16"/>
      <c r="P198" s="175"/>
      <c r="R198" s="218" t="s">
        <v>33</v>
      </c>
      <c r="S198" s="22">
        <v>1</v>
      </c>
      <c r="T198" s="19" t="s">
        <v>45</v>
      </c>
      <c r="AA198" s="12" t="s">
        <v>33</v>
      </c>
      <c r="AB198" s="20">
        <v>0</v>
      </c>
      <c r="AC198" s="17" t="s">
        <v>41</v>
      </c>
    </row>
    <row r="199" spans="1:29" x14ac:dyDescent="0.2">
      <c r="A199">
        <v>648</v>
      </c>
      <c r="B199" s="8">
        <v>46214</v>
      </c>
      <c r="C199" s="9">
        <v>0.47913194444444446</v>
      </c>
      <c r="D199" s="7" t="s">
        <v>18</v>
      </c>
      <c r="E199" s="218" t="s">
        <v>33</v>
      </c>
      <c r="F199" s="16">
        <v>84.481555900000004</v>
      </c>
      <c r="G199" s="129">
        <v>2287.2280300000002</v>
      </c>
      <c r="H199" s="22">
        <v>0</v>
      </c>
      <c r="I199" s="19"/>
      <c r="J199" s="7" t="s">
        <v>22</v>
      </c>
      <c r="K199" s="16"/>
      <c r="L199" s="16"/>
      <c r="M199" s="16"/>
      <c r="N199" s="16"/>
      <c r="O199" s="16"/>
      <c r="P199" s="175"/>
      <c r="R199" s="218" t="s">
        <v>33</v>
      </c>
      <c r="S199" s="22">
        <v>1</v>
      </c>
      <c r="T199" s="19" t="s">
        <v>38</v>
      </c>
      <c r="AA199" s="12" t="s">
        <v>33</v>
      </c>
      <c r="AB199" s="20">
        <v>1</v>
      </c>
      <c r="AC199" s="17" t="s">
        <v>254</v>
      </c>
    </row>
    <row r="200" spans="1:29" x14ac:dyDescent="0.2">
      <c r="A200">
        <v>649</v>
      </c>
      <c r="B200" s="8">
        <v>46214</v>
      </c>
      <c r="C200" s="9">
        <v>0.47934027777777777</v>
      </c>
      <c r="D200" s="7" t="s">
        <v>18</v>
      </c>
      <c r="E200" s="218" t="s">
        <v>37</v>
      </c>
      <c r="F200" s="16">
        <v>73.413201099999995</v>
      </c>
      <c r="G200" s="129">
        <v>2191.8525399999999</v>
      </c>
      <c r="H200" s="22">
        <v>0</v>
      </c>
      <c r="I200" s="19"/>
      <c r="J200" s="7" t="s">
        <v>22</v>
      </c>
      <c r="K200" s="16"/>
      <c r="L200" s="16"/>
      <c r="M200" s="16"/>
      <c r="N200" s="16"/>
      <c r="O200" s="16"/>
      <c r="P200" s="175"/>
      <c r="R200" s="218" t="s">
        <v>33</v>
      </c>
      <c r="S200" s="22">
        <v>0</v>
      </c>
      <c r="T200" s="19"/>
      <c r="AA200" s="218" t="s">
        <v>33</v>
      </c>
      <c r="AB200" s="22">
        <v>1</v>
      </c>
      <c r="AC200" s="19" t="s">
        <v>254</v>
      </c>
    </row>
    <row r="201" spans="1:29" x14ac:dyDescent="0.2">
      <c r="A201">
        <v>650</v>
      </c>
      <c r="B201" s="8">
        <v>46214</v>
      </c>
      <c r="C201" s="9">
        <v>0.47962962962962963</v>
      </c>
      <c r="D201" s="7" t="s">
        <v>18</v>
      </c>
      <c r="E201" s="218" t="s">
        <v>33</v>
      </c>
      <c r="F201" s="16">
        <v>82.957076700000002</v>
      </c>
      <c r="G201" s="129">
        <v>2167.3195799999999</v>
      </c>
      <c r="H201" s="22">
        <v>1</v>
      </c>
      <c r="I201" s="19" t="s">
        <v>42</v>
      </c>
      <c r="J201" s="7" t="s">
        <v>22</v>
      </c>
      <c r="K201" s="16"/>
      <c r="L201" s="16"/>
      <c r="M201" s="16"/>
      <c r="N201" s="16"/>
      <c r="O201" s="16"/>
      <c r="P201" s="175"/>
      <c r="R201" s="218" t="s">
        <v>33</v>
      </c>
      <c r="S201" s="22">
        <v>1</v>
      </c>
      <c r="T201" s="19" t="s">
        <v>42</v>
      </c>
      <c r="AA201" s="218" t="s">
        <v>33</v>
      </c>
      <c r="AB201" s="22">
        <v>1</v>
      </c>
      <c r="AC201" s="19" t="s">
        <v>254</v>
      </c>
    </row>
    <row r="202" spans="1:29" x14ac:dyDescent="0.2">
      <c r="A202">
        <v>651</v>
      </c>
      <c r="B202" s="8">
        <v>46214</v>
      </c>
      <c r="C202" s="9">
        <v>0.47994212962962962</v>
      </c>
      <c r="D202" s="7" t="s">
        <v>18</v>
      </c>
      <c r="E202" s="218" t="s">
        <v>37</v>
      </c>
      <c r="F202" s="16">
        <v>73.365559899999994</v>
      </c>
      <c r="G202" s="129">
        <v>2317.7446300000001</v>
      </c>
      <c r="H202" s="22">
        <v>1</v>
      </c>
      <c r="I202" s="19" t="s">
        <v>38</v>
      </c>
      <c r="J202" s="7" t="s">
        <v>20</v>
      </c>
      <c r="K202" s="16"/>
      <c r="L202" s="16"/>
      <c r="M202" s="16"/>
      <c r="N202" s="16">
        <v>63.6270539</v>
      </c>
      <c r="O202" s="16"/>
      <c r="P202" s="175"/>
      <c r="R202" s="218" t="s">
        <v>33</v>
      </c>
      <c r="S202" s="22">
        <v>1</v>
      </c>
      <c r="T202" s="19" t="s">
        <v>39</v>
      </c>
      <c r="AA202" s="218" t="s">
        <v>33</v>
      </c>
      <c r="AB202" s="22">
        <v>1</v>
      </c>
      <c r="AC202" s="19" t="s">
        <v>254</v>
      </c>
    </row>
    <row r="203" spans="1:29" x14ac:dyDescent="0.2">
      <c r="A203">
        <v>652</v>
      </c>
      <c r="B203" s="8">
        <v>46214</v>
      </c>
      <c r="C203" s="9">
        <v>0.48016203703703703</v>
      </c>
      <c r="D203" s="7" t="s">
        <v>18</v>
      </c>
      <c r="E203" s="218" t="s">
        <v>37</v>
      </c>
      <c r="F203" s="16">
        <v>72.6668418</v>
      </c>
      <c r="G203" s="129">
        <v>2193.36328</v>
      </c>
      <c r="H203" s="22">
        <v>0</v>
      </c>
      <c r="I203" s="19"/>
      <c r="J203" s="7" t="s">
        <v>20</v>
      </c>
      <c r="K203" s="16"/>
      <c r="L203" s="16"/>
      <c r="M203" s="16"/>
      <c r="N203" s="16"/>
      <c r="O203" s="16"/>
      <c r="P203" s="175"/>
      <c r="R203" s="218" t="s">
        <v>33</v>
      </c>
      <c r="S203" s="22">
        <v>0</v>
      </c>
      <c r="T203" s="19"/>
      <c r="AA203" s="218" t="s">
        <v>33</v>
      </c>
      <c r="AB203" s="22">
        <v>1</v>
      </c>
      <c r="AC203" s="19" t="s">
        <v>254</v>
      </c>
    </row>
    <row r="204" spans="1:29" x14ac:dyDescent="0.2">
      <c r="A204">
        <v>653</v>
      </c>
      <c r="B204" s="8">
        <v>46214</v>
      </c>
      <c r="C204" s="9">
        <v>0.48039351851851853</v>
      </c>
      <c r="D204" s="7" t="s">
        <v>18</v>
      </c>
      <c r="E204" s="218" t="s">
        <v>35</v>
      </c>
      <c r="F204" s="16">
        <v>80.336879100000004</v>
      </c>
      <c r="G204" s="129">
        <v>1612.1209699999999</v>
      </c>
      <c r="H204" s="22">
        <v>0</v>
      </c>
      <c r="I204" s="19"/>
      <c r="J204" s="7" t="s">
        <v>20</v>
      </c>
      <c r="K204" s="16"/>
      <c r="L204" s="16"/>
      <c r="M204" s="16"/>
      <c r="N204" s="16"/>
      <c r="O204" s="16"/>
      <c r="P204" s="175"/>
      <c r="R204" s="218" t="s">
        <v>33</v>
      </c>
      <c r="S204" s="22">
        <v>1</v>
      </c>
      <c r="T204" s="19" t="s">
        <v>38</v>
      </c>
      <c r="AA204" s="12" t="s">
        <v>33</v>
      </c>
      <c r="AB204" s="20">
        <v>1</v>
      </c>
      <c r="AC204" s="17" t="s">
        <v>254</v>
      </c>
    </row>
    <row r="205" spans="1:29" x14ac:dyDescent="0.2">
      <c r="A205">
        <v>654</v>
      </c>
      <c r="B205" s="8">
        <v>46214</v>
      </c>
      <c r="C205" s="9">
        <v>0.48138888888888887</v>
      </c>
      <c r="D205" s="7" t="s">
        <v>18</v>
      </c>
      <c r="E205" s="218" t="s">
        <v>33</v>
      </c>
      <c r="F205" s="16">
        <v>84.148077099999995</v>
      </c>
      <c r="G205" s="129">
        <v>2243.41968</v>
      </c>
      <c r="H205" s="22">
        <v>1</v>
      </c>
      <c r="I205" s="19" t="s">
        <v>39</v>
      </c>
      <c r="J205" s="7" t="s">
        <v>20</v>
      </c>
      <c r="K205" s="16"/>
      <c r="L205" s="16"/>
      <c r="M205" s="16"/>
      <c r="N205" s="16">
        <v>69.472651799999994</v>
      </c>
      <c r="O205" s="16"/>
      <c r="P205" s="175"/>
      <c r="R205" s="218" t="s">
        <v>33</v>
      </c>
      <c r="S205" s="22">
        <v>1</v>
      </c>
      <c r="T205" s="19" t="s">
        <v>42</v>
      </c>
      <c r="AA205" s="12" t="s">
        <v>33</v>
      </c>
      <c r="AB205" s="20">
        <v>1</v>
      </c>
      <c r="AC205" s="17" t="s">
        <v>254</v>
      </c>
    </row>
    <row r="206" spans="1:29" x14ac:dyDescent="0.2">
      <c r="A206">
        <v>655</v>
      </c>
      <c r="B206" s="8">
        <v>46214</v>
      </c>
      <c r="C206" s="9">
        <v>0.48163194444444446</v>
      </c>
      <c r="D206" s="7" t="s">
        <v>18</v>
      </c>
      <c r="E206" s="218" t="s">
        <v>33</v>
      </c>
      <c r="F206" s="16">
        <v>84.719752700000001</v>
      </c>
      <c r="G206" s="129">
        <v>1115.7020299999999</v>
      </c>
      <c r="H206" s="22">
        <v>0</v>
      </c>
      <c r="I206" s="19"/>
      <c r="J206" s="7" t="s">
        <v>20</v>
      </c>
      <c r="K206" s="16"/>
      <c r="L206" s="16"/>
      <c r="M206" s="16"/>
      <c r="N206" s="16"/>
      <c r="O206" s="16"/>
      <c r="P206" s="175"/>
      <c r="R206" s="218" t="s">
        <v>33</v>
      </c>
      <c r="S206" s="22">
        <v>0</v>
      </c>
      <c r="T206" s="19"/>
      <c r="AA206" s="12" t="s">
        <v>33</v>
      </c>
      <c r="AB206" s="20">
        <v>1</v>
      </c>
      <c r="AC206" s="17" t="s">
        <v>255</v>
      </c>
    </row>
    <row r="207" spans="1:29" x14ac:dyDescent="0.2">
      <c r="A207">
        <v>656</v>
      </c>
      <c r="B207" s="8">
        <v>46214</v>
      </c>
      <c r="C207" s="9">
        <v>0.48182870370370373</v>
      </c>
      <c r="D207" s="7" t="s">
        <v>18</v>
      </c>
      <c r="E207" s="218" t="s">
        <v>36</v>
      </c>
      <c r="F207" s="16">
        <v>80.479793799999996</v>
      </c>
      <c r="G207" s="129">
        <v>2089.5617699999998</v>
      </c>
      <c r="H207" s="22">
        <v>1</v>
      </c>
      <c r="I207" s="19" t="s">
        <v>45</v>
      </c>
      <c r="J207" s="7" t="s">
        <v>20</v>
      </c>
      <c r="K207" s="16"/>
      <c r="L207" s="16"/>
      <c r="M207" s="16"/>
      <c r="N207" s="16">
        <v>65.481910299999996</v>
      </c>
      <c r="O207" s="16"/>
      <c r="P207" s="175"/>
      <c r="R207" s="218" t="s">
        <v>33</v>
      </c>
      <c r="S207" s="22">
        <v>0</v>
      </c>
      <c r="T207" s="19"/>
      <c r="AA207" s="12" t="s">
        <v>33</v>
      </c>
      <c r="AB207" s="20">
        <v>1</v>
      </c>
      <c r="AC207" s="17" t="s">
        <v>255</v>
      </c>
    </row>
    <row r="208" spans="1:29" x14ac:dyDescent="0.2">
      <c r="A208">
        <v>657</v>
      </c>
      <c r="B208" s="8">
        <v>46214</v>
      </c>
      <c r="C208" s="9">
        <v>0.4823263888888889</v>
      </c>
      <c r="D208" s="7" t="s">
        <v>18</v>
      </c>
      <c r="E208" s="218" t="s">
        <v>37</v>
      </c>
      <c r="F208" s="16">
        <v>74.572440799999995</v>
      </c>
      <c r="G208" s="129">
        <v>2271.60718</v>
      </c>
      <c r="H208" s="22">
        <v>0</v>
      </c>
      <c r="I208" s="19"/>
      <c r="J208" s="7" t="s">
        <v>17</v>
      </c>
      <c r="K208" s="16"/>
      <c r="L208" s="16"/>
      <c r="M208" s="16"/>
      <c r="N208" s="16"/>
      <c r="O208" s="16"/>
      <c r="P208" s="175"/>
      <c r="R208" s="218" t="s">
        <v>33</v>
      </c>
      <c r="S208" s="22">
        <v>0</v>
      </c>
      <c r="T208" s="19"/>
      <c r="AA208" s="218" t="s">
        <v>33</v>
      </c>
      <c r="AB208" s="22">
        <v>1</v>
      </c>
      <c r="AC208" s="19" t="s">
        <v>255</v>
      </c>
    </row>
    <row r="209" spans="1:29" x14ac:dyDescent="0.2">
      <c r="A209">
        <v>658</v>
      </c>
      <c r="B209" s="8">
        <v>46214</v>
      </c>
      <c r="C209" s="9">
        <v>0.48254629629629631</v>
      </c>
      <c r="D209" s="7" t="s">
        <v>18</v>
      </c>
      <c r="E209" s="218" t="s">
        <v>33</v>
      </c>
      <c r="F209" s="16">
        <v>84.465675700000006</v>
      </c>
      <c r="G209" s="129">
        <v>2243.02612</v>
      </c>
      <c r="H209" s="22">
        <v>1</v>
      </c>
      <c r="I209" s="19" t="s">
        <v>38</v>
      </c>
      <c r="J209" s="7" t="s">
        <v>17</v>
      </c>
      <c r="K209" s="16"/>
      <c r="L209" s="16"/>
      <c r="M209" s="16"/>
      <c r="N209" s="16">
        <v>67.224345400000004</v>
      </c>
      <c r="O209" s="16"/>
      <c r="P209" s="175"/>
      <c r="R209" s="218" t="s">
        <v>33</v>
      </c>
      <c r="S209" s="22">
        <v>1</v>
      </c>
      <c r="T209" s="19" t="s">
        <v>38</v>
      </c>
      <c r="AA209" s="218" t="s">
        <v>33</v>
      </c>
      <c r="AB209" s="22">
        <v>1</v>
      </c>
      <c r="AC209" s="19" t="s">
        <v>255</v>
      </c>
    </row>
    <row r="210" spans="1:29" x14ac:dyDescent="0.2">
      <c r="A210">
        <v>659</v>
      </c>
      <c r="B210" s="8">
        <v>46214</v>
      </c>
      <c r="C210" s="9">
        <v>0.48292824074074076</v>
      </c>
      <c r="D210" s="7" t="s">
        <v>18</v>
      </c>
      <c r="E210" s="218" t="s">
        <v>37</v>
      </c>
      <c r="F210" s="16">
        <v>73.174995800000005</v>
      </c>
      <c r="G210" s="129">
        <v>2184.4677700000002</v>
      </c>
      <c r="H210" s="22">
        <v>1</v>
      </c>
      <c r="I210" s="19"/>
      <c r="J210" s="7" t="s">
        <v>17</v>
      </c>
      <c r="K210" s="16"/>
      <c r="L210" s="16"/>
      <c r="M210" s="16"/>
      <c r="N210" s="16"/>
      <c r="O210" s="16"/>
      <c r="P210" s="175"/>
      <c r="R210" s="218" t="s">
        <v>33</v>
      </c>
      <c r="S210" s="22">
        <v>1</v>
      </c>
      <c r="T210" s="19" t="s">
        <v>38</v>
      </c>
      <c r="AA210" s="218" t="s">
        <v>33</v>
      </c>
      <c r="AB210" s="22">
        <v>1</v>
      </c>
      <c r="AC210" s="19" t="s">
        <v>255</v>
      </c>
    </row>
    <row r="211" spans="1:29" x14ac:dyDescent="0.2">
      <c r="A211">
        <v>660</v>
      </c>
      <c r="B211" s="8">
        <v>46214</v>
      </c>
      <c r="C211" s="9">
        <v>0.48312500000000003</v>
      </c>
      <c r="D211" s="7" t="s">
        <v>18</v>
      </c>
      <c r="E211" s="218" t="s">
        <v>33</v>
      </c>
      <c r="F211" s="16">
        <v>82.575956899999994</v>
      </c>
      <c r="G211" s="129">
        <v>2070.94922</v>
      </c>
      <c r="H211" s="22">
        <v>1</v>
      </c>
      <c r="I211" s="19" t="s">
        <v>42</v>
      </c>
      <c r="J211" s="7" t="s">
        <v>17</v>
      </c>
      <c r="K211" s="16"/>
      <c r="L211" s="16"/>
      <c r="M211" s="16"/>
      <c r="N211" s="16"/>
      <c r="O211" s="16"/>
      <c r="P211" s="175"/>
      <c r="R211" s="218" t="s">
        <v>33</v>
      </c>
      <c r="S211" s="22">
        <v>1</v>
      </c>
      <c r="T211" s="19" t="s">
        <v>45</v>
      </c>
      <c r="AA211" s="218" t="s">
        <v>33</v>
      </c>
      <c r="AB211" s="22">
        <v>1</v>
      </c>
      <c r="AC211" s="19" t="s">
        <v>255</v>
      </c>
    </row>
    <row r="212" spans="1:29" x14ac:dyDescent="0.2">
      <c r="A212">
        <v>661</v>
      </c>
      <c r="B212" s="8">
        <v>46214</v>
      </c>
      <c r="C212" s="9">
        <v>0.48350694444444442</v>
      </c>
      <c r="D212" s="7" t="s">
        <v>18</v>
      </c>
      <c r="E212" s="218" t="s">
        <v>35</v>
      </c>
      <c r="F212" s="16">
        <v>79.526998399999997</v>
      </c>
      <c r="G212" s="129">
        <v>1545.92554</v>
      </c>
      <c r="H212" s="22">
        <v>0</v>
      </c>
      <c r="I212" s="19"/>
      <c r="J212" s="7" t="s">
        <v>21</v>
      </c>
      <c r="K212" s="16"/>
      <c r="L212" s="16"/>
      <c r="M212" s="16"/>
      <c r="N212" s="16"/>
      <c r="O212" s="16"/>
      <c r="P212" s="175"/>
      <c r="R212" s="218" t="s">
        <v>33</v>
      </c>
      <c r="S212" s="22">
        <v>0</v>
      </c>
      <c r="T212" s="19"/>
      <c r="AA212" s="218" t="s">
        <v>33</v>
      </c>
      <c r="AB212" s="22">
        <v>1</v>
      </c>
      <c r="AC212" s="19" t="s">
        <v>255</v>
      </c>
    </row>
    <row r="213" spans="1:29" x14ac:dyDescent="0.2">
      <c r="A213">
        <v>662</v>
      </c>
      <c r="B213" s="8">
        <v>46214</v>
      </c>
      <c r="C213" s="9">
        <v>0.48378472222222224</v>
      </c>
      <c r="D213" s="7" t="s">
        <v>18</v>
      </c>
      <c r="E213" s="218" t="s">
        <v>36</v>
      </c>
      <c r="F213" s="16">
        <v>80.400391900000002</v>
      </c>
      <c r="G213" s="129">
        <v>2133.2607400000002</v>
      </c>
      <c r="H213" s="22">
        <v>0</v>
      </c>
      <c r="I213" s="19"/>
      <c r="J213" s="7" t="s">
        <v>21</v>
      </c>
      <c r="K213" s="16"/>
      <c r="L213" s="16"/>
      <c r="M213" s="16"/>
      <c r="N213" s="16"/>
      <c r="O213" s="16"/>
      <c r="P213" s="175"/>
      <c r="R213" s="218" t="s">
        <v>33</v>
      </c>
      <c r="S213" s="22">
        <v>1</v>
      </c>
      <c r="T213" s="19" t="s">
        <v>39</v>
      </c>
      <c r="AA213" s="218" t="s">
        <v>33</v>
      </c>
      <c r="AB213" s="22">
        <v>1</v>
      </c>
      <c r="AC213" s="19" t="s">
        <v>255</v>
      </c>
    </row>
    <row r="214" spans="1:29" x14ac:dyDescent="0.2">
      <c r="A214">
        <v>663</v>
      </c>
      <c r="B214" s="8">
        <v>46214</v>
      </c>
      <c r="C214" s="9">
        <v>0.4841550925925926</v>
      </c>
      <c r="D214" s="7" t="s">
        <v>18</v>
      </c>
      <c r="E214" s="218" t="s">
        <v>36</v>
      </c>
      <c r="F214" s="16">
        <v>79.209400000000002</v>
      </c>
      <c r="G214" s="129">
        <v>1041.17725</v>
      </c>
      <c r="H214" s="22">
        <v>1</v>
      </c>
      <c r="I214" s="19" t="s">
        <v>38</v>
      </c>
      <c r="J214" s="7" t="s">
        <v>21</v>
      </c>
      <c r="K214" s="16"/>
      <c r="L214" s="16"/>
      <c r="M214" s="16"/>
      <c r="N214" s="16">
        <v>70.147144299999994</v>
      </c>
      <c r="O214" s="16"/>
      <c r="P214" s="175"/>
      <c r="R214" s="218" t="s">
        <v>33</v>
      </c>
      <c r="S214" s="22">
        <v>1</v>
      </c>
      <c r="T214" s="19" t="s">
        <v>40</v>
      </c>
      <c r="AA214" s="12" t="s">
        <v>33</v>
      </c>
      <c r="AB214" s="20">
        <v>1</v>
      </c>
      <c r="AC214" s="17" t="s">
        <v>255</v>
      </c>
    </row>
    <row r="215" spans="1:29" x14ac:dyDescent="0.2">
      <c r="A215">
        <v>664</v>
      </c>
      <c r="B215" s="8">
        <v>46214</v>
      </c>
      <c r="C215" s="9">
        <v>0.48449074074074072</v>
      </c>
      <c r="D215" s="7" t="s">
        <v>18</v>
      </c>
      <c r="E215" s="218" t="s">
        <v>33</v>
      </c>
      <c r="F215" s="16">
        <v>84.227470400000001</v>
      </c>
      <c r="G215" s="129">
        <v>1181.85925</v>
      </c>
      <c r="H215" s="22">
        <v>0</v>
      </c>
      <c r="I215" s="19"/>
      <c r="J215" s="7" t="s">
        <v>21</v>
      </c>
      <c r="K215" s="16"/>
      <c r="L215" s="16"/>
      <c r="M215" s="16"/>
      <c r="N215" s="16"/>
      <c r="O215" s="16"/>
      <c r="P215" s="175"/>
      <c r="R215" s="218" t="s">
        <v>33</v>
      </c>
      <c r="S215" s="22">
        <v>1</v>
      </c>
      <c r="T215" s="19" t="s">
        <v>39</v>
      </c>
      <c r="AA215" s="12" t="s">
        <v>33</v>
      </c>
      <c r="AB215" s="20">
        <v>1</v>
      </c>
      <c r="AC215" s="17" t="s">
        <v>255</v>
      </c>
    </row>
    <row r="216" spans="1:29" x14ac:dyDescent="0.2">
      <c r="A216">
        <v>665</v>
      </c>
      <c r="B216" s="8">
        <v>46214</v>
      </c>
      <c r="C216" s="9">
        <v>0.48472222222222222</v>
      </c>
      <c r="D216" s="7" t="s">
        <v>18</v>
      </c>
      <c r="E216" s="218" t="s">
        <v>37</v>
      </c>
      <c r="F216" s="16">
        <v>74.381876700000007</v>
      </c>
      <c r="G216" s="129">
        <v>2208.6760300000001</v>
      </c>
      <c r="H216" s="22">
        <v>1</v>
      </c>
      <c r="I216" s="169" t="s">
        <v>255</v>
      </c>
      <c r="J216" s="165" t="s">
        <v>21</v>
      </c>
      <c r="K216" s="16">
        <v>77.123937499999997</v>
      </c>
      <c r="L216" s="16">
        <v>40.385199999999998</v>
      </c>
      <c r="M216" s="16">
        <v>13.2634039</v>
      </c>
      <c r="N216" s="16">
        <v>63.233603700000003</v>
      </c>
      <c r="O216" s="16">
        <v>271</v>
      </c>
      <c r="P216" s="175">
        <v>0.76080681000000006</v>
      </c>
      <c r="R216" s="218" t="s">
        <v>33</v>
      </c>
      <c r="S216" s="22">
        <v>1</v>
      </c>
      <c r="T216" s="19" t="s">
        <v>38</v>
      </c>
      <c r="AA216" s="12" t="s">
        <v>33</v>
      </c>
      <c r="AB216" s="20">
        <v>1</v>
      </c>
      <c r="AC216" s="161" t="s">
        <v>255</v>
      </c>
    </row>
    <row r="217" spans="1:29" x14ac:dyDescent="0.2">
      <c r="A217">
        <v>678</v>
      </c>
      <c r="B217" s="8">
        <v>46214</v>
      </c>
      <c r="C217" s="9">
        <v>0.49185185185185187</v>
      </c>
      <c r="D217" s="7" t="s">
        <v>18</v>
      </c>
      <c r="E217" s="218" t="s">
        <v>33</v>
      </c>
      <c r="F217" s="16">
        <v>83.766957300000001</v>
      </c>
      <c r="G217" s="129">
        <v>2253.0163600000001</v>
      </c>
      <c r="H217" s="22">
        <v>0</v>
      </c>
      <c r="I217" s="19"/>
      <c r="J217" s="7" t="s">
        <v>29</v>
      </c>
      <c r="K217" s="16"/>
      <c r="L217" s="16"/>
      <c r="M217" s="16"/>
      <c r="N217" s="16"/>
      <c r="O217" s="16"/>
      <c r="P217" s="175"/>
      <c r="R217" s="218" t="s">
        <v>33</v>
      </c>
      <c r="S217" s="22">
        <v>0</v>
      </c>
      <c r="T217" s="19"/>
      <c r="AA217" s="218" t="s">
        <v>33</v>
      </c>
      <c r="AB217" s="22">
        <v>1</v>
      </c>
      <c r="AC217" s="19" t="s">
        <v>45</v>
      </c>
    </row>
    <row r="218" spans="1:29" x14ac:dyDescent="0.2">
      <c r="A218">
        <v>679</v>
      </c>
      <c r="B218" s="8">
        <v>46214</v>
      </c>
      <c r="C218" s="9">
        <v>0.49209490740740741</v>
      </c>
      <c r="D218" s="7" t="s">
        <v>18</v>
      </c>
      <c r="E218" s="218" t="s">
        <v>33</v>
      </c>
      <c r="F218" s="16">
        <v>84.2909918</v>
      </c>
      <c r="G218" s="129">
        <v>2348.6655300000002</v>
      </c>
      <c r="H218" s="22">
        <v>0</v>
      </c>
      <c r="I218" s="19"/>
      <c r="J218" s="7" t="s">
        <v>29</v>
      </c>
      <c r="K218" s="16"/>
      <c r="L218" s="16"/>
      <c r="M218" s="16"/>
      <c r="N218" s="16"/>
      <c r="O218" s="16"/>
      <c r="P218" s="175"/>
      <c r="R218" s="218" t="s">
        <v>33</v>
      </c>
      <c r="S218" s="22">
        <v>1</v>
      </c>
      <c r="T218" s="19" t="s">
        <v>39</v>
      </c>
      <c r="AA218" s="218" t="s">
        <v>33</v>
      </c>
      <c r="AB218" s="22">
        <v>1</v>
      </c>
      <c r="AC218" s="19" t="s">
        <v>45</v>
      </c>
    </row>
    <row r="219" spans="1:29" x14ac:dyDescent="0.2">
      <c r="A219">
        <v>680</v>
      </c>
      <c r="B219" s="8">
        <v>46214</v>
      </c>
      <c r="C219" s="9">
        <v>0.49239583333333331</v>
      </c>
      <c r="D219" s="7" t="s">
        <v>18</v>
      </c>
      <c r="E219" s="218" t="s">
        <v>37</v>
      </c>
      <c r="F219" s="16">
        <v>73.8102011</v>
      </c>
      <c r="G219" s="129">
        <v>2215.3803699999999</v>
      </c>
      <c r="H219" s="22">
        <v>0</v>
      </c>
      <c r="I219" s="19"/>
      <c r="J219" s="7" t="s">
        <v>29</v>
      </c>
      <c r="K219" s="16"/>
      <c r="L219" s="16"/>
      <c r="M219" s="16"/>
      <c r="N219" s="16"/>
      <c r="O219" s="16"/>
      <c r="P219" s="175"/>
      <c r="R219" s="218" t="s">
        <v>33</v>
      </c>
      <c r="S219" s="22">
        <v>1</v>
      </c>
      <c r="T219" s="19"/>
      <c r="AA219" s="218" t="s">
        <v>33</v>
      </c>
      <c r="AB219" s="22">
        <v>1</v>
      </c>
      <c r="AC219" s="19" t="s">
        <v>45</v>
      </c>
    </row>
    <row r="220" spans="1:29" x14ac:dyDescent="0.2">
      <c r="A220">
        <v>681</v>
      </c>
      <c r="B220" s="8">
        <v>46214</v>
      </c>
      <c r="C220" s="9">
        <v>0.49262731481481481</v>
      </c>
      <c r="D220" s="7" t="s">
        <v>18</v>
      </c>
      <c r="E220" s="218" t="s">
        <v>36</v>
      </c>
      <c r="F220" s="16">
        <v>78.367758600000002</v>
      </c>
      <c r="G220" s="129">
        <v>2216.6984900000002</v>
      </c>
      <c r="H220" s="22">
        <v>0</v>
      </c>
      <c r="I220" s="19" t="s">
        <v>48</v>
      </c>
      <c r="J220" s="7" t="s">
        <v>29</v>
      </c>
      <c r="K220" s="16"/>
      <c r="L220" s="16"/>
      <c r="M220" s="16"/>
      <c r="N220" s="16"/>
      <c r="O220" s="16"/>
      <c r="P220" s="175"/>
      <c r="R220" s="218" t="s">
        <v>33</v>
      </c>
      <c r="S220" s="22">
        <v>0</v>
      </c>
      <c r="T220" s="19" t="s">
        <v>48</v>
      </c>
      <c r="AA220" s="218" t="s">
        <v>33</v>
      </c>
      <c r="AB220" s="22">
        <v>1</v>
      </c>
      <c r="AC220" s="19" t="s">
        <v>39</v>
      </c>
    </row>
    <row r="221" spans="1:29" x14ac:dyDescent="0.2">
      <c r="A221">
        <v>682</v>
      </c>
      <c r="B221" s="8">
        <v>46214</v>
      </c>
      <c r="C221" s="9">
        <v>0.49283564814814818</v>
      </c>
      <c r="D221" s="7" t="s">
        <v>18</v>
      </c>
      <c r="E221" s="218" t="s">
        <v>33</v>
      </c>
      <c r="F221" s="16">
        <v>82.194837199999995</v>
      </c>
      <c r="G221" s="129">
        <v>1122.8449700000001</v>
      </c>
      <c r="H221" s="22">
        <v>1</v>
      </c>
      <c r="I221" s="19" t="s">
        <v>38</v>
      </c>
      <c r="J221" s="7" t="s">
        <v>29</v>
      </c>
      <c r="K221" s="16">
        <v>71.242559600000007</v>
      </c>
      <c r="L221" s="16">
        <v>52.924514799999997</v>
      </c>
      <c r="M221" s="16"/>
      <c r="N221" s="16">
        <v>62.053239900000001</v>
      </c>
      <c r="O221" s="16">
        <v>230</v>
      </c>
      <c r="P221" s="175">
        <v>0.70375694</v>
      </c>
      <c r="R221" s="218" t="s">
        <v>33</v>
      </c>
      <c r="S221" s="22">
        <v>1</v>
      </c>
      <c r="T221" s="19" t="s">
        <v>38</v>
      </c>
      <c r="AA221" s="218" t="s">
        <v>33</v>
      </c>
      <c r="AB221" s="22">
        <v>1</v>
      </c>
      <c r="AC221" s="19" t="s">
        <v>39</v>
      </c>
    </row>
    <row r="222" spans="1:29" x14ac:dyDescent="0.2">
      <c r="A222">
        <v>683</v>
      </c>
      <c r="B222" s="8">
        <v>46214</v>
      </c>
      <c r="C222" s="9">
        <v>0.49328703703703702</v>
      </c>
      <c r="D222" s="7" t="s">
        <v>18</v>
      </c>
      <c r="E222" s="218" t="s">
        <v>37</v>
      </c>
      <c r="F222" s="16">
        <v>73.937235299999998</v>
      </c>
      <c r="G222" s="129">
        <v>718.55877699999996</v>
      </c>
      <c r="H222" s="22">
        <v>1</v>
      </c>
      <c r="I222" s="19" t="s">
        <v>38</v>
      </c>
      <c r="J222" s="7" t="s">
        <v>22</v>
      </c>
      <c r="K222" s="16"/>
      <c r="L222" s="16"/>
      <c r="M222" s="16"/>
      <c r="N222" s="16">
        <v>60.423220499999999</v>
      </c>
      <c r="O222" s="16"/>
      <c r="P222" s="175"/>
      <c r="R222" s="218" t="s">
        <v>37</v>
      </c>
      <c r="S222" s="22">
        <v>0</v>
      </c>
      <c r="T222" s="19"/>
      <c r="AA222" s="218" t="s">
        <v>33</v>
      </c>
      <c r="AB222" s="22">
        <v>1</v>
      </c>
      <c r="AC222" s="19" t="s">
        <v>39</v>
      </c>
    </row>
    <row r="223" spans="1:29" x14ac:dyDescent="0.2">
      <c r="A223">
        <v>684</v>
      </c>
      <c r="B223" s="8">
        <v>46214</v>
      </c>
      <c r="C223" s="9">
        <v>0.49359953703703702</v>
      </c>
      <c r="D223" s="7" t="s">
        <v>18</v>
      </c>
      <c r="E223" s="218" t="s">
        <v>37</v>
      </c>
      <c r="F223" s="16">
        <v>74.048397600000001</v>
      </c>
      <c r="G223" s="129">
        <v>1124.4428700000001</v>
      </c>
      <c r="H223" s="22">
        <v>0</v>
      </c>
      <c r="I223" s="19"/>
      <c r="J223" s="7" t="s">
        <v>22</v>
      </c>
      <c r="K223" s="16"/>
      <c r="L223" s="16"/>
      <c r="M223" s="16"/>
      <c r="N223" s="16"/>
      <c r="O223" s="16"/>
      <c r="P223" s="175"/>
      <c r="R223" s="218" t="s">
        <v>37</v>
      </c>
      <c r="S223" s="22">
        <v>1</v>
      </c>
      <c r="T223" s="19"/>
      <c r="AA223" s="218" t="s">
        <v>33</v>
      </c>
      <c r="AB223" s="22">
        <v>1</v>
      </c>
      <c r="AC223" s="19" t="s">
        <v>39</v>
      </c>
    </row>
    <row r="224" spans="1:29" x14ac:dyDescent="0.2">
      <c r="A224">
        <v>685</v>
      </c>
      <c r="B224" s="8">
        <v>46214</v>
      </c>
      <c r="C224" s="9">
        <v>0.49406250000000002</v>
      </c>
      <c r="D224" s="7" t="s">
        <v>18</v>
      </c>
      <c r="E224" s="218" t="s">
        <v>33</v>
      </c>
      <c r="F224" s="16">
        <v>83.4017178</v>
      </c>
      <c r="G224" s="129">
        <v>2321.43237</v>
      </c>
      <c r="H224" s="22">
        <v>1</v>
      </c>
      <c r="I224" s="19" t="s">
        <v>38</v>
      </c>
      <c r="J224" s="7" t="s">
        <v>22</v>
      </c>
      <c r="K224" s="16"/>
      <c r="L224" s="16"/>
      <c r="M224" s="16"/>
      <c r="N224" s="16">
        <v>63.851887699999999</v>
      </c>
      <c r="O224" s="16"/>
      <c r="P224" s="175"/>
      <c r="R224" s="218" t="s">
        <v>37</v>
      </c>
      <c r="S224" s="22">
        <v>1</v>
      </c>
      <c r="T224" s="19" t="s">
        <v>45</v>
      </c>
      <c r="AA224" s="218" t="s">
        <v>33</v>
      </c>
      <c r="AB224" s="22">
        <v>1</v>
      </c>
      <c r="AC224" s="19" t="s">
        <v>39</v>
      </c>
    </row>
    <row r="225" spans="1:29" x14ac:dyDescent="0.2">
      <c r="A225">
        <v>686</v>
      </c>
      <c r="B225" s="8">
        <v>46214</v>
      </c>
      <c r="C225" s="9">
        <v>0.49442129629629628</v>
      </c>
      <c r="D225" s="7" t="s">
        <v>18</v>
      </c>
      <c r="E225" s="218" t="s">
        <v>33</v>
      </c>
      <c r="F225" s="16">
        <v>85.100874700000006</v>
      </c>
      <c r="G225" s="129">
        <v>1175.8367900000001</v>
      </c>
      <c r="H225" s="22">
        <v>1</v>
      </c>
      <c r="I225" s="19" t="s">
        <v>45</v>
      </c>
      <c r="J225" s="7" t="s">
        <v>22</v>
      </c>
      <c r="K225" s="16"/>
      <c r="L225" s="16"/>
      <c r="M225" s="16"/>
      <c r="N225" s="16">
        <v>62.615319800000002</v>
      </c>
      <c r="O225" s="16"/>
      <c r="P225" s="175"/>
      <c r="R225" s="218" t="s">
        <v>37</v>
      </c>
      <c r="S225" s="22">
        <v>0</v>
      </c>
      <c r="T225" s="19"/>
      <c r="AA225" s="218" t="s">
        <v>33</v>
      </c>
      <c r="AB225" s="22">
        <v>1</v>
      </c>
      <c r="AC225" s="19" t="s">
        <v>39</v>
      </c>
    </row>
    <row r="226" spans="1:29" x14ac:dyDescent="0.2">
      <c r="A226">
        <v>687</v>
      </c>
      <c r="B226" s="8">
        <v>46214</v>
      </c>
      <c r="C226" s="9">
        <v>0.49473379629629627</v>
      </c>
      <c r="D226" s="7" t="s">
        <v>18</v>
      </c>
      <c r="E226" s="218" t="s">
        <v>37</v>
      </c>
      <c r="F226" s="16">
        <v>75.017082000000002</v>
      </c>
      <c r="G226" s="129">
        <v>2203.7246100000002</v>
      </c>
      <c r="H226" s="22">
        <v>0</v>
      </c>
      <c r="I226" s="19"/>
      <c r="J226" s="7" t="s">
        <v>20</v>
      </c>
      <c r="K226" s="16"/>
      <c r="L226" s="16"/>
      <c r="M226" s="16"/>
      <c r="N226" s="16"/>
      <c r="O226" s="16"/>
      <c r="P226" s="175"/>
      <c r="R226" s="218" t="s">
        <v>37</v>
      </c>
      <c r="S226" s="22">
        <v>1</v>
      </c>
      <c r="T226" s="19"/>
      <c r="AA226" s="218" t="s">
        <v>33</v>
      </c>
      <c r="AB226" s="22">
        <v>1</v>
      </c>
      <c r="AC226" s="19" t="s">
        <v>39</v>
      </c>
    </row>
    <row r="227" spans="1:29" x14ac:dyDescent="0.2">
      <c r="A227">
        <v>688</v>
      </c>
      <c r="B227" s="8">
        <v>46214</v>
      </c>
      <c r="C227" s="9">
        <v>0.49495370370370373</v>
      </c>
      <c r="D227" s="7" t="s">
        <v>18</v>
      </c>
      <c r="E227" s="218" t="s">
        <v>37</v>
      </c>
      <c r="F227" s="16">
        <v>76.605074099999996</v>
      </c>
      <c r="G227" s="129">
        <v>2111.8986799999998</v>
      </c>
      <c r="H227" s="22">
        <v>0</v>
      </c>
      <c r="I227" s="19"/>
      <c r="J227" s="7" t="s">
        <v>20</v>
      </c>
      <c r="K227" s="16"/>
      <c r="L227" s="16"/>
      <c r="M227" s="16"/>
      <c r="N227" s="16"/>
      <c r="O227" s="16"/>
      <c r="P227" s="175"/>
      <c r="R227" s="218" t="s">
        <v>37</v>
      </c>
      <c r="S227" s="22">
        <v>1</v>
      </c>
      <c r="T227" s="19" t="s">
        <v>40</v>
      </c>
      <c r="AA227" s="218" t="s">
        <v>33</v>
      </c>
      <c r="AB227" s="22">
        <v>1</v>
      </c>
      <c r="AC227" s="19" t="s">
        <v>39</v>
      </c>
    </row>
    <row r="228" spans="1:29" x14ac:dyDescent="0.2">
      <c r="A228">
        <v>689</v>
      </c>
      <c r="B228" s="8">
        <v>46214</v>
      </c>
      <c r="C228" s="9">
        <v>0.49523148148148149</v>
      </c>
      <c r="D228" s="7" t="s">
        <v>18</v>
      </c>
      <c r="E228" s="218" t="s">
        <v>33</v>
      </c>
      <c r="F228" s="16">
        <v>82.893555300000003</v>
      </c>
      <c r="G228" s="129">
        <v>1125.8761</v>
      </c>
      <c r="H228" s="22">
        <v>0</v>
      </c>
      <c r="I228" s="19"/>
      <c r="J228" s="7" t="s">
        <v>20</v>
      </c>
      <c r="K228" s="16"/>
      <c r="L228" s="16"/>
      <c r="M228" s="16"/>
      <c r="N228" s="16"/>
      <c r="O228" s="16"/>
      <c r="P228" s="175"/>
      <c r="R228" s="218" t="s">
        <v>37</v>
      </c>
      <c r="S228" s="22">
        <v>0</v>
      </c>
      <c r="T228" s="19"/>
      <c r="AA228" s="218" t="s">
        <v>33</v>
      </c>
      <c r="AB228" s="22">
        <v>1</v>
      </c>
      <c r="AC228" s="19" t="s">
        <v>39</v>
      </c>
    </row>
    <row r="229" spans="1:29" x14ac:dyDescent="0.2">
      <c r="A229">
        <v>690</v>
      </c>
      <c r="B229" s="8">
        <v>46214</v>
      </c>
      <c r="C229" s="9">
        <v>0.49543981481481481</v>
      </c>
      <c r="D229" s="7" t="s">
        <v>18</v>
      </c>
      <c r="E229" s="218" t="s">
        <v>36</v>
      </c>
      <c r="F229" s="16">
        <v>77.938997700000002</v>
      </c>
      <c r="G229" s="129">
        <v>2224.0058600000002</v>
      </c>
      <c r="H229" s="22">
        <v>1</v>
      </c>
      <c r="I229" s="19" t="s">
        <v>254</v>
      </c>
      <c r="J229" s="7" t="s">
        <v>20</v>
      </c>
      <c r="K229" s="16">
        <v>96.685803899999996</v>
      </c>
      <c r="L229" s="16">
        <v>28.092359500000001</v>
      </c>
      <c r="M229" s="16">
        <v>-4.8413506000000002</v>
      </c>
      <c r="N229" s="16">
        <v>66.549852799999996</v>
      </c>
      <c r="O229" s="16">
        <v>340</v>
      </c>
      <c r="P229" s="175">
        <v>0.91055618000000005</v>
      </c>
      <c r="R229" s="218" t="s">
        <v>37</v>
      </c>
      <c r="S229" s="22">
        <v>0</v>
      </c>
      <c r="T229" s="19"/>
      <c r="AA229" s="218" t="s">
        <v>33</v>
      </c>
      <c r="AB229" s="22">
        <v>1</v>
      </c>
      <c r="AC229" s="19" t="s">
        <v>39</v>
      </c>
    </row>
    <row r="230" spans="1:29" x14ac:dyDescent="0.2">
      <c r="A230">
        <v>691</v>
      </c>
      <c r="B230" s="8">
        <v>46214</v>
      </c>
      <c r="C230" s="9">
        <v>0.49611111111111111</v>
      </c>
      <c r="D230" s="7" t="s">
        <v>18</v>
      </c>
      <c r="E230" s="218" t="s">
        <v>33</v>
      </c>
      <c r="F230" s="16">
        <v>83.147632299999998</v>
      </c>
      <c r="G230" s="129">
        <v>2168.4565400000001</v>
      </c>
      <c r="H230" s="22">
        <v>1</v>
      </c>
      <c r="I230" s="19" t="s">
        <v>39</v>
      </c>
      <c r="J230" s="7" t="s">
        <v>17</v>
      </c>
      <c r="K230" s="16"/>
      <c r="L230" s="16"/>
      <c r="M230" s="16"/>
      <c r="N230" s="16">
        <v>57.950085700000002</v>
      </c>
      <c r="O230" s="16"/>
      <c r="P230" s="175"/>
      <c r="R230" s="218" t="s">
        <v>37</v>
      </c>
      <c r="S230" s="22">
        <v>1</v>
      </c>
      <c r="T230" s="19" t="s">
        <v>38</v>
      </c>
      <c r="AA230" s="218" t="s">
        <v>33</v>
      </c>
      <c r="AB230" s="22">
        <v>1</v>
      </c>
      <c r="AC230" s="19" t="s">
        <v>39</v>
      </c>
    </row>
    <row r="231" spans="1:29" x14ac:dyDescent="0.2">
      <c r="A231">
        <v>692</v>
      </c>
      <c r="B231" s="8">
        <v>46214</v>
      </c>
      <c r="C231" s="9">
        <v>0.49629629629629629</v>
      </c>
      <c r="D231" s="7" t="s">
        <v>18</v>
      </c>
      <c r="E231" s="218" t="s">
        <v>37</v>
      </c>
      <c r="F231" s="16">
        <v>74.7629965</v>
      </c>
      <c r="G231" s="129">
        <v>2263.2710000000002</v>
      </c>
      <c r="H231" s="22">
        <v>1</v>
      </c>
      <c r="I231" s="19" t="s">
        <v>39</v>
      </c>
      <c r="J231" s="7" t="s">
        <v>17</v>
      </c>
      <c r="K231" s="16"/>
      <c r="L231" s="16"/>
      <c r="M231" s="16"/>
      <c r="N231" s="16">
        <v>61.547372699999997</v>
      </c>
      <c r="O231" s="16"/>
      <c r="P231" s="175"/>
      <c r="R231" s="218" t="s">
        <v>37</v>
      </c>
      <c r="S231" s="22">
        <v>0</v>
      </c>
      <c r="T231" s="19"/>
      <c r="AA231" s="218" t="s">
        <v>33</v>
      </c>
      <c r="AB231" s="22">
        <v>1</v>
      </c>
      <c r="AC231" s="19" t="s">
        <v>39</v>
      </c>
    </row>
    <row r="232" spans="1:29" x14ac:dyDescent="0.2">
      <c r="A232">
        <v>693</v>
      </c>
      <c r="B232" s="8">
        <v>46214</v>
      </c>
      <c r="C232" s="9">
        <v>0.49660879629629628</v>
      </c>
      <c r="D232" s="7" t="s">
        <v>18</v>
      </c>
      <c r="E232" s="218" t="s">
        <v>37</v>
      </c>
      <c r="F232" s="16">
        <v>74.318355299999993</v>
      </c>
      <c r="G232" s="129">
        <v>2226.5109900000002</v>
      </c>
      <c r="H232" s="22">
        <v>0</v>
      </c>
      <c r="I232" s="19"/>
      <c r="J232" s="7" t="s">
        <v>17</v>
      </c>
      <c r="K232" s="16"/>
      <c r="L232" s="16"/>
      <c r="M232" s="16"/>
      <c r="N232" s="16"/>
      <c r="O232" s="16"/>
      <c r="P232" s="175"/>
      <c r="R232" s="218" t="s">
        <v>37</v>
      </c>
      <c r="S232" s="22">
        <v>0</v>
      </c>
      <c r="T232" s="19"/>
      <c r="AA232" s="12" t="s">
        <v>33</v>
      </c>
      <c r="AB232" s="20">
        <v>1</v>
      </c>
      <c r="AC232" s="17" t="s">
        <v>39</v>
      </c>
    </row>
    <row r="233" spans="1:29" x14ac:dyDescent="0.2">
      <c r="A233">
        <v>694</v>
      </c>
      <c r="B233" s="8">
        <v>46214</v>
      </c>
      <c r="C233" s="9">
        <v>0.49694444444444447</v>
      </c>
      <c r="D233" s="7" t="s">
        <v>18</v>
      </c>
      <c r="E233" s="218" t="s">
        <v>33</v>
      </c>
      <c r="F233" s="16">
        <v>84.148077099999995</v>
      </c>
      <c r="G233" s="129">
        <v>2210.0041500000002</v>
      </c>
      <c r="H233" s="22">
        <v>1</v>
      </c>
      <c r="I233" s="19" t="s">
        <v>255</v>
      </c>
      <c r="J233" s="7" t="s">
        <v>17</v>
      </c>
      <c r="K233" s="16">
        <v>78.600050400000001</v>
      </c>
      <c r="L233" s="16">
        <v>41.745902999999998</v>
      </c>
      <c r="M233" s="16">
        <v>4.7559628500000004</v>
      </c>
      <c r="N233" s="16">
        <v>59.580103800000003</v>
      </c>
      <c r="O233" s="16">
        <v>283</v>
      </c>
      <c r="P233" s="175">
        <v>0.78960242999999997</v>
      </c>
      <c r="R233" s="218" t="s">
        <v>37</v>
      </c>
      <c r="S233" s="22">
        <v>1</v>
      </c>
      <c r="T233" s="19"/>
      <c r="AA233" s="12" t="s">
        <v>33</v>
      </c>
      <c r="AB233" s="20">
        <v>1</v>
      </c>
      <c r="AC233" s="17" t="s">
        <v>39</v>
      </c>
    </row>
    <row r="234" spans="1:29" x14ac:dyDescent="0.2">
      <c r="A234">
        <v>695</v>
      </c>
      <c r="B234" s="8">
        <v>46214</v>
      </c>
      <c r="C234" s="9">
        <v>0.49736111111111109</v>
      </c>
      <c r="D234" s="7" t="s">
        <v>18</v>
      </c>
      <c r="E234" s="218" t="s">
        <v>37</v>
      </c>
      <c r="F234" s="16">
        <v>74.111919200000003</v>
      </c>
      <c r="G234" s="129">
        <v>2323.9794900000002</v>
      </c>
      <c r="H234" s="22">
        <v>0</v>
      </c>
      <c r="I234" s="19"/>
      <c r="J234" s="7" t="s">
        <v>27</v>
      </c>
      <c r="K234" s="16"/>
      <c r="L234" s="16"/>
      <c r="M234" s="16"/>
      <c r="N234" s="16"/>
      <c r="O234" s="16"/>
      <c r="P234" s="175"/>
      <c r="R234" s="218" t="s">
        <v>37</v>
      </c>
      <c r="S234" s="22">
        <v>1</v>
      </c>
      <c r="T234" s="19" t="s">
        <v>40</v>
      </c>
      <c r="AA234" s="12" t="s">
        <v>33</v>
      </c>
      <c r="AB234" s="20">
        <v>1</v>
      </c>
      <c r="AC234" s="17" t="s">
        <v>39</v>
      </c>
    </row>
    <row r="235" spans="1:29" x14ac:dyDescent="0.2">
      <c r="A235">
        <v>696</v>
      </c>
      <c r="B235" s="8">
        <v>46214</v>
      </c>
      <c r="C235" s="9">
        <v>0.49758101851851849</v>
      </c>
      <c r="D235" s="7" t="s">
        <v>18</v>
      </c>
      <c r="E235" s="218" t="s">
        <v>37</v>
      </c>
      <c r="F235" s="16">
        <v>73.032081099999999</v>
      </c>
      <c r="G235" s="129">
        <v>2209.1945799999999</v>
      </c>
      <c r="H235" s="22">
        <v>1</v>
      </c>
      <c r="I235" s="19" t="s">
        <v>39</v>
      </c>
      <c r="J235" s="7" t="s">
        <v>27</v>
      </c>
      <c r="K235" s="16"/>
      <c r="L235" s="16"/>
      <c r="M235" s="16"/>
      <c r="N235" s="16">
        <v>66.325023599999994</v>
      </c>
      <c r="O235" s="16"/>
      <c r="P235" s="175"/>
      <c r="R235" s="218" t="s">
        <v>37</v>
      </c>
      <c r="S235" s="22">
        <v>0</v>
      </c>
      <c r="T235" s="19"/>
      <c r="AA235" s="12" t="s">
        <v>33</v>
      </c>
      <c r="AB235" s="20">
        <v>0</v>
      </c>
      <c r="AC235" s="17"/>
    </row>
    <row r="236" spans="1:29" x14ac:dyDescent="0.2">
      <c r="A236">
        <v>697</v>
      </c>
      <c r="B236" s="8">
        <v>46214</v>
      </c>
      <c r="C236" s="9">
        <v>0.49784722222222222</v>
      </c>
      <c r="D236" s="7" t="s">
        <v>18</v>
      </c>
      <c r="E236" s="218" t="s">
        <v>33</v>
      </c>
      <c r="F236" s="16">
        <v>82.830033900000004</v>
      </c>
      <c r="G236" s="129">
        <v>1152.94714</v>
      </c>
      <c r="H236" s="22">
        <v>1</v>
      </c>
      <c r="I236" s="19" t="s">
        <v>39</v>
      </c>
      <c r="J236" s="7" t="s">
        <v>27</v>
      </c>
      <c r="K236" s="16"/>
      <c r="L236" s="16"/>
      <c r="M236" s="16"/>
      <c r="N236" s="16">
        <v>69.809898099999998</v>
      </c>
      <c r="O236" s="16"/>
      <c r="P236" s="175"/>
      <c r="R236" s="218" t="s">
        <v>37</v>
      </c>
      <c r="S236" s="22">
        <v>1</v>
      </c>
      <c r="T236" s="19" t="s">
        <v>38</v>
      </c>
      <c r="AA236" s="12" t="s">
        <v>33</v>
      </c>
      <c r="AB236" s="20">
        <v>0</v>
      </c>
      <c r="AC236" s="17"/>
    </row>
    <row r="237" spans="1:29" x14ac:dyDescent="0.2">
      <c r="A237">
        <v>698</v>
      </c>
      <c r="B237" s="8">
        <v>46214</v>
      </c>
      <c r="C237" s="9">
        <v>0.49820601851851853</v>
      </c>
      <c r="D237" s="7" t="s">
        <v>18</v>
      </c>
      <c r="E237" s="218" t="s">
        <v>36</v>
      </c>
      <c r="F237" s="16">
        <v>79.272912899999994</v>
      </c>
      <c r="G237" s="129">
        <v>2194.3049299999998</v>
      </c>
      <c r="H237" s="22">
        <v>0</v>
      </c>
      <c r="I237" s="19"/>
      <c r="J237" s="7" t="s">
        <v>27</v>
      </c>
      <c r="K237" s="16"/>
      <c r="L237" s="16"/>
      <c r="M237" s="16"/>
      <c r="N237" s="16"/>
      <c r="O237" s="16"/>
      <c r="P237" s="175"/>
      <c r="R237" s="218" t="s">
        <v>37</v>
      </c>
      <c r="S237" s="22">
        <v>0</v>
      </c>
      <c r="T237" s="19"/>
      <c r="AA237" s="12" t="s">
        <v>33</v>
      </c>
      <c r="AB237" s="20">
        <v>0</v>
      </c>
      <c r="AC237" s="17"/>
    </row>
    <row r="238" spans="1:29" x14ac:dyDescent="0.2">
      <c r="A238">
        <v>699</v>
      </c>
      <c r="B238" s="8">
        <v>46214</v>
      </c>
      <c r="C238" s="9">
        <v>0.49856481481481479</v>
      </c>
      <c r="D238" s="7" t="s">
        <v>18</v>
      </c>
      <c r="E238" s="218" t="s">
        <v>37</v>
      </c>
      <c r="F238" s="16">
        <v>74.191321099999996</v>
      </c>
      <c r="G238" s="129">
        <v>2208.17139</v>
      </c>
      <c r="H238" s="22">
        <v>0</v>
      </c>
      <c r="I238" s="19"/>
      <c r="J238" s="7" t="s">
        <v>27</v>
      </c>
      <c r="K238" s="16"/>
      <c r="L238" s="16"/>
      <c r="M238" s="16"/>
      <c r="N238" s="16"/>
      <c r="O238" s="16"/>
      <c r="P238" s="175"/>
      <c r="R238" s="218" t="s">
        <v>37</v>
      </c>
      <c r="S238" s="22">
        <v>0</v>
      </c>
      <c r="T238" s="19"/>
      <c r="AA238" s="12" t="s">
        <v>33</v>
      </c>
      <c r="AB238" s="20">
        <v>0</v>
      </c>
      <c r="AC238" s="17"/>
    </row>
    <row r="239" spans="1:29" x14ac:dyDescent="0.2">
      <c r="A239">
        <v>700</v>
      </c>
      <c r="B239" s="8">
        <v>46214</v>
      </c>
      <c r="C239" s="9">
        <v>0.49880787037037039</v>
      </c>
      <c r="D239" s="7" t="s">
        <v>18</v>
      </c>
      <c r="E239" s="218" t="s">
        <v>33</v>
      </c>
      <c r="F239" s="16">
        <v>84.735633000000007</v>
      </c>
      <c r="G239" s="129">
        <v>2354.5661599999999</v>
      </c>
      <c r="H239" s="22">
        <v>1</v>
      </c>
      <c r="I239" s="19" t="s">
        <v>38</v>
      </c>
      <c r="J239" s="7" t="s">
        <v>27</v>
      </c>
      <c r="K239" s="16"/>
      <c r="L239" s="16"/>
      <c r="M239" s="16"/>
      <c r="N239" s="16">
        <v>67.786420800000002</v>
      </c>
      <c r="O239" s="16"/>
      <c r="P239" s="175"/>
      <c r="R239" s="218" t="s">
        <v>37</v>
      </c>
      <c r="S239" s="22">
        <v>0</v>
      </c>
      <c r="T239" s="19"/>
      <c r="AA239" s="12" t="s">
        <v>33</v>
      </c>
      <c r="AB239" s="20">
        <v>0</v>
      </c>
      <c r="AC239" s="17"/>
    </row>
    <row r="240" spans="1:29" x14ac:dyDescent="0.2">
      <c r="A240">
        <v>701</v>
      </c>
      <c r="B240" s="8">
        <v>46214</v>
      </c>
      <c r="C240" s="9">
        <v>0.49930555555555556</v>
      </c>
      <c r="D240" s="7" t="s">
        <v>18</v>
      </c>
      <c r="E240" s="218" t="s">
        <v>37</v>
      </c>
      <c r="F240" s="16">
        <v>73.8102011</v>
      </c>
      <c r="G240" s="129">
        <v>1088.0056199999999</v>
      </c>
      <c r="H240" s="22">
        <v>1</v>
      </c>
      <c r="I240" s="19" t="s">
        <v>255</v>
      </c>
      <c r="J240" s="7" t="s">
        <v>27</v>
      </c>
      <c r="K240" s="16">
        <v>77.293475700000002</v>
      </c>
      <c r="L240" s="16">
        <v>30.348320000000001</v>
      </c>
      <c r="M240" s="16">
        <v>36.040187799999998</v>
      </c>
      <c r="N240" s="16">
        <v>65.819152099999997</v>
      </c>
      <c r="O240" s="16">
        <v>257</v>
      </c>
      <c r="P240" s="175">
        <v>0.74660576000000001</v>
      </c>
      <c r="R240" s="218" t="s">
        <v>37</v>
      </c>
      <c r="S240" s="22">
        <v>1</v>
      </c>
      <c r="T240" s="19" t="s">
        <v>39</v>
      </c>
      <c r="AA240" s="12" t="s">
        <v>33</v>
      </c>
      <c r="AB240" s="20">
        <v>0</v>
      </c>
      <c r="AC240" s="17"/>
    </row>
    <row r="241" spans="1:29" x14ac:dyDescent="0.2">
      <c r="A241">
        <v>702</v>
      </c>
      <c r="B241" s="8">
        <v>46214</v>
      </c>
      <c r="C241" s="9">
        <v>0.50083333333333335</v>
      </c>
      <c r="D241" s="7" t="s">
        <v>18</v>
      </c>
      <c r="E241" s="218" t="s">
        <v>33</v>
      </c>
      <c r="F241" s="16">
        <v>81.797836899999993</v>
      </c>
      <c r="G241" s="129">
        <v>2193.4697299999998</v>
      </c>
      <c r="H241" s="22">
        <v>0</v>
      </c>
      <c r="I241" s="19"/>
      <c r="J241" s="7" t="s">
        <v>52</v>
      </c>
      <c r="K241" s="16"/>
      <c r="L241" s="16"/>
      <c r="M241" s="16"/>
      <c r="N241" s="16"/>
      <c r="O241" s="16"/>
      <c r="P241" s="175"/>
      <c r="R241" s="218" t="s">
        <v>37</v>
      </c>
      <c r="S241" s="22">
        <v>0</v>
      </c>
      <c r="T241" s="19"/>
      <c r="AA241" s="12" t="s">
        <v>33</v>
      </c>
      <c r="AB241" s="20">
        <v>0</v>
      </c>
      <c r="AC241" s="17"/>
    </row>
    <row r="242" spans="1:29" x14ac:dyDescent="0.2">
      <c r="A242">
        <v>703</v>
      </c>
      <c r="B242" s="8">
        <v>46214</v>
      </c>
      <c r="C242" s="9">
        <v>0.50103009259259257</v>
      </c>
      <c r="D242" s="7" t="s">
        <v>18</v>
      </c>
      <c r="E242" s="218" t="s">
        <v>33</v>
      </c>
      <c r="F242" s="16">
        <v>82.639478299999993</v>
      </c>
      <c r="G242" s="129">
        <v>2205.1779799999999</v>
      </c>
      <c r="H242" s="22">
        <v>1</v>
      </c>
      <c r="I242" s="19" t="s">
        <v>39</v>
      </c>
      <c r="J242" s="7" t="s">
        <v>52</v>
      </c>
      <c r="K242" s="16"/>
      <c r="L242" s="16"/>
      <c r="M242" s="16"/>
      <c r="N242" s="16">
        <v>56.657309400000003</v>
      </c>
      <c r="O242" s="16"/>
      <c r="P242" s="175"/>
      <c r="R242" s="218" t="s">
        <v>37</v>
      </c>
      <c r="S242" s="22">
        <v>0</v>
      </c>
      <c r="T242" s="19"/>
      <c r="AA242" s="12" t="s">
        <v>33</v>
      </c>
      <c r="AB242" s="20">
        <v>1</v>
      </c>
      <c r="AC242" s="17"/>
    </row>
    <row r="243" spans="1:29" x14ac:dyDescent="0.2">
      <c r="A243">
        <v>704</v>
      </c>
      <c r="B243" s="8">
        <v>46214</v>
      </c>
      <c r="C243" s="9">
        <v>0.50124999999999997</v>
      </c>
      <c r="D243" s="7" t="s">
        <v>18</v>
      </c>
      <c r="E243" s="218" t="s">
        <v>37</v>
      </c>
      <c r="F243" s="16">
        <v>73.794320900000002</v>
      </c>
      <c r="G243" s="129">
        <v>2236.9316399999998</v>
      </c>
      <c r="H243" s="22">
        <v>0</v>
      </c>
      <c r="I243" s="19"/>
      <c r="J243" s="7" t="s">
        <v>52</v>
      </c>
      <c r="K243" s="16"/>
      <c r="L243" s="16"/>
      <c r="M243" s="16"/>
      <c r="N243" s="16"/>
      <c r="O243" s="16"/>
      <c r="P243" s="175"/>
      <c r="R243" s="218" t="s">
        <v>37</v>
      </c>
      <c r="S243" s="22">
        <v>1</v>
      </c>
      <c r="T243" s="19" t="s">
        <v>39</v>
      </c>
      <c r="AA243" s="12" t="s">
        <v>33</v>
      </c>
      <c r="AB243" s="20">
        <v>0</v>
      </c>
      <c r="AC243" s="17"/>
    </row>
    <row r="244" spans="1:29" x14ac:dyDescent="0.2">
      <c r="A244">
        <v>705</v>
      </c>
      <c r="B244" s="8">
        <v>46214</v>
      </c>
      <c r="C244" s="9">
        <v>0.50143518518518515</v>
      </c>
      <c r="D244" s="7" t="s">
        <v>18</v>
      </c>
      <c r="E244" s="218" t="s">
        <v>37</v>
      </c>
      <c r="F244" s="16">
        <v>74.064279900000002</v>
      </c>
      <c r="G244" s="129">
        <v>730.99707000000001</v>
      </c>
      <c r="H244" s="22">
        <v>0</v>
      </c>
      <c r="I244" s="19"/>
      <c r="J244" s="7" t="s">
        <v>52</v>
      </c>
      <c r="K244" s="16"/>
      <c r="L244" s="16"/>
      <c r="M244" s="16"/>
      <c r="N244" s="16"/>
      <c r="O244" s="16"/>
      <c r="P244" s="175"/>
      <c r="R244" s="218" t="s">
        <v>37</v>
      </c>
      <c r="S244" s="22">
        <v>0</v>
      </c>
      <c r="T244" s="19"/>
      <c r="AA244" s="12" t="s">
        <v>33</v>
      </c>
      <c r="AB244" s="20">
        <v>1</v>
      </c>
      <c r="AC244" s="17"/>
    </row>
    <row r="245" spans="1:29" x14ac:dyDescent="0.2">
      <c r="A245">
        <v>706</v>
      </c>
      <c r="B245" s="8">
        <v>46214</v>
      </c>
      <c r="C245" s="9">
        <v>0.50163194444444448</v>
      </c>
      <c r="D245" s="7" t="s">
        <v>18</v>
      </c>
      <c r="E245" s="218" t="s">
        <v>33</v>
      </c>
      <c r="F245" s="16">
        <v>81.559631699999997</v>
      </c>
      <c r="G245" s="129">
        <v>1025.56628</v>
      </c>
      <c r="H245" s="22">
        <v>1</v>
      </c>
      <c r="I245" s="19"/>
      <c r="J245" s="7" t="s">
        <v>52</v>
      </c>
      <c r="K245" s="16"/>
      <c r="L245" s="16"/>
      <c r="M245" s="16"/>
      <c r="N245" s="16"/>
      <c r="O245" s="16"/>
      <c r="P245" s="175"/>
      <c r="R245" s="218" t="s">
        <v>37</v>
      </c>
      <c r="S245" s="22">
        <v>1</v>
      </c>
      <c r="T245" s="19" t="s">
        <v>40</v>
      </c>
      <c r="AA245" s="12" t="s">
        <v>33</v>
      </c>
      <c r="AB245" s="20">
        <v>0</v>
      </c>
      <c r="AC245" s="17"/>
    </row>
    <row r="246" spans="1:29" x14ac:dyDescent="0.2">
      <c r="A246">
        <v>707</v>
      </c>
      <c r="B246" s="8">
        <v>46214</v>
      </c>
      <c r="C246" s="9">
        <v>0.50197916666666664</v>
      </c>
      <c r="D246" s="7" t="s">
        <v>18</v>
      </c>
      <c r="E246" s="218" t="s">
        <v>33</v>
      </c>
      <c r="F246" s="16">
        <v>82.575956899999994</v>
      </c>
      <c r="G246" s="129">
        <v>2152.7426799999998</v>
      </c>
      <c r="H246" s="22">
        <v>0</v>
      </c>
      <c r="I246" s="19" t="s">
        <v>48</v>
      </c>
      <c r="J246" s="7" t="s">
        <v>52</v>
      </c>
      <c r="K246" s="16"/>
      <c r="L246" s="16"/>
      <c r="M246" s="16"/>
      <c r="N246" s="16"/>
      <c r="O246" s="16"/>
      <c r="P246" s="175"/>
      <c r="R246" s="218" t="s">
        <v>37</v>
      </c>
      <c r="S246" s="22">
        <v>0</v>
      </c>
      <c r="T246" s="19"/>
      <c r="AA246" s="218" t="s">
        <v>33</v>
      </c>
      <c r="AB246" s="22">
        <v>0</v>
      </c>
      <c r="AC246" s="19"/>
    </row>
    <row r="247" spans="1:29" s="155" customFormat="1" x14ac:dyDescent="0.2">
      <c r="A247" s="155">
        <v>708</v>
      </c>
      <c r="B247" s="163">
        <v>46214</v>
      </c>
      <c r="C247" s="164">
        <v>0.50214120370370374</v>
      </c>
      <c r="D247" s="165" t="s">
        <v>18</v>
      </c>
      <c r="E247" s="219" t="s">
        <v>33</v>
      </c>
      <c r="F247" s="167">
        <v>80.019272200000003</v>
      </c>
      <c r="G247" s="168">
        <v>2036.4301800000001</v>
      </c>
      <c r="H247" s="169">
        <v>1</v>
      </c>
      <c r="I247" s="170" t="s">
        <v>38</v>
      </c>
      <c r="J247" s="165" t="s">
        <v>52</v>
      </c>
      <c r="K247" s="167"/>
      <c r="L247" s="167"/>
      <c r="M247" s="167"/>
      <c r="N247" s="167">
        <v>58.793199000000001</v>
      </c>
      <c r="O247" s="167"/>
      <c r="P247" s="176"/>
      <c r="R247" s="219" t="s">
        <v>37</v>
      </c>
      <c r="S247" s="169">
        <v>0</v>
      </c>
      <c r="T247" s="170"/>
      <c r="AA247" s="219" t="s">
        <v>33</v>
      </c>
      <c r="AB247" s="169">
        <v>0</v>
      </c>
      <c r="AC247" s="170"/>
    </row>
    <row r="248" spans="1:29" x14ac:dyDescent="0.2">
      <c r="A248">
        <v>886</v>
      </c>
      <c r="B248" s="8">
        <v>46221</v>
      </c>
      <c r="C248" s="9">
        <v>0.42637731481481483</v>
      </c>
      <c r="D248" s="7" t="s">
        <v>18</v>
      </c>
      <c r="E248" s="218" t="s">
        <v>36</v>
      </c>
      <c r="F248" s="16">
        <v>76.716236600000002</v>
      </c>
      <c r="G248" s="129">
        <v>2217.14014</v>
      </c>
      <c r="H248" s="22">
        <v>0</v>
      </c>
      <c r="I248" s="19"/>
      <c r="J248" s="7" t="s">
        <v>17</v>
      </c>
      <c r="K248" s="16"/>
      <c r="L248" s="16"/>
      <c r="M248" s="16"/>
      <c r="N248" s="16"/>
      <c r="O248" s="16"/>
      <c r="P248" s="175"/>
      <c r="R248" s="218" t="s">
        <v>35</v>
      </c>
      <c r="S248" s="22">
        <v>1</v>
      </c>
      <c r="T248" s="19" t="s">
        <v>40</v>
      </c>
      <c r="AA248" s="218" t="s">
        <v>33</v>
      </c>
      <c r="AB248" s="22">
        <v>0</v>
      </c>
      <c r="AC248" s="19"/>
    </row>
    <row r="249" spans="1:29" x14ac:dyDescent="0.2">
      <c r="A249">
        <v>887</v>
      </c>
      <c r="B249" s="8">
        <v>46221</v>
      </c>
      <c r="C249" s="9">
        <v>0.42656250000000001</v>
      </c>
      <c r="D249" s="7" t="s">
        <v>18</v>
      </c>
      <c r="E249" s="218" t="s">
        <v>37</v>
      </c>
      <c r="F249" s="16">
        <v>71.714037899999994</v>
      </c>
      <c r="G249" s="129">
        <v>2176.4567900000002</v>
      </c>
      <c r="H249" s="22">
        <v>0</v>
      </c>
      <c r="I249" s="19"/>
      <c r="J249" s="7" t="s">
        <v>17</v>
      </c>
      <c r="K249" s="16"/>
      <c r="L249" s="16"/>
      <c r="M249" s="16"/>
      <c r="N249" s="16"/>
      <c r="O249" s="16"/>
      <c r="P249" s="175"/>
      <c r="R249" s="218" t="s">
        <v>35</v>
      </c>
      <c r="S249" s="22">
        <v>0</v>
      </c>
      <c r="T249" s="19" t="s">
        <v>48</v>
      </c>
      <c r="AA249" s="218" t="s">
        <v>33</v>
      </c>
      <c r="AB249" s="22">
        <v>0</v>
      </c>
      <c r="AC249" s="19"/>
    </row>
    <row r="250" spans="1:29" x14ac:dyDescent="0.2">
      <c r="A250">
        <v>888</v>
      </c>
      <c r="B250" s="8">
        <v>46221</v>
      </c>
      <c r="C250" s="9">
        <v>0.42674768518518519</v>
      </c>
      <c r="D250" s="7" t="s">
        <v>18</v>
      </c>
      <c r="E250" s="218" t="s">
        <v>33</v>
      </c>
      <c r="F250" s="16">
        <v>82.639478299999993</v>
      </c>
      <c r="G250" s="129">
        <v>2277.4321300000001</v>
      </c>
      <c r="H250" s="22">
        <v>1</v>
      </c>
      <c r="I250" s="19" t="s">
        <v>38</v>
      </c>
      <c r="J250" s="7" t="s">
        <v>17</v>
      </c>
      <c r="K250" s="16"/>
      <c r="L250" s="16"/>
      <c r="M250" s="16"/>
      <c r="N250" s="16">
        <v>64.388602500000005</v>
      </c>
      <c r="O250" s="16"/>
      <c r="P250" s="175"/>
      <c r="R250" s="218" t="s">
        <v>35</v>
      </c>
      <c r="S250" s="22">
        <v>1</v>
      </c>
      <c r="T250" s="19" t="s">
        <v>40</v>
      </c>
      <c r="AA250" s="218" t="s">
        <v>33</v>
      </c>
      <c r="AB250" s="22">
        <v>0</v>
      </c>
      <c r="AC250" s="19"/>
    </row>
    <row r="251" spans="1:29" x14ac:dyDescent="0.2">
      <c r="A251">
        <v>889</v>
      </c>
      <c r="B251" s="8">
        <v>46221</v>
      </c>
      <c r="C251" s="9">
        <v>0.42706018518518518</v>
      </c>
      <c r="D251" s="7" t="s">
        <v>18</v>
      </c>
      <c r="E251" s="218" t="s">
        <v>33</v>
      </c>
      <c r="F251" s="16">
        <v>83.465227100000007</v>
      </c>
      <c r="G251" s="129">
        <v>2245.4516600000002</v>
      </c>
      <c r="H251" s="22">
        <v>0</v>
      </c>
      <c r="I251" s="19"/>
      <c r="J251" s="7" t="s">
        <v>17</v>
      </c>
      <c r="K251" s="16"/>
      <c r="L251" s="16"/>
      <c r="M251" s="16"/>
      <c r="N251" s="16"/>
      <c r="O251" s="16"/>
      <c r="P251" s="175"/>
      <c r="R251" s="218" t="s">
        <v>36</v>
      </c>
      <c r="S251" s="22">
        <v>0</v>
      </c>
      <c r="T251" s="19"/>
      <c r="AA251" s="218" t="s">
        <v>33</v>
      </c>
      <c r="AB251" s="22">
        <v>0</v>
      </c>
      <c r="AC251" s="19"/>
    </row>
    <row r="252" spans="1:29" x14ac:dyDescent="0.2">
      <c r="A252">
        <v>890</v>
      </c>
      <c r="B252" s="8">
        <v>46221</v>
      </c>
      <c r="C252" s="9">
        <v>0.42725694444444445</v>
      </c>
      <c r="D252" s="7" t="s">
        <v>18</v>
      </c>
      <c r="E252" s="218" t="s">
        <v>33</v>
      </c>
      <c r="F252" s="16">
        <v>84.100436200000004</v>
      </c>
      <c r="G252" s="129">
        <v>1143.7387699999999</v>
      </c>
      <c r="H252" s="22">
        <v>1</v>
      </c>
      <c r="I252" s="19" t="s">
        <v>254</v>
      </c>
      <c r="J252" s="7" t="s">
        <v>17</v>
      </c>
      <c r="K252" s="16">
        <v>92.928177300000002</v>
      </c>
      <c r="L252" s="16">
        <v>10.6344519</v>
      </c>
      <c r="M252" s="16">
        <v>-6.0390968000000003</v>
      </c>
      <c r="N252" s="16">
        <v>63.8842541</v>
      </c>
      <c r="O252" s="16">
        <v>192</v>
      </c>
      <c r="P252" s="175">
        <v>0.89450828999999998</v>
      </c>
      <c r="R252" s="218" t="s">
        <v>36</v>
      </c>
      <c r="S252" s="22">
        <v>1</v>
      </c>
      <c r="T252" s="19" t="s">
        <v>39</v>
      </c>
      <c r="AA252" s="218" t="s">
        <v>33</v>
      </c>
      <c r="AB252" s="22">
        <v>1</v>
      </c>
      <c r="AC252" s="19"/>
    </row>
    <row r="253" spans="1:29" x14ac:dyDescent="0.2">
      <c r="A253">
        <v>891</v>
      </c>
      <c r="B253" s="8">
        <v>46221</v>
      </c>
      <c r="C253" s="9">
        <v>0.4276388888888889</v>
      </c>
      <c r="D253" s="7" t="s">
        <v>18</v>
      </c>
      <c r="E253" s="218" t="s">
        <v>37</v>
      </c>
      <c r="F253" s="16">
        <v>70.761242600000003</v>
      </c>
      <c r="G253" s="129">
        <v>1994.6124299999999</v>
      </c>
      <c r="H253" s="22">
        <v>0</v>
      </c>
      <c r="I253" s="19"/>
      <c r="J253" s="7" t="s">
        <v>20</v>
      </c>
      <c r="K253" s="16"/>
      <c r="L253" s="16"/>
      <c r="M253" s="16"/>
      <c r="N253" s="16"/>
      <c r="O253" s="16"/>
      <c r="P253" s="175"/>
      <c r="R253" s="218" t="s">
        <v>36</v>
      </c>
      <c r="S253" s="22">
        <v>0</v>
      </c>
      <c r="T253" s="19"/>
      <c r="AA253" s="218" t="s">
        <v>33</v>
      </c>
      <c r="AB253" s="22">
        <v>0</v>
      </c>
      <c r="AC253" s="19"/>
    </row>
    <row r="254" spans="1:29" x14ac:dyDescent="0.2">
      <c r="A254">
        <v>892</v>
      </c>
      <c r="B254" s="8">
        <v>46221</v>
      </c>
      <c r="C254" s="9">
        <v>0.42782407407407408</v>
      </c>
      <c r="D254" s="7" t="s">
        <v>18</v>
      </c>
      <c r="E254" s="218" t="s">
        <v>36</v>
      </c>
      <c r="F254" s="16">
        <v>77.605518900000007</v>
      </c>
      <c r="G254" s="129">
        <v>2068.56567</v>
      </c>
      <c r="H254" s="22">
        <v>1</v>
      </c>
      <c r="I254" s="19" t="s">
        <v>39</v>
      </c>
      <c r="J254" s="7" t="s">
        <v>20</v>
      </c>
      <c r="K254" s="16"/>
      <c r="L254" s="16"/>
      <c r="M254" s="16"/>
      <c r="N254" s="16">
        <v>67.638855699999993</v>
      </c>
      <c r="O254" s="16"/>
      <c r="P254" s="175"/>
      <c r="R254" s="218" t="s">
        <v>36</v>
      </c>
      <c r="S254" s="22">
        <v>1</v>
      </c>
      <c r="T254" s="19" t="s">
        <v>39</v>
      </c>
      <c r="AA254" s="218" t="s">
        <v>33</v>
      </c>
      <c r="AB254" s="22">
        <v>0</v>
      </c>
      <c r="AC254" s="19"/>
    </row>
    <row r="255" spans="1:29" x14ac:dyDescent="0.2">
      <c r="A255">
        <v>893</v>
      </c>
      <c r="B255" s="8">
        <v>46221</v>
      </c>
      <c r="C255" s="9">
        <v>0.42804398148148148</v>
      </c>
      <c r="D255" s="7" t="s">
        <v>18</v>
      </c>
      <c r="E255" s="218" t="s">
        <v>37</v>
      </c>
      <c r="F255" s="16">
        <v>73.476722499999994</v>
      </c>
      <c r="G255" s="129">
        <v>2138.5095200000001</v>
      </c>
      <c r="H255" s="22">
        <v>0</v>
      </c>
      <c r="I255" s="19"/>
      <c r="J255" s="7" t="s">
        <v>20</v>
      </c>
      <c r="K255" s="16"/>
      <c r="L255" s="16"/>
      <c r="M255" s="16"/>
      <c r="N255" s="16"/>
      <c r="O255" s="16"/>
      <c r="P255" s="175"/>
      <c r="R255" s="218" t="s">
        <v>36</v>
      </c>
      <c r="S255" s="22">
        <v>0</v>
      </c>
      <c r="T255" s="19"/>
      <c r="AA255" s="218" t="s">
        <v>33</v>
      </c>
      <c r="AB255" s="22">
        <v>0</v>
      </c>
      <c r="AC255" s="19"/>
    </row>
    <row r="256" spans="1:29" x14ac:dyDescent="0.2">
      <c r="A256">
        <v>894</v>
      </c>
      <c r="B256" s="8">
        <v>46221</v>
      </c>
      <c r="C256" s="9">
        <v>0.42827546296296298</v>
      </c>
      <c r="D256" s="7" t="s">
        <v>18</v>
      </c>
      <c r="E256" s="218" t="s">
        <v>36</v>
      </c>
      <c r="F256" s="16">
        <v>76.795638199999999</v>
      </c>
      <c r="G256" s="129">
        <v>2206.6259799999998</v>
      </c>
      <c r="H256" s="22">
        <v>0</v>
      </c>
      <c r="I256" s="19"/>
      <c r="J256" s="7" t="s">
        <v>20</v>
      </c>
      <c r="K256" s="16"/>
      <c r="L256" s="16"/>
      <c r="M256" s="16"/>
      <c r="N256" s="16"/>
      <c r="O256" s="16"/>
      <c r="P256" s="175"/>
      <c r="R256" s="218" t="s">
        <v>36</v>
      </c>
      <c r="S256" s="22">
        <v>1</v>
      </c>
      <c r="T256" s="19" t="s">
        <v>40</v>
      </c>
      <c r="AA256" s="218" t="s">
        <v>33</v>
      </c>
      <c r="AB256" s="22">
        <v>0</v>
      </c>
      <c r="AC256" s="19"/>
    </row>
    <row r="257" spans="1:29" x14ac:dyDescent="0.2">
      <c r="A257">
        <v>895</v>
      </c>
      <c r="B257" s="8">
        <v>46221</v>
      </c>
      <c r="C257" s="9">
        <v>0.4284722222222222</v>
      </c>
      <c r="D257" s="7" t="s">
        <v>18</v>
      </c>
      <c r="E257" s="218" t="s">
        <v>36</v>
      </c>
      <c r="F257" s="16">
        <v>78.367758600000002</v>
      </c>
      <c r="G257" s="129">
        <v>2052.4160200000001</v>
      </c>
      <c r="H257" s="22">
        <v>1</v>
      </c>
      <c r="I257" s="19" t="s">
        <v>39</v>
      </c>
      <c r="J257" s="7" t="s">
        <v>20</v>
      </c>
      <c r="K257" s="16"/>
      <c r="L257" s="16"/>
      <c r="M257" s="16"/>
      <c r="N257" s="16">
        <v>70.608911699999993</v>
      </c>
      <c r="O257" s="16"/>
      <c r="P257" s="175"/>
      <c r="R257" s="218" t="s">
        <v>36</v>
      </c>
      <c r="S257" s="22">
        <v>0</v>
      </c>
      <c r="T257" s="19"/>
      <c r="AA257" s="218" t="s">
        <v>33</v>
      </c>
      <c r="AB257" s="22">
        <v>0</v>
      </c>
      <c r="AC257" s="19"/>
    </row>
    <row r="258" spans="1:29" x14ac:dyDescent="0.2">
      <c r="A258">
        <v>896</v>
      </c>
      <c r="B258" s="8">
        <v>46221</v>
      </c>
      <c r="C258" s="9">
        <v>0.42871527777777779</v>
      </c>
      <c r="D258" s="7" t="s">
        <v>18</v>
      </c>
      <c r="E258" s="218" t="s">
        <v>37</v>
      </c>
      <c r="F258" s="16">
        <v>72.222200400000006</v>
      </c>
      <c r="G258" s="129">
        <v>2125.5104999999999</v>
      </c>
      <c r="H258" s="22">
        <v>1</v>
      </c>
      <c r="I258" s="19" t="s">
        <v>254</v>
      </c>
      <c r="J258" s="7" t="s">
        <v>20</v>
      </c>
      <c r="K258" s="16">
        <v>87.841380099999995</v>
      </c>
      <c r="L258" s="16">
        <v>61.949638399999998</v>
      </c>
      <c r="M258" s="16">
        <v>-18.295107000000002</v>
      </c>
      <c r="N258" s="16">
        <v>64.612757799999997</v>
      </c>
      <c r="O258" s="16">
        <v>271</v>
      </c>
      <c r="P258" s="175">
        <v>0.85784362999999997</v>
      </c>
      <c r="R258" s="218" t="s">
        <v>36</v>
      </c>
      <c r="S258" s="22">
        <v>0</v>
      </c>
      <c r="T258" s="19"/>
      <c r="AA258" s="218" t="s">
        <v>33</v>
      </c>
      <c r="AB258" s="22">
        <v>0</v>
      </c>
      <c r="AC258" s="19"/>
    </row>
    <row r="259" spans="1:29" x14ac:dyDescent="0.2">
      <c r="A259">
        <v>897</v>
      </c>
      <c r="B259" s="8">
        <v>46221</v>
      </c>
      <c r="C259" s="9">
        <v>0.42914351851851851</v>
      </c>
      <c r="D259" s="7" t="s">
        <v>18</v>
      </c>
      <c r="E259" s="218" t="s">
        <v>37</v>
      </c>
      <c r="F259" s="16">
        <v>72.396884299999996</v>
      </c>
      <c r="G259" s="129">
        <v>1083.7910199999999</v>
      </c>
      <c r="H259" s="22">
        <v>0</v>
      </c>
      <c r="I259" s="19"/>
      <c r="J259" s="7" t="s">
        <v>23</v>
      </c>
      <c r="K259" s="16"/>
      <c r="L259" s="16"/>
      <c r="M259" s="16"/>
      <c r="N259" s="16"/>
      <c r="O259" s="16"/>
      <c r="P259" s="175"/>
      <c r="R259" s="218" t="s">
        <v>36</v>
      </c>
      <c r="S259" s="22">
        <v>0</v>
      </c>
      <c r="T259" s="19"/>
      <c r="AA259" s="218" t="s">
        <v>33</v>
      </c>
      <c r="AB259" s="22">
        <v>0</v>
      </c>
      <c r="AC259" s="19"/>
    </row>
    <row r="260" spans="1:29" x14ac:dyDescent="0.2">
      <c r="A260">
        <v>898</v>
      </c>
      <c r="B260" s="8">
        <v>46221</v>
      </c>
      <c r="C260" s="9">
        <v>0.42932870370370368</v>
      </c>
      <c r="D260" s="7" t="s">
        <v>18</v>
      </c>
      <c r="E260" s="218" t="s">
        <v>36</v>
      </c>
      <c r="F260" s="16">
        <v>76.017518300000006</v>
      </c>
      <c r="G260" s="129">
        <v>765.92388900000003</v>
      </c>
      <c r="H260" s="22">
        <v>0</v>
      </c>
      <c r="I260" s="19"/>
      <c r="J260" s="7" t="s">
        <v>23</v>
      </c>
      <c r="K260" s="16"/>
      <c r="L260" s="16"/>
      <c r="M260" s="16"/>
      <c r="N260" s="16"/>
      <c r="O260" s="16"/>
      <c r="P260" s="175"/>
      <c r="R260" s="218" t="s">
        <v>36</v>
      </c>
      <c r="S260" s="22">
        <v>0</v>
      </c>
      <c r="T260" s="19"/>
      <c r="AA260" s="218" t="s">
        <v>33</v>
      </c>
      <c r="AB260" s="22">
        <v>0</v>
      </c>
      <c r="AC260" s="19"/>
    </row>
    <row r="261" spans="1:29" x14ac:dyDescent="0.2">
      <c r="A261">
        <v>899</v>
      </c>
      <c r="B261" s="8">
        <v>46221</v>
      </c>
      <c r="C261" s="9">
        <v>0.42953703703703705</v>
      </c>
      <c r="D261" s="7" t="s">
        <v>18</v>
      </c>
      <c r="E261" s="218" t="s">
        <v>33</v>
      </c>
      <c r="F261" s="16">
        <v>83.782837799999996</v>
      </c>
      <c r="G261" s="129">
        <v>2425.4851100000001</v>
      </c>
      <c r="H261" s="22">
        <v>0</v>
      </c>
      <c r="I261" s="19"/>
      <c r="J261" s="7" t="s">
        <v>23</v>
      </c>
      <c r="K261" s="16"/>
      <c r="L261" s="16"/>
      <c r="M261" s="16"/>
      <c r="N261" s="16"/>
      <c r="O261" s="16"/>
      <c r="P261" s="175"/>
      <c r="R261" s="218" t="s">
        <v>36</v>
      </c>
      <c r="S261" s="22">
        <v>1</v>
      </c>
      <c r="T261" s="19" t="s">
        <v>39</v>
      </c>
      <c r="AA261" s="218" t="s">
        <v>33</v>
      </c>
      <c r="AB261" s="22">
        <v>0</v>
      </c>
      <c r="AC261" s="19"/>
    </row>
    <row r="262" spans="1:29" x14ac:dyDescent="0.2">
      <c r="A262">
        <v>900</v>
      </c>
      <c r="B262" s="8">
        <v>46221</v>
      </c>
      <c r="C262" s="9">
        <v>0.42981481481481482</v>
      </c>
      <c r="D262" s="7" t="s">
        <v>18</v>
      </c>
      <c r="E262" s="218" t="s">
        <v>36</v>
      </c>
      <c r="F262" s="16">
        <v>77.033834999999996</v>
      </c>
      <c r="G262" s="129">
        <v>1153.7962600000001</v>
      </c>
      <c r="H262" s="22">
        <v>1</v>
      </c>
      <c r="I262" s="19" t="s">
        <v>255</v>
      </c>
      <c r="J262" s="7" t="s">
        <v>23</v>
      </c>
      <c r="K262" s="16">
        <v>63.877376499999997</v>
      </c>
      <c r="L262" s="16">
        <v>35.398773200000001</v>
      </c>
      <c r="M262" s="16">
        <v>6.8754453699999996</v>
      </c>
      <c r="N262" s="16">
        <v>62.819515799999998</v>
      </c>
      <c r="O262" s="16">
        <v>201</v>
      </c>
      <c r="P262" s="175">
        <v>0.63340777999999998</v>
      </c>
      <c r="R262" s="218" t="s">
        <v>36</v>
      </c>
      <c r="S262" s="22">
        <v>0</v>
      </c>
      <c r="T262" s="19"/>
      <c r="AA262" s="218" t="s">
        <v>33</v>
      </c>
      <c r="AB262" s="22">
        <v>0</v>
      </c>
      <c r="AC262" s="19"/>
    </row>
    <row r="263" spans="1:29" x14ac:dyDescent="0.2">
      <c r="A263">
        <v>901</v>
      </c>
      <c r="B263" s="8">
        <v>46221</v>
      </c>
      <c r="C263" s="9">
        <v>0.43026620370370372</v>
      </c>
      <c r="D263" s="7" t="s">
        <v>18</v>
      </c>
      <c r="E263" s="218" t="s">
        <v>37</v>
      </c>
      <c r="F263" s="16">
        <v>73.683158300000002</v>
      </c>
      <c r="G263" s="129">
        <v>2241.7048300000001</v>
      </c>
      <c r="H263" s="22">
        <v>1</v>
      </c>
      <c r="I263" s="19" t="s">
        <v>38</v>
      </c>
      <c r="J263" s="7" t="s">
        <v>27</v>
      </c>
      <c r="K263" s="16"/>
      <c r="L263" s="16"/>
      <c r="M263" s="16"/>
      <c r="N263" s="16">
        <v>63.772178699999998</v>
      </c>
      <c r="O263" s="16"/>
      <c r="P263" s="175"/>
      <c r="R263" s="218" t="s">
        <v>36</v>
      </c>
      <c r="S263" s="22">
        <v>0</v>
      </c>
      <c r="T263" s="19"/>
      <c r="AA263" s="218" t="s">
        <v>33</v>
      </c>
      <c r="AB263" s="22">
        <v>1</v>
      </c>
      <c r="AC263" s="19"/>
    </row>
    <row r="264" spans="1:29" x14ac:dyDescent="0.2">
      <c r="A264">
        <v>902</v>
      </c>
      <c r="B264" s="8">
        <v>46221</v>
      </c>
      <c r="C264" s="9">
        <v>0.43063657407407407</v>
      </c>
      <c r="D264" s="7" t="s">
        <v>18</v>
      </c>
      <c r="E264" s="218" t="s">
        <v>36</v>
      </c>
      <c r="F264" s="16">
        <v>75.842834600000003</v>
      </c>
      <c r="G264" s="129">
        <v>426.37286399999999</v>
      </c>
      <c r="H264" s="22">
        <v>0</v>
      </c>
      <c r="I264" s="19"/>
      <c r="J264" s="7" t="s">
        <v>27</v>
      </c>
      <c r="K264" s="16"/>
      <c r="L264" s="16"/>
      <c r="M264" s="16"/>
      <c r="N264" s="16"/>
      <c r="O264" s="16"/>
      <c r="P264" s="175"/>
      <c r="R264" s="218" t="s">
        <v>36</v>
      </c>
      <c r="S264" s="22">
        <v>0</v>
      </c>
      <c r="T264" s="19"/>
      <c r="AA264" s="218" t="s">
        <v>33</v>
      </c>
      <c r="AB264" s="22">
        <v>0</v>
      </c>
      <c r="AC264" s="19"/>
    </row>
    <row r="265" spans="1:29" x14ac:dyDescent="0.2">
      <c r="A265">
        <v>903</v>
      </c>
      <c r="B265" s="8">
        <v>46221</v>
      </c>
      <c r="C265" s="9">
        <v>0.43087962962962961</v>
      </c>
      <c r="D265" s="7" t="s">
        <v>18</v>
      </c>
      <c r="E265" s="218" t="s">
        <v>36</v>
      </c>
      <c r="F265" s="16">
        <v>77.938997700000002</v>
      </c>
      <c r="G265" s="129">
        <v>726.58947799999999</v>
      </c>
      <c r="H265" s="22">
        <v>0</v>
      </c>
      <c r="I265" s="19"/>
      <c r="J265" s="7" t="s">
        <v>27</v>
      </c>
      <c r="K265" s="16"/>
      <c r="L265" s="16"/>
      <c r="M265" s="16"/>
      <c r="N265" s="16"/>
      <c r="O265" s="16"/>
      <c r="P265" s="175"/>
      <c r="R265" s="218" t="s">
        <v>36</v>
      </c>
      <c r="S265" s="22">
        <v>0</v>
      </c>
      <c r="T265" s="19"/>
      <c r="AA265" s="218" t="s">
        <v>33</v>
      </c>
      <c r="AB265" s="22">
        <v>0</v>
      </c>
      <c r="AC265" s="19"/>
    </row>
    <row r="266" spans="1:29" x14ac:dyDescent="0.2">
      <c r="A266">
        <v>904</v>
      </c>
      <c r="B266" s="8">
        <v>46221</v>
      </c>
      <c r="C266" s="9">
        <v>0.43113425925925924</v>
      </c>
      <c r="D266" s="7" t="s">
        <v>18</v>
      </c>
      <c r="E266" s="218" t="s">
        <v>33</v>
      </c>
      <c r="F266" s="16">
        <v>83.814589999999995</v>
      </c>
      <c r="G266" s="129">
        <v>2272.1106</v>
      </c>
      <c r="H266" s="22">
        <v>1</v>
      </c>
      <c r="I266" s="19" t="s">
        <v>38</v>
      </c>
      <c r="J266" s="7" t="s">
        <v>27</v>
      </c>
      <c r="K266" s="16"/>
      <c r="L266" s="16"/>
      <c r="M266" s="16"/>
      <c r="N266" s="16">
        <v>67.470738100000005</v>
      </c>
      <c r="O266" s="16"/>
      <c r="P266" s="175"/>
      <c r="R266" s="218" t="s">
        <v>36</v>
      </c>
      <c r="S266" s="22">
        <v>0</v>
      </c>
      <c r="T266" s="19"/>
      <c r="AA266" s="218" t="s">
        <v>33</v>
      </c>
      <c r="AB266" s="22">
        <v>0</v>
      </c>
      <c r="AC266" s="19"/>
    </row>
    <row r="267" spans="1:29" x14ac:dyDescent="0.2">
      <c r="A267">
        <v>905</v>
      </c>
      <c r="B267" s="8">
        <v>46221</v>
      </c>
      <c r="C267" s="9">
        <v>0.4314351851851852</v>
      </c>
      <c r="D267" s="7" t="s">
        <v>18</v>
      </c>
      <c r="E267" s="218" t="s">
        <v>33</v>
      </c>
      <c r="F267" s="16">
        <v>84.338632700000005</v>
      </c>
      <c r="G267" s="129">
        <v>2262.3395999999998</v>
      </c>
      <c r="H267" s="22">
        <v>1</v>
      </c>
      <c r="I267" s="19" t="s">
        <v>38</v>
      </c>
      <c r="J267" s="7" t="s">
        <v>27</v>
      </c>
      <c r="K267" s="16"/>
      <c r="L267" s="16"/>
      <c r="M267" s="16"/>
      <c r="N267" s="16">
        <v>65.901651400000006</v>
      </c>
      <c r="O267" s="16"/>
      <c r="P267" s="175"/>
      <c r="R267" s="218" t="s">
        <v>36</v>
      </c>
      <c r="S267" s="22">
        <v>0</v>
      </c>
      <c r="T267" s="19"/>
      <c r="AA267" s="218" t="s">
        <v>33</v>
      </c>
      <c r="AB267" s="22">
        <v>0</v>
      </c>
      <c r="AC267" s="19"/>
    </row>
    <row r="268" spans="1:29" x14ac:dyDescent="0.2">
      <c r="A268">
        <v>906</v>
      </c>
      <c r="B268" s="8">
        <v>46221</v>
      </c>
      <c r="C268" s="9">
        <v>0.43175925925925923</v>
      </c>
      <c r="D268" s="7" t="s">
        <v>18</v>
      </c>
      <c r="E268" s="218" t="s">
        <v>36</v>
      </c>
      <c r="F268" s="16">
        <v>78.574194500000004</v>
      </c>
      <c r="G268" s="129">
        <v>2068.3710900000001</v>
      </c>
      <c r="H268" s="22">
        <v>0</v>
      </c>
      <c r="I268" s="19"/>
      <c r="J268" s="7" t="s">
        <v>27</v>
      </c>
      <c r="K268" s="16"/>
      <c r="L268" s="16"/>
      <c r="M268" s="16"/>
      <c r="N268" s="16"/>
      <c r="O268" s="16"/>
      <c r="P268" s="175"/>
      <c r="R268" s="218" t="s">
        <v>36</v>
      </c>
      <c r="S268" s="22">
        <v>1</v>
      </c>
      <c r="T268" s="19" t="s">
        <v>40</v>
      </c>
      <c r="AA268" s="218" t="s">
        <v>33</v>
      </c>
      <c r="AB268" s="22">
        <v>0</v>
      </c>
      <c r="AC268" s="19"/>
    </row>
    <row r="269" spans="1:29" x14ac:dyDescent="0.2">
      <c r="A269">
        <v>907</v>
      </c>
      <c r="B269" s="8">
        <v>46221</v>
      </c>
      <c r="C269" s="9">
        <v>0.43197916666666669</v>
      </c>
      <c r="D269" s="7" t="s">
        <v>18</v>
      </c>
      <c r="E269" s="218" t="s">
        <v>33</v>
      </c>
      <c r="F269" s="16">
        <v>85.434351300000003</v>
      </c>
      <c r="G269" s="129">
        <v>2137.2272899999998</v>
      </c>
      <c r="H269" s="22">
        <v>1</v>
      </c>
      <c r="I269" s="19" t="s">
        <v>255</v>
      </c>
      <c r="J269" s="7" t="s">
        <v>27</v>
      </c>
      <c r="K269" s="16">
        <v>81.603833699999996</v>
      </c>
      <c r="L269" s="16">
        <v>54.345897700000002</v>
      </c>
      <c r="M269" s="16">
        <v>5.0955190699999999</v>
      </c>
      <c r="N269" s="16">
        <v>68.871711700000006</v>
      </c>
      <c r="O269" s="16">
        <v>276</v>
      </c>
      <c r="P269" s="175">
        <v>0.73672859000000002</v>
      </c>
      <c r="R269" s="218" t="s">
        <v>36</v>
      </c>
      <c r="S269" s="22">
        <v>0</v>
      </c>
      <c r="T269" s="19"/>
      <c r="AA269" s="218" t="s">
        <v>33</v>
      </c>
      <c r="AB269" s="22">
        <v>0</v>
      </c>
      <c r="AC269" s="19"/>
    </row>
    <row r="270" spans="1:29" x14ac:dyDescent="0.2">
      <c r="A270">
        <v>908</v>
      </c>
      <c r="B270" s="8">
        <v>46221</v>
      </c>
      <c r="C270" s="9">
        <v>0.43233796296296295</v>
      </c>
      <c r="D270" s="7" t="s">
        <v>18</v>
      </c>
      <c r="E270" s="218" t="s">
        <v>36</v>
      </c>
      <c r="F270" s="16">
        <v>76.859159599999998</v>
      </c>
      <c r="G270" s="129">
        <v>745.03814699999998</v>
      </c>
      <c r="H270" s="22">
        <v>0</v>
      </c>
      <c r="I270" s="19"/>
      <c r="J270" s="7" t="s">
        <v>29</v>
      </c>
      <c r="K270" s="16"/>
      <c r="L270" s="16"/>
      <c r="M270" s="16"/>
      <c r="N270" s="16"/>
      <c r="O270" s="16"/>
      <c r="P270" s="175"/>
      <c r="R270" s="218" t="s">
        <v>36</v>
      </c>
      <c r="S270" s="22">
        <v>1</v>
      </c>
      <c r="T270" s="19" t="s">
        <v>40</v>
      </c>
      <c r="AA270" s="218" t="s">
        <v>33</v>
      </c>
      <c r="AB270" s="22">
        <v>0</v>
      </c>
      <c r="AC270" s="19"/>
    </row>
    <row r="271" spans="1:29" x14ac:dyDescent="0.2">
      <c r="A271">
        <v>909</v>
      </c>
      <c r="B271" s="8">
        <v>46221</v>
      </c>
      <c r="C271" s="9">
        <v>0.43253472222222222</v>
      </c>
      <c r="D271" s="7" t="s">
        <v>18</v>
      </c>
      <c r="E271" s="218" t="s">
        <v>37</v>
      </c>
      <c r="F271" s="16">
        <v>73.047961599999994</v>
      </c>
      <c r="G271" s="129">
        <v>2196.5976599999999</v>
      </c>
      <c r="H271" s="22">
        <v>1</v>
      </c>
      <c r="I271" s="19"/>
      <c r="J271" s="7" t="s">
        <v>29</v>
      </c>
      <c r="K271" s="16"/>
      <c r="L271" s="16"/>
      <c r="M271" s="16"/>
      <c r="N271" s="16"/>
      <c r="O271" s="16"/>
      <c r="P271" s="175"/>
      <c r="R271" s="218" t="s">
        <v>33</v>
      </c>
      <c r="S271" s="22">
        <v>1</v>
      </c>
      <c r="T271" s="19" t="s">
        <v>38</v>
      </c>
      <c r="AA271" s="218" t="s">
        <v>33</v>
      </c>
      <c r="AB271" s="22">
        <v>0</v>
      </c>
      <c r="AC271" s="19"/>
    </row>
    <row r="272" spans="1:29" x14ac:dyDescent="0.2">
      <c r="A272">
        <v>910</v>
      </c>
      <c r="B272" s="8">
        <v>46221</v>
      </c>
      <c r="C272" s="9">
        <v>0.43275462962962963</v>
      </c>
      <c r="D272" s="7" t="s">
        <v>18</v>
      </c>
      <c r="E272" s="218" t="s">
        <v>36</v>
      </c>
      <c r="F272" s="16">
        <v>76.668595499999995</v>
      </c>
      <c r="G272" s="129">
        <v>1129.8978300000001</v>
      </c>
      <c r="H272" s="22">
        <v>1</v>
      </c>
      <c r="I272" s="19" t="s">
        <v>39</v>
      </c>
      <c r="J272" s="7" t="s">
        <v>29</v>
      </c>
      <c r="K272" s="16"/>
      <c r="L272" s="16"/>
      <c r="M272" s="16"/>
      <c r="N272" s="16">
        <v>57.776024800000002</v>
      </c>
      <c r="O272" s="16"/>
      <c r="P272" s="175"/>
      <c r="R272" s="218" t="s">
        <v>33</v>
      </c>
      <c r="S272" s="22">
        <v>0</v>
      </c>
      <c r="T272" s="19"/>
      <c r="AA272" s="218" t="s">
        <v>33</v>
      </c>
      <c r="AB272" s="22">
        <v>1</v>
      </c>
      <c r="AC272" s="19"/>
    </row>
    <row r="273" spans="1:29" x14ac:dyDescent="0.2">
      <c r="A273">
        <v>911</v>
      </c>
      <c r="B273" s="8">
        <v>46221</v>
      </c>
      <c r="C273" s="9">
        <v>0.43302083333333335</v>
      </c>
      <c r="D273" s="7" t="s">
        <v>18</v>
      </c>
      <c r="E273" s="218" t="s">
        <v>33</v>
      </c>
      <c r="F273" s="16">
        <v>84.989710000000002</v>
      </c>
      <c r="G273" s="129">
        <v>2285.13159</v>
      </c>
      <c r="H273" s="22">
        <v>0</v>
      </c>
      <c r="I273" s="19"/>
      <c r="J273" s="7" t="s">
        <v>29</v>
      </c>
      <c r="K273" s="16"/>
      <c r="L273" s="16"/>
      <c r="M273" s="16"/>
      <c r="N273" s="16"/>
      <c r="O273" s="16"/>
      <c r="P273" s="175"/>
      <c r="R273" s="218" t="s">
        <v>33</v>
      </c>
      <c r="S273" s="22">
        <v>1</v>
      </c>
      <c r="T273" s="19" t="s">
        <v>40</v>
      </c>
      <c r="AA273" s="218" t="s">
        <v>33</v>
      </c>
      <c r="AB273" s="22">
        <v>0</v>
      </c>
      <c r="AC273" s="19"/>
    </row>
    <row r="274" spans="1:29" x14ac:dyDescent="0.2">
      <c r="A274">
        <v>912</v>
      </c>
      <c r="B274" s="8">
        <v>46221</v>
      </c>
      <c r="C274" s="9">
        <v>0.43328703703703703</v>
      </c>
      <c r="D274" s="7" t="s">
        <v>18</v>
      </c>
      <c r="E274" s="218" t="s">
        <v>37</v>
      </c>
      <c r="F274" s="16">
        <v>74.302474900000007</v>
      </c>
      <c r="G274" s="129">
        <v>2160.44238</v>
      </c>
      <c r="H274" s="22">
        <v>1</v>
      </c>
      <c r="I274" s="169" t="s">
        <v>45</v>
      </c>
      <c r="J274" s="165" t="s">
        <v>29</v>
      </c>
      <c r="K274" s="16"/>
      <c r="L274" s="16"/>
      <c r="M274" s="16"/>
      <c r="N274" s="16">
        <v>63.491981500000001</v>
      </c>
      <c r="O274" s="16"/>
      <c r="P274" s="177"/>
      <c r="R274" s="218" t="s">
        <v>33</v>
      </c>
      <c r="S274" s="22">
        <v>0</v>
      </c>
      <c r="T274" s="19"/>
      <c r="AA274" s="218" t="s">
        <v>33</v>
      </c>
      <c r="AB274" s="22">
        <v>0</v>
      </c>
      <c r="AC274" s="169"/>
    </row>
    <row r="275" spans="1:29" x14ac:dyDescent="0.2">
      <c r="A275">
        <v>934</v>
      </c>
      <c r="B275" s="8">
        <v>46221</v>
      </c>
      <c r="C275" s="9">
        <v>0.44284722222222223</v>
      </c>
      <c r="D275" s="7" t="s">
        <v>18</v>
      </c>
      <c r="E275" s="218" t="s">
        <v>33</v>
      </c>
      <c r="F275" s="16">
        <v>83.4017178</v>
      </c>
      <c r="G275" s="129">
        <v>2253.9057600000001</v>
      </c>
      <c r="H275" s="22">
        <v>1</v>
      </c>
      <c r="I275" s="19" t="s">
        <v>254</v>
      </c>
      <c r="J275" s="7" t="s">
        <v>29</v>
      </c>
      <c r="K275" s="16">
        <v>76.780312499999994</v>
      </c>
      <c r="L275" s="16">
        <v>0.38075638000000001</v>
      </c>
      <c r="M275" s="16">
        <v>-27.068054</v>
      </c>
      <c r="N275" s="16">
        <v>67.863011</v>
      </c>
      <c r="O275" s="16">
        <v>27</v>
      </c>
      <c r="P275" s="177">
        <v>0.70352592999999997</v>
      </c>
      <c r="R275" s="218" t="s">
        <v>33</v>
      </c>
      <c r="S275" s="22">
        <v>1</v>
      </c>
      <c r="T275" s="19" t="s">
        <v>38</v>
      </c>
      <c r="AA275" s="12" t="s">
        <v>33</v>
      </c>
      <c r="AB275" s="20">
        <v>0</v>
      </c>
      <c r="AC275" s="17"/>
    </row>
    <row r="276" spans="1:29" x14ac:dyDescent="0.2">
      <c r="A276">
        <v>935</v>
      </c>
      <c r="B276" s="8">
        <v>46221</v>
      </c>
      <c r="C276" s="9">
        <v>0.44321759259259258</v>
      </c>
      <c r="D276" s="7" t="s">
        <v>18</v>
      </c>
      <c r="E276" s="218" t="s">
        <v>37</v>
      </c>
      <c r="F276" s="16">
        <v>76.478039899999999</v>
      </c>
      <c r="G276" s="129">
        <v>2061.57251</v>
      </c>
      <c r="H276" s="22">
        <v>0</v>
      </c>
      <c r="I276" s="19"/>
      <c r="J276" s="7" t="s">
        <v>23</v>
      </c>
      <c r="K276" s="16"/>
      <c r="L276" s="16"/>
      <c r="M276" s="16"/>
      <c r="N276" s="16"/>
      <c r="O276" s="16"/>
      <c r="P276" s="175"/>
      <c r="R276" s="218" t="s">
        <v>33</v>
      </c>
      <c r="S276" s="22">
        <v>1</v>
      </c>
      <c r="T276" s="19" t="s">
        <v>38</v>
      </c>
      <c r="AA276" s="12" t="s">
        <v>33</v>
      </c>
      <c r="AB276" s="20">
        <v>0</v>
      </c>
      <c r="AC276" s="17"/>
    </row>
    <row r="277" spans="1:29" x14ac:dyDescent="0.2">
      <c r="A277">
        <v>936</v>
      </c>
      <c r="B277" s="8">
        <v>46221</v>
      </c>
      <c r="C277" s="9">
        <v>0.44337962962962962</v>
      </c>
      <c r="D277" s="7" t="s">
        <v>18</v>
      </c>
      <c r="E277" s="218" t="s">
        <v>33</v>
      </c>
      <c r="F277" s="16">
        <v>83.465227100000007</v>
      </c>
      <c r="G277" s="129">
        <v>1087.74182</v>
      </c>
      <c r="H277" s="22">
        <v>0</v>
      </c>
      <c r="I277" s="19"/>
      <c r="J277" s="7" t="s">
        <v>23</v>
      </c>
      <c r="K277" s="16"/>
      <c r="L277" s="16"/>
      <c r="M277" s="16"/>
      <c r="N277" s="16"/>
      <c r="O277" s="16"/>
      <c r="P277" s="175"/>
      <c r="R277" s="218" t="s">
        <v>33</v>
      </c>
      <c r="S277" s="22">
        <v>1</v>
      </c>
      <c r="T277" s="19" t="s">
        <v>40</v>
      </c>
      <c r="AA277" s="12" t="s">
        <v>33</v>
      </c>
      <c r="AB277" s="20">
        <v>1</v>
      </c>
      <c r="AC277" s="17"/>
    </row>
    <row r="278" spans="1:29" x14ac:dyDescent="0.2">
      <c r="A278">
        <v>937</v>
      </c>
      <c r="B278" s="8">
        <v>46221</v>
      </c>
      <c r="C278" s="9">
        <v>0.4435648148148148</v>
      </c>
      <c r="D278" s="7" t="s">
        <v>18</v>
      </c>
      <c r="E278" s="218" t="s">
        <v>36</v>
      </c>
      <c r="F278" s="16">
        <v>78.701237300000003</v>
      </c>
      <c r="G278" s="129">
        <v>2099.3620599999999</v>
      </c>
      <c r="H278" s="22">
        <v>0</v>
      </c>
      <c r="I278" s="19"/>
      <c r="J278" s="7" t="s">
        <v>23</v>
      </c>
      <c r="K278" s="16"/>
      <c r="L278" s="16"/>
      <c r="M278" s="16"/>
      <c r="N278" s="16"/>
      <c r="O278" s="16"/>
      <c r="P278" s="175"/>
      <c r="R278" s="218" t="s">
        <v>33</v>
      </c>
      <c r="S278" s="22">
        <v>0</v>
      </c>
      <c r="T278" s="19"/>
      <c r="AA278" s="12" t="s">
        <v>33</v>
      </c>
      <c r="AB278" s="20">
        <v>0</v>
      </c>
      <c r="AC278" s="17"/>
    </row>
    <row r="279" spans="1:29" x14ac:dyDescent="0.2">
      <c r="A279">
        <v>938</v>
      </c>
      <c r="B279" s="8">
        <v>46221</v>
      </c>
      <c r="C279" s="9">
        <v>0.44380787037037039</v>
      </c>
      <c r="D279" s="7" t="s">
        <v>18</v>
      </c>
      <c r="E279" s="218" t="s">
        <v>33</v>
      </c>
      <c r="F279" s="16">
        <v>83.211153699999997</v>
      </c>
      <c r="G279" s="129">
        <v>2117.4645999999998</v>
      </c>
      <c r="H279" s="22">
        <v>0</v>
      </c>
      <c r="I279" s="19" t="s">
        <v>48</v>
      </c>
      <c r="J279" s="7" t="s">
        <v>23</v>
      </c>
      <c r="K279" s="16"/>
      <c r="L279" s="16"/>
      <c r="M279" s="16"/>
      <c r="N279" s="16"/>
      <c r="O279" s="16"/>
      <c r="P279" s="175"/>
      <c r="R279" s="218" t="s">
        <v>33</v>
      </c>
      <c r="S279" s="22">
        <v>1</v>
      </c>
      <c r="T279" s="19" t="s">
        <v>40</v>
      </c>
      <c r="AA279" s="12" t="s">
        <v>33</v>
      </c>
      <c r="AB279" s="20">
        <v>0</v>
      </c>
      <c r="AC279" s="17"/>
    </row>
    <row r="280" spans="1:29" x14ac:dyDescent="0.2">
      <c r="A280">
        <v>939</v>
      </c>
      <c r="B280" s="8">
        <v>46221</v>
      </c>
      <c r="C280" s="9">
        <v>0.44400462962962961</v>
      </c>
      <c r="D280" s="7" t="s">
        <v>18</v>
      </c>
      <c r="E280" s="218" t="s">
        <v>33</v>
      </c>
      <c r="F280" s="16">
        <v>83.719316399999997</v>
      </c>
      <c r="G280" s="129">
        <v>2195.0918000000001</v>
      </c>
      <c r="H280" s="22">
        <v>1</v>
      </c>
      <c r="I280" s="19" t="s">
        <v>39</v>
      </c>
      <c r="J280" s="7" t="s">
        <v>23</v>
      </c>
      <c r="K280" s="16"/>
      <c r="L280" s="16"/>
      <c r="M280" s="16"/>
      <c r="N280" s="16">
        <v>65.005030399999995</v>
      </c>
      <c r="O280" s="16"/>
      <c r="P280" s="175"/>
      <c r="R280" s="218" t="s">
        <v>33</v>
      </c>
      <c r="S280" s="22">
        <v>0</v>
      </c>
      <c r="T280" s="19"/>
      <c r="AA280" s="12" t="s">
        <v>33</v>
      </c>
      <c r="AB280" s="20">
        <v>0</v>
      </c>
      <c r="AC280" s="17"/>
    </row>
    <row r="281" spans="1:29" x14ac:dyDescent="0.2">
      <c r="A281">
        <v>940</v>
      </c>
      <c r="B281" s="8">
        <v>46221</v>
      </c>
      <c r="C281" s="9">
        <v>0.44438657407407406</v>
      </c>
      <c r="D281" s="7" t="s">
        <v>18</v>
      </c>
      <c r="E281" s="218" t="s">
        <v>35</v>
      </c>
      <c r="F281" s="16">
        <v>78.193074800000005</v>
      </c>
      <c r="G281" s="129">
        <v>1472.59644</v>
      </c>
      <c r="H281" s="22">
        <v>1</v>
      </c>
      <c r="I281" s="19" t="s">
        <v>255</v>
      </c>
      <c r="J281" s="7" t="s">
        <v>21</v>
      </c>
      <c r="K281" s="16">
        <v>57.429972399999997</v>
      </c>
      <c r="L281" s="16">
        <v>16.852937699999998</v>
      </c>
      <c r="M281" s="16">
        <v>-15.103125</v>
      </c>
      <c r="N281" s="16">
        <v>67.134507400000004</v>
      </c>
      <c r="O281" s="16"/>
      <c r="P281" s="175">
        <v>0.53959667</v>
      </c>
      <c r="R281" s="218" t="s">
        <v>33</v>
      </c>
      <c r="S281" s="22">
        <v>0</v>
      </c>
      <c r="T281" s="19" t="s">
        <v>48</v>
      </c>
      <c r="AA281" s="12" t="s">
        <v>33</v>
      </c>
      <c r="AB281" s="20">
        <v>0</v>
      </c>
      <c r="AC281" s="17"/>
    </row>
    <row r="282" spans="1:29" x14ac:dyDescent="0.2">
      <c r="A282">
        <v>941</v>
      </c>
      <c r="B282" s="8">
        <v>46221</v>
      </c>
      <c r="C282" s="9">
        <v>0.44480324074074074</v>
      </c>
      <c r="D282" s="7" t="s">
        <v>18</v>
      </c>
      <c r="E282" s="218" t="s">
        <v>36</v>
      </c>
      <c r="F282" s="16">
        <v>78.320117499999995</v>
      </c>
      <c r="G282" s="129">
        <v>1329.43262</v>
      </c>
      <c r="H282" s="22">
        <v>0</v>
      </c>
      <c r="I282" s="19"/>
      <c r="J282" s="7" t="s">
        <v>24</v>
      </c>
      <c r="K282" s="16"/>
      <c r="L282" s="16"/>
      <c r="M282" s="16"/>
      <c r="N282" s="16"/>
      <c r="O282" s="16"/>
      <c r="P282" s="177"/>
      <c r="R282" s="218" t="s">
        <v>33</v>
      </c>
      <c r="S282" s="22">
        <v>1</v>
      </c>
      <c r="T282" s="19" t="s">
        <v>39</v>
      </c>
      <c r="AA282" s="12" t="s">
        <v>33</v>
      </c>
      <c r="AB282" s="20">
        <v>0</v>
      </c>
      <c r="AC282" s="17"/>
    </row>
    <row r="283" spans="1:29" x14ac:dyDescent="0.2">
      <c r="A283">
        <v>942</v>
      </c>
      <c r="B283" s="8">
        <v>46221</v>
      </c>
      <c r="C283" s="9">
        <v>0.44506944444444446</v>
      </c>
      <c r="D283" s="7" t="s">
        <v>18</v>
      </c>
      <c r="E283" s="218" t="s">
        <v>36</v>
      </c>
      <c r="F283" s="16">
        <v>78.113672899999997</v>
      </c>
      <c r="G283" s="129">
        <v>2043.2849100000001</v>
      </c>
      <c r="H283" s="22">
        <v>0</v>
      </c>
      <c r="I283" s="19"/>
      <c r="J283" s="7" t="s">
        <v>24</v>
      </c>
      <c r="K283" s="16"/>
      <c r="L283" s="16"/>
      <c r="M283" s="16"/>
      <c r="N283" s="16"/>
      <c r="O283" s="16"/>
      <c r="P283" s="175"/>
      <c r="R283" s="218" t="s">
        <v>33</v>
      </c>
      <c r="S283" s="22">
        <v>0</v>
      </c>
      <c r="T283" s="19"/>
      <c r="AA283" s="12" t="s">
        <v>33</v>
      </c>
      <c r="AB283" s="20">
        <v>0</v>
      </c>
      <c r="AC283" s="17"/>
    </row>
    <row r="284" spans="1:29" x14ac:dyDescent="0.2">
      <c r="A284">
        <v>943</v>
      </c>
      <c r="B284" s="8">
        <v>46221</v>
      </c>
      <c r="C284" s="9">
        <v>0.44527777777777777</v>
      </c>
      <c r="D284" s="7" t="s">
        <v>18</v>
      </c>
      <c r="E284" s="218" t="s">
        <v>33</v>
      </c>
      <c r="F284" s="16">
        <v>84.735633000000007</v>
      </c>
      <c r="G284" s="129">
        <v>2177.96045</v>
      </c>
      <c r="H284" s="22">
        <v>0</v>
      </c>
      <c r="I284" s="19"/>
      <c r="J284" s="7" t="s">
        <v>24</v>
      </c>
      <c r="K284" s="16"/>
      <c r="L284" s="16"/>
      <c r="M284" s="16"/>
      <c r="N284" s="16"/>
      <c r="O284" s="16"/>
      <c r="P284" s="175"/>
      <c r="R284" s="218" t="s">
        <v>33</v>
      </c>
      <c r="S284" s="22">
        <v>1</v>
      </c>
      <c r="T284" s="19" t="s">
        <v>39</v>
      </c>
      <c r="AA284" s="12" t="s">
        <v>37</v>
      </c>
      <c r="AB284" s="20">
        <v>0</v>
      </c>
      <c r="AC284" s="17" t="s">
        <v>43</v>
      </c>
    </row>
    <row r="285" spans="1:29" x14ac:dyDescent="0.2">
      <c r="A285">
        <v>944</v>
      </c>
      <c r="B285" s="8">
        <v>46221</v>
      </c>
      <c r="C285" s="9">
        <v>0.44550925925925927</v>
      </c>
      <c r="D285" s="7" t="s">
        <v>18</v>
      </c>
      <c r="E285" s="218" t="s">
        <v>33</v>
      </c>
      <c r="F285" s="16">
        <v>83.846350700000002</v>
      </c>
      <c r="G285" s="129">
        <v>2063.3261699999998</v>
      </c>
      <c r="H285" s="22">
        <v>1</v>
      </c>
      <c r="I285" s="19" t="s">
        <v>39</v>
      </c>
      <c r="J285" s="7" t="s">
        <v>24</v>
      </c>
      <c r="K285" s="16"/>
      <c r="L285" s="16"/>
      <c r="M285" s="16"/>
      <c r="N285" s="16">
        <v>63.940291799999997</v>
      </c>
      <c r="O285" s="16"/>
      <c r="P285" s="175"/>
      <c r="R285" s="218" t="s">
        <v>33</v>
      </c>
      <c r="S285" s="22">
        <v>1</v>
      </c>
      <c r="T285" s="19" t="s">
        <v>38</v>
      </c>
      <c r="AA285" s="12" t="s">
        <v>37</v>
      </c>
      <c r="AB285" s="20">
        <v>0</v>
      </c>
      <c r="AC285" s="17" t="s">
        <v>43</v>
      </c>
    </row>
    <row r="286" spans="1:29" x14ac:dyDescent="0.2">
      <c r="A286">
        <v>945</v>
      </c>
      <c r="B286" s="8">
        <v>46221</v>
      </c>
      <c r="C286" s="9">
        <v>0.44572916666666668</v>
      </c>
      <c r="D286" s="7" t="s">
        <v>18</v>
      </c>
      <c r="E286" s="218" t="s">
        <v>33</v>
      </c>
      <c r="F286" s="16">
        <v>84.656231300000002</v>
      </c>
      <c r="G286" s="129">
        <v>1080.14246</v>
      </c>
      <c r="H286" s="22">
        <v>1</v>
      </c>
      <c r="I286" s="19" t="s">
        <v>38</v>
      </c>
      <c r="J286" s="7" t="s">
        <v>24</v>
      </c>
      <c r="K286" s="16"/>
      <c r="L286" s="16"/>
      <c r="M286" s="16"/>
      <c r="N286" s="16">
        <v>69.039824999999993</v>
      </c>
      <c r="O286" s="16"/>
      <c r="P286" s="175"/>
      <c r="R286" s="218" t="s">
        <v>33</v>
      </c>
      <c r="S286" s="22">
        <v>1</v>
      </c>
      <c r="T286" s="19" t="s">
        <v>38</v>
      </c>
      <c r="AA286" s="12" t="s">
        <v>37</v>
      </c>
      <c r="AB286" s="20">
        <v>0</v>
      </c>
      <c r="AC286" s="17" t="s">
        <v>43</v>
      </c>
    </row>
    <row r="287" spans="1:29" x14ac:dyDescent="0.2">
      <c r="A287">
        <v>946</v>
      </c>
      <c r="B287" s="8">
        <v>46221</v>
      </c>
      <c r="C287" s="9">
        <v>0.44594907407407408</v>
      </c>
      <c r="D287" s="7" t="s">
        <v>18</v>
      </c>
      <c r="E287" s="218" t="s">
        <v>35</v>
      </c>
      <c r="F287" s="16">
        <v>79.781075400000006</v>
      </c>
      <c r="G287" s="129">
        <v>1440.2951700000001</v>
      </c>
      <c r="H287" s="22">
        <v>0</v>
      </c>
      <c r="I287" s="19" t="s">
        <v>48</v>
      </c>
      <c r="J287" s="7" t="s">
        <v>24</v>
      </c>
      <c r="K287" s="16"/>
      <c r="L287" s="16"/>
      <c r="M287" s="16"/>
      <c r="N287" s="16"/>
      <c r="O287" s="16"/>
      <c r="P287" s="175"/>
      <c r="R287" s="218" t="s">
        <v>33</v>
      </c>
      <c r="S287" s="22">
        <v>0</v>
      </c>
      <c r="T287" s="19"/>
      <c r="AA287" s="218" t="s">
        <v>37</v>
      </c>
      <c r="AB287" s="22">
        <v>0</v>
      </c>
      <c r="AC287" s="19" t="s">
        <v>48</v>
      </c>
    </row>
    <row r="288" spans="1:29" x14ac:dyDescent="0.2">
      <c r="A288">
        <v>947</v>
      </c>
      <c r="B288" s="8">
        <v>46221</v>
      </c>
      <c r="C288" s="9">
        <v>0.44613425925925926</v>
      </c>
      <c r="D288" s="7" t="s">
        <v>18</v>
      </c>
      <c r="E288" s="218" t="s">
        <v>33</v>
      </c>
      <c r="F288" s="16">
        <v>84.2909918</v>
      </c>
      <c r="G288" s="129">
        <v>2285.66284</v>
      </c>
      <c r="H288" s="22">
        <v>1</v>
      </c>
      <c r="I288" s="19" t="s">
        <v>38</v>
      </c>
      <c r="J288" s="7" t="s">
        <v>24</v>
      </c>
      <c r="K288" s="16"/>
      <c r="L288" s="16"/>
      <c r="M288" s="16"/>
      <c r="N288" s="16">
        <v>70.833067</v>
      </c>
      <c r="O288" s="16"/>
      <c r="P288" s="175"/>
      <c r="R288" s="218" t="s">
        <v>33</v>
      </c>
      <c r="S288" s="22">
        <v>1</v>
      </c>
      <c r="T288" s="19" t="s">
        <v>40</v>
      </c>
      <c r="AA288" s="218" t="s">
        <v>37</v>
      </c>
      <c r="AB288" s="22">
        <v>0</v>
      </c>
      <c r="AC288" s="19" t="s">
        <v>48</v>
      </c>
    </row>
    <row r="289" spans="1:29" x14ac:dyDescent="0.2">
      <c r="A289">
        <v>948</v>
      </c>
      <c r="B289" s="8">
        <v>46221</v>
      </c>
      <c r="C289" s="9">
        <v>0.44655092592592593</v>
      </c>
      <c r="D289" s="7" t="s">
        <v>18</v>
      </c>
      <c r="E289" s="218" t="s">
        <v>37</v>
      </c>
      <c r="F289" s="16">
        <v>71.587003699999997</v>
      </c>
      <c r="G289" s="129">
        <v>2164.6884799999998</v>
      </c>
      <c r="H289" s="22">
        <v>0</v>
      </c>
      <c r="I289" s="19"/>
      <c r="J289" s="7" t="s">
        <v>20</v>
      </c>
      <c r="K289" s="16"/>
      <c r="L289" s="16"/>
      <c r="M289" s="16"/>
      <c r="N289" s="16"/>
      <c r="O289" s="16"/>
      <c r="P289" s="175"/>
      <c r="R289" s="218" t="s">
        <v>33</v>
      </c>
      <c r="S289" s="22">
        <v>1</v>
      </c>
      <c r="T289" s="19" t="s">
        <v>40</v>
      </c>
      <c r="AA289" s="218" t="s">
        <v>37</v>
      </c>
      <c r="AB289" s="22">
        <v>0</v>
      </c>
      <c r="AC289" s="19" t="s">
        <v>48</v>
      </c>
    </row>
    <row r="290" spans="1:29" x14ac:dyDescent="0.2">
      <c r="A290">
        <v>949</v>
      </c>
      <c r="B290" s="8">
        <v>46221</v>
      </c>
      <c r="C290" s="9">
        <v>0.4473611111111111</v>
      </c>
      <c r="D290" s="7" t="s">
        <v>18</v>
      </c>
      <c r="E290" s="218" t="s">
        <v>33</v>
      </c>
      <c r="F290" s="16">
        <v>85.116757000000007</v>
      </c>
      <c r="G290" s="129">
        <v>2281.55078</v>
      </c>
      <c r="H290" s="22">
        <v>0</v>
      </c>
      <c r="I290" s="19"/>
      <c r="J290" s="7" t="s">
        <v>20</v>
      </c>
      <c r="K290" s="16"/>
      <c r="L290" s="16"/>
      <c r="M290" s="16"/>
      <c r="N290" s="16"/>
      <c r="O290" s="16"/>
      <c r="P290" s="175"/>
      <c r="R290" s="218" t="s">
        <v>33</v>
      </c>
      <c r="S290" s="22">
        <v>1</v>
      </c>
      <c r="T290" s="19" t="s">
        <v>38</v>
      </c>
      <c r="AA290" s="12" t="s">
        <v>37</v>
      </c>
      <c r="AB290" s="20">
        <v>1</v>
      </c>
      <c r="AC290" s="17" t="s">
        <v>42</v>
      </c>
    </row>
    <row r="291" spans="1:29" x14ac:dyDescent="0.2">
      <c r="A291">
        <v>950</v>
      </c>
      <c r="B291" s="8">
        <v>46221</v>
      </c>
      <c r="C291" s="9">
        <v>0.44753472222222224</v>
      </c>
      <c r="D291" s="7" t="s">
        <v>18</v>
      </c>
      <c r="E291" s="218" t="s">
        <v>36</v>
      </c>
      <c r="F291" s="16">
        <v>78.383638899999994</v>
      </c>
      <c r="G291" s="129">
        <v>2111.7075199999999</v>
      </c>
      <c r="H291" s="22">
        <v>0</v>
      </c>
      <c r="I291" s="19"/>
      <c r="J291" s="7" t="s">
        <v>20</v>
      </c>
      <c r="K291" s="16"/>
      <c r="L291" s="16"/>
      <c r="M291" s="16"/>
      <c r="N291" s="16">
        <v>62.034974499999997</v>
      </c>
      <c r="O291" s="16"/>
      <c r="P291" s="175"/>
      <c r="R291" s="218" t="s">
        <v>33</v>
      </c>
      <c r="S291" s="22">
        <v>0</v>
      </c>
      <c r="T291" s="19"/>
      <c r="AA291" s="12" t="s">
        <v>37</v>
      </c>
      <c r="AB291" s="20">
        <v>1</v>
      </c>
      <c r="AC291" s="17" t="s">
        <v>42</v>
      </c>
    </row>
    <row r="292" spans="1:29" x14ac:dyDescent="0.2">
      <c r="A292">
        <v>951</v>
      </c>
      <c r="B292" s="8">
        <v>46221</v>
      </c>
      <c r="C292" s="9">
        <v>0.44774305555555555</v>
      </c>
      <c r="D292" s="7" t="s">
        <v>18</v>
      </c>
      <c r="E292" s="218" t="s">
        <v>33</v>
      </c>
      <c r="F292" s="16">
        <v>83.909872100000001</v>
      </c>
      <c r="G292" s="129">
        <v>2232.01172</v>
      </c>
      <c r="H292" s="22">
        <v>1</v>
      </c>
      <c r="I292" s="19" t="s">
        <v>255</v>
      </c>
      <c r="J292" s="7" t="s">
        <v>20</v>
      </c>
      <c r="K292" s="16">
        <v>83.918123699999995</v>
      </c>
      <c r="L292" s="16">
        <v>25.146240200000001</v>
      </c>
      <c r="M292" s="16">
        <v>-34.996586000000001</v>
      </c>
      <c r="N292" s="16">
        <v>68.311321399999997</v>
      </c>
      <c r="O292" s="16">
        <v>263</v>
      </c>
      <c r="P292" s="175">
        <v>0.76442215000000002</v>
      </c>
      <c r="R292" s="218" t="s">
        <v>33</v>
      </c>
      <c r="S292" s="22">
        <v>1</v>
      </c>
      <c r="T292" s="19" t="s">
        <v>39</v>
      </c>
      <c r="AA292" s="12" t="s">
        <v>37</v>
      </c>
      <c r="AB292" s="20">
        <v>1</v>
      </c>
      <c r="AC292" s="17" t="s">
        <v>38</v>
      </c>
    </row>
    <row r="293" spans="1:29" x14ac:dyDescent="0.2">
      <c r="A293">
        <v>952</v>
      </c>
      <c r="B293" s="8">
        <v>46221</v>
      </c>
      <c r="C293" s="9">
        <v>0.44809027777777777</v>
      </c>
      <c r="D293" s="7" t="s">
        <v>18</v>
      </c>
      <c r="E293" s="218" t="s">
        <v>37</v>
      </c>
      <c r="F293" s="16">
        <v>74.556560399999995</v>
      </c>
      <c r="G293" s="129">
        <v>2366.9052700000002</v>
      </c>
      <c r="H293" s="22">
        <v>0</v>
      </c>
      <c r="I293" s="19"/>
      <c r="J293" s="7" t="s">
        <v>27</v>
      </c>
      <c r="K293" s="16"/>
      <c r="L293" s="16"/>
      <c r="M293" s="16"/>
      <c r="N293" s="16"/>
      <c r="O293" s="16"/>
      <c r="P293" s="175"/>
      <c r="R293" s="218" t="s">
        <v>33</v>
      </c>
      <c r="S293" s="22">
        <v>1</v>
      </c>
      <c r="T293" s="19" t="s">
        <v>39</v>
      </c>
      <c r="AA293" s="12" t="s">
        <v>37</v>
      </c>
      <c r="AB293" s="20">
        <v>1</v>
      </c>
      <c r="AC293" s="17" t="s">
        <v>38</v>
      </c>
    </row>
    <row r="294" spans="1:29" x14ac:dyDescent="0.2">
      <c r="A294">
        <v>953</v>
      </c>
      <c r="B294" s="8">
        <v>46221</v>
      </c>
      <c r="C294" s="9">
        <v>0.44828703703703704</v>
      </c>
      <c r="D294" s="7" t="s">
        <v>18</v>
      </c>
      <c r="E294" s="218" t="s">
        <v>33</v>
      </c>
      <c r="F294" s="16">
        <v>85.116757000000007</v>
      </c>
      <c r="G294" s="129">
        <v>2418.4580099999998</v>
      </c>
      <c r="H294" s="22">
        <v>1</v>
      </c>
      <c r="I294" s="169" t="s">
        <v>255</v>
      </c>
      <c r="J294" s="165" t="s">
        <v>27</v>
      </c>
      <c r="K294" s="16">
        <v>80.586885699999996</v>
      </c>
      <c r="L294" s="16">
        <v>32.307323500000003</v>
      </c>
      <c r="M294" s="16">
        <v>-0.97855150000000002</v>
      </c>
      <c r="N294" s="16">
        <v>71.505532700000003</v>
      </c>
      <c r="O294" s="16">
        <v>275</v>
      </c>
      <c r="P294" s="177">
        <v>0.70704681000000003</v>
      </c>
      <c r="R294" s="218" t="s">
        <v>33</v>
      </c>
      <c r="S294" s="22">
        <v>0</v>
      </c>
      <c r="T294" s="19"/>
      <c r="AA294" s="218" t="s">
        <v>37</v>
      </c>
      <c r="AB294" s="22">
        <v>1</v>
      </c>
      <c r="AC294" s="169" t="s">
        <v>38</v>
      </c>
    </row>
    <row r="295" spans="1:29" x14ac:dyDescent="0.2">
      <c r="A295">
        <v>977</v>
      </c>
      <c r="B295" s="8">
        <v>46221</v>
      </c>
      <c r="C295" s="9">
        <v>0.46015046296296297</v>
      </c>
      <c r="D295" s="7" t="s">
        <v>18</v>
      </c>
      <c r="E295" s="218" t="s">
        <v>37</v>
      </c>
      <c r="F295" s="16">
        <v>71.380559099999999</v>
      </c>
      <c r="G295" s="129">
        <v>2079.7976100000001</v>
      </c>
      <c r="H295" s="22">
        <v>0</v>
      </c>
      <c r="I295" s="19"/>
      <c r="J295" s="7" t="s">
        <v>17</v>
      </c>
      <c r="K295" s="16"/>
      <c r="L295" s="16"/>
      <c r="M295" s="16"/>
      <c r="N295" s="16"/>
      <c r="O295" s="16"/>
      <c r="P295" s="177"/>
      <c r="R295" s="218" t="s">
        <v>33</v>
      </c>
      <c r="S295" s="22">
        <v>1</v>
      </c>
      <c r="T295" s="19" t="s">
        <v>40</v>
      </c>
      <c r="AA295" s="218" t="s">
        <v>37</v>
      </c>
      <c r="AB295" s="22">
        <v>1</v>
      </c>
      <c r="AC295" s="19" t="s">
        <v>38</v>
      </c>
    </row>
    <row r="296" spans="1:29" x14ac:dyDescent="0.2">
      <c r="A296">
        <v>978</v>
      </c>
      <c r="B296" s="8">
        <v>46221</v>
      </c>
      <c r="C296" s="9">
        <v>0.46054398148148146</v>
      </c>
      <c r="D296" s="7" t="s">
        <v>18</v>
      </c>
      <c r="E296" s="218" t="s">
        <v>36</v>
      </c>
      <c r="F296" s="16">
        <v>78.113672899999997</v>
      </c>
      <c r="G296" s="129">
        <v>1080.01208</v>
      </c>
      <c r="H296" s="22">
        <v>0</v>
      </c>
      <c r="I296" s="19"/>
      <c r="J296" s="7" t="s">
        <v>17</v>
      </c>
      <c r="K296" s="16"/>
      <c r="L296" s="16"/>
      <c r="M296" s="16"/>
      <c r="N296" s="16"/>
      <c r="O296" s="16"/>
      <c r="P296" s="177"/>
      <c r="R296" s="218" t="s">
        <v>33</v>
      </c>
      <c r="S296" s="22">
        <v>1</v>
      </c>
      <c r="T296" s="19" t="s">
        <v>38</v>
      </c>
      <c r="AA296" s="218" t="s">
        <v>37</v>
      </c>
      <c r="AB296" s="22">
        <v>1</v>
      </c>
      <c r="AC296" s="19" t="s">
        <v>38</v>
      </c>
    </row>
    <row r="297" spans="1:29" x14ac:dyDescent="0.2">
      <c r="A297">
        <v>979</v>
      </c>
      <c r="B297" s="8">
        <v>46221</v>
      </c>
      <c r="C297" s="9">
        <v>0.46072916666666669</v>
      </c>
      <c r="D297" s="7" t="s">
        <v>18</v>
      </c>
      <c r="E297" s="218" t="s">
        <v>33</v>
      </c>
      <c r="F297" s="16">
        <v>82.512435499999995</v>
      </c>
      <c r="G297" s="129">
        <v>2010.1252400000001</v>
      </c>
      <c r="H297" s="22">
        <v>1</v>
      </c>
      <c r="I297" s="19" t="s">
        <v>38</v>
      </c>
      <c r="J297" s="7" t="s">
        <v>17</v>
      </c>
      <c r="K297" s="16"/>
      <c r="L297" s="16"/>
      <c r="M297" s="16"/>
      <c r="N297" s="16">
        <v>67.526775799999996</v>
      </c>
      <c r="O297" s="16"/>
      <c r="P297" s="175"/>
      <c r="R297" s="218" t="s">
        <v>33</v>
      </c>
      <c r="S297" s="22">
        <v>1</v>
      </c>
      <c r="T297" s="19"/>
      <c r="AA297" s="218" t="s">
        <v>37</v>
      </c>
      <c r="AB297" s="22">
        <v>1</v>
      </c>
      <c r="AC297" s="19" t="s">
        <v>38</v>
      </c>
    </row>
    <row r="298" spans="1:29" x14ac:dyDescent="0.2">
      <c r="A298">
        <v>980</v>
      </c>
      <c r="B298" s="8">
        <v>46221</v>
      </c>
      <c r="C298" s="9">
        <v>0.46108796296296295</v>
      </c>
      <c r="D298" s="7" t="s">
        <v>18</v>
      </c>
      <c r="E298" s="218" t="s">
        <v>33</v>
      </c>
      <c r="F298" s="16">
        <v>83.576393199999998</v>
      </c>
      <c r="G298" s="129">
        <v>2348.87842</v>
      </c>
      <c r="H298" s="22">
        <v>0</v>
      </c>
      <c r="I298" s="19"/>
      <c r="J298" s="7" t="s">
        <v>17</v>
      </c>
      <c r="K298" s="16"/>
      <c r="L298" s="16"/>
      <c r="M298" s="16"/>
      <c r="N298" s="16"/>
      <c r="O298" s="16"/>
      <c r="P298" s="175"/>
      <c r="R298" s="218" t="s">
        <v>33</v>
      </c>
      <c r="S298" s="22">
        <v>1</v>
      </c>
      <c r="T298" s="19" t="s">
        <v>45</v>
      </c>
      <c r="AA298" s="218" t="s">
        <v>37</v>
      </c>
      <c r="AB298" s="22">
        <v>1</v>
      </c>
      <c r="AC298" s="19" t="s">
        <v>38</v>
      </c>
    </row>
    <row r="299" spans="1:29" x14ac:dyDescent="0.2">
      <c r="A299">
        <v>981</v>
      </c>
      <c r="B299" s="8">
        <v>46221</v>
      </c>
      <c r="C299" s="9">
        <v>0.46128472222222222</v>
      </c>
      <c r="D299" s="7" t="s">
        <v>18</v>
      </c>
      <c r="E299" s="218" t="s">
        <v>33</v>
      </c>
      <c r="F299" s="16">
        <v>84.2909918</v>
      </c>
      <c r="G299" s="129">
        <v>1149.31104</v>
      </c>
      <c r="H299" s="22">
        <v>1</v>
      </c>
      <c r="I299" s="19" t="s">
        <v>39</v>
      </c>
      <c r="J299" s="7" t="s">
        <v>17</v>
      </c>
      <c r="K299" s="16"/>
      <c r="L299" s="16"/>
      <c r="M299" s="16"/>
      <c r="N299" s="16">
        <v>66.069768999999994</v>
      </c>
      <c r="O299" s="16"/>
      <c r="P299" s="175"/>
      <c r="R299" s="218" t="s">
        <v>33</v>
      </c>
      <c r="S299" s="22">
        <v>0</v>
      </c>
      <c r="T299" s="19"/>
      <c r="AA299" s="218" t="s">
        <v>37</v>
      </c>
      <c r="AB299" s="22">
        <v>1</v>
      </c>
      <c r="AC299" s="19" t="s">
        <v>38</v>
      </c>
    </row>
    <row r="300" spans="1:29" x14ac:dyDescent="0.2">
      <c r="A300">
        <v>982</v>
      </c>
      <c r="B300" s="8">
        <v>46221</v>
      </c>
      <c r="C300" s="9">
        <v>0.46150462962962963</v>
      </c>
      <c r="D300" s="7" t="s">
        <v>18</v>
      </c>
      <c r="E300" s="218" t="s">
        <v>37</v>
      </c>
      <c r="F300" s="16">
        <v>73.8737225</v>
      </c>
      <c r="G300" s="129">
        <v>1094.0849599999999</v>
      </c>
      <c r="H300" s="22">
        <v>1</v>
      </c>
      <c r="I300" s="19" t="s">
        <v>45</v>
      </c>
      <c r="J300" s="7" t="s">
        <v>17</v>
      </c>
      <c r="K300" s="16"/>
      <c r="L300" s="16"/>
      <c r="M300" s="16"/>
      <c r="N300" s="16">
        <v>56.2629758</v>
      </c>
      <c r="O300" s="16"/>
      <c r="P300" s="175"/>
      <c r="R300" s="218" t="s">
        <v>33</v>
      </c>
      <c r="S300" s="22">
        <v>0</v>
      </c>
      <c r="T300" s="19"/>
      <c r="AA300" s="12" t="s">
        <v>37</v>
      </c>
      <c r="AB300" s="20">
        <v>1</v>
      </c>
      <c r="AC300" s="17" t="s">
        <v>38</v>
      </c>
    </row>
    <row r="301" spans="1:29" x14ac:dyDescent="0.2">
      <c r="A301">
        <v>983</v>
      </c>
      <c r="B301" s="8">
        <v>46221</v>
      </c>
      <c r="C301" s="9">
        <v>0.46186342592592594</v>
      </c>
      <c r="D301" s="7" t="s">
        <v>18</v>
      </c>
      <c r="E301" s="218" t="s">
        <v>37</v>
      </c>
      <c r="F301" s="16">
        <v>73.556115599999998</v>
      </c>
      <c r="G301" s="129">
        <v>2277.6110800000001</v>
      </c>
      <c r="H301" s="22">
        <v>0</v>
      </c>
      <c r="I301" s="19"/>
      <c r="J301" s="7" t="s">
        <v>23</v>
      </c>
      <c r="K301" s="16"/>
      <c r="L301" s="16"/>
      <c r="M301" s="16"/>
      <c r="N301" s="16"/>
      <c r="O301" s="16"/>
      <c r="P301" s="175"/>
      <c r="R301" s="218" t="s">
        <v>33</v>
      </c>
      <c r="S301" s="22">
        <v>1</v>
      </c>
      <c r="T301" s="19" t="s">
        <v>39</v>
      </c>
      <c r="AA301" s="12" t="s">
        <v>37</v>
      </c>
      <c r="AB301" s="20">
        <v>1</v>
      </c>
      <c r="AC301" s="17" t="s">
        <v>38</v>
      </c>
    </row>
    <row r="302" spans="1:29" x14ac:dyDescent="0.2">
      <c r="A302">
        <v>984</v>
      </c>
      <c r="B302" s="8">
        <v>46221</v>
      </c>
      <c r="C302" s="9">
        <v>0.46206018518518521</v>
      </c>
      <c r="D302" s="7" t="s">
        <v>18</v>
      </c>
      <c r="E302" s="218" t="s">
        <v>33</v>
      </c>
      <c r="F302" s="16">
        <v>84.036914800000005</v>
      </c>
      <c r="G302" s="129">
        <v>1126.9387200000001</v>
      </c>
      <c r="H302" s="22">
        <v>1</v>
      </c>
      <c r="I302" s="19" t="s">
        <v>39</v>
      </c>
      <c r="J302" s="7" t="s">
        <v>23</v>
      </c>
      <c r="K302" s="16"/>
      <c r="L302" s="16"/>
      <c r="M302" s="16"/>
      <c r="N302" s="16">
        <v>67.190545099999994</v>
      </c>
      <c r="O302" s="16"/>
      <c r="P302" s="175"/>
      <c r="R302" s="218" t="s">
        <v>33</v>
      </c>
      <c r="S302" s="22">
        <v>1</v>
      </c>
      <c r="T302" s="19" t="s">
        <v>38</v>
      </c>
      <c r="AA302" s="218" t="s">
        <v>37</v>
      </c>
      <c r="AB302" s="22">
        <v>1</v>
      </c>
      <c r="AC302" s="19" t="s">
        <v>254</v>
      </c>
    </row>
    <row r="303" spans="1:29" x14ac:dyDescent="0.2">
      <c r="A303">
        <v>985</v>
      </c>
      <c r="B303" s="8">
        <v>46221</v>
      </c>
      <c r="C303" s="9">
        <v>0.46225694444444443</v>
      </c>
      <c r="D303" s="7" t="s">
        <v>18</v>
      </c>
      <c r="E303" s="218" t="s">
        <v>33</v>
      </c>
      <c r="F303" s="16">
        <v>85.497872700000002</v>
      </c>
      <c r="G303" s="129">
        <v>2188.1640600000001</v>
      </c>
      <c r="H303" s="22">
        <v>0</v>
      </c>
      <c r="I303" s="19"/>
      <c r="J303" s="7" t="s">
        <v>23</v>
      </c>
      <c r="K303" s="16"/>
      <c r="L303" s="16"/>
      <c r="M303" s="16"/>
      <c r="N303" s="16"/>
      <c r="O303" s="16"/>
      <c r="P303" s="175"/>
      <c r="R303" s="218" t="s">
        <v>33</v>
      </c>
      <c r="S303" s="22">
        <v>1</v>
      </c>
      <c r="T303" s="19" t="s">
        <v>40</v>
      </c>
      <c r="AA303" s="218" t="s">
        <v>37</v>
      </c>
      <c r="AB303" s="22">
        <v>1</v>
      </c>
      <c r="AC303" s="19" t="s">
        <v>254</v>
      </c>
    </row>
    <row r="304" spans="1:29" x14ac:dyDescent="0.2">
      <c r="A304">
        <v>986</v>
      </c>
      <c r="B304" s="8">
        <v>46221</v>
      </c>
      <c r="C304" s="9">
        <v>0.46251157407407406</v>
      </c>
      <c r="D304" s="7" t="s">
        <v>18</v>
      </c>
      <c r="E304" s="218" t="s">
        <v>36</v>
      </c>
      <c r="F304" s="16">
        <v>78.002519100000001</v>
      </c>
      <c r="G304" s="129">
        <v>2128.9231</v>
      </c>
      <c r="H304" s="22">
        <v>0</v>
      </c>
      <c r="I304" s="19"/>
      <c r="J304" s="7" t="s">
        <v>23</v>
      </c>
      <c r="K304" s="16"/>
      <c r="L304" s="16"/>
      <c r="M304" s="16"/>
      <c r="N304" s="16"/>
      <c r="O304" s="16"/>
      <c r="P304" s="175"/>
      <c r="R304" s="218" t="s">
        <v>37</v>
      </c>
      <c r="S304" s="22">
        <v>0</v>
      </c>
      <c r="T304" s="19"/>
      <c r="AA304" s="12" t="s">
        <v>37</v>
      </c>
      <c r="AB304" s="20">
        <v>1</v>
      </c>
      <c r="AC304" s="17" t="s">
        <v>255</v>
      </c>
    </row>
    <row r="305" spans="1:29" x14ac:dyDescent="0.2">
      <c r="A305">
        <v>987</v>
      </c>
      <c r="B305" s="8">
        <v>46221</v>
      </c>
      <c r="C305" s="9">
        <v>0.46273148148148147</v>
      </c>
      <c r="D305" s="7" t="s">
        <v>18</v>
      </c>
      <c r="E305" s="218" t="s">
        <v>33</v>
      </c>
      <c r="F305" s="16">
        <v>83.465227100000007</v>
      </c>
      <c r="G305" s="129">
        <v>2217.4401899999998</v>
      </c>
      <c r="H305" s="22">
        <v>1</v>
      </c>
      <c r="I305" s="19" t="s">
        <v>255</v>
      </c>
      <c r="J305" s="7" t="s">
        <v>23</v>
      </c>
      <c r="K305" s="16">
        <v>75.140489700000003</v>
      </c>
      <c r="L305" s="16">
        <v>49.926746399999999</v>
      </c>
      <c r="M305" s="16">
        <v>18.119648000000002</v>
      </c>
      <c r="N305" s="16">
        <v>66.125806699999998</v>
      </c>
      <c r="O305" s="16">
        <v>256</v>
      </c>
      <c r="P305" s="175">
        <v>0.70170692000000001</v>
      </c>
      <c r="R305" s="218" t="s">
        <v>37</v>
      </c>
      <c r="S305" s="22">
        <v>0</v>
      </c>
      <c r="T305" s="19"/>
      <c r="AA305" s="218" t="s">
        <v>37</v>
      </c>
      <c r="AB305" s="22">
        <v>1</v>
      </c>
      <c r="AC305" s="19" t="s">
        <v>255</v>
      </c>
    </row>
    <row r="306" spans="1:29" x14ac:dyDescent="0.2">
      <c r="A306">
        <v>988</v>
      </c>
      <c r="B306" s="8">
        <v>46221</v>
      </c>
      <c r="C306" s="9">
        <v>0.46311342592592591</v>
      </c>
      <c r="D306" s="7" t="s">
        <v>18</v>
      </c>
      <c r="E306" s="218" t="s">
        <v>36</v>
      </c>
      <c r="F306" s="16">
        <v>78.320117499999995</v>
      </c>
      <c r="G306" s="129">
        <v>2143.91113</v>
      </c>
      <c r="H306" s="22">
        <v>1</v>
      </c>
      <c r="I306" s="19" t="s">
        <v>254</v>
      </c>
      <c r="J306" s="7" t="s">
        <v>27</v>
      </c>
      <c r="K306" s="16">
        <v>92.828508999999997</v>
      </c>
      <c r="L306" s="16">
        <v>28.918966300000001</v>
      </c>
      <c r="M306" s="16">
        <v>-20.799765000000001</v>
      </c>
      <c r="N306" s="16">
        <v>66.069768999999994</v>
      </c>
      <c r="O306" s="16">
        <v>325</v>
      </c>
      <c r="P306" s="175">
        <v>0.87856500000000004</v>
      </c>
      <c r="R306" s="218" t="s">
        <v>37</v>
      </c>
      <c r="S306" s="22">
        <v>0</v>
      </c>
      <c r="T306" s="19"/>
      <c r="AA306" s="218" t="s">
        <v>37</v>
      </c>
      <c r="AB306" s="22">
        <v>1</v>
      </c>
      <c r="AC306" s="19" t="s">
        <v>255</v>
      </c>
    </row>
    <row r="307" spans="1:29" x14ac:dyDescent="0.2">
      <c r="A307">
        <v>989</v>
      </c>
      <c r="B307" s="8">
        <v>46221</v>
      </c>
      <c r="C307" s="9">
        <v>0.4636689814814815</v>
      </c>
      <c r="D307" s="7" t="s">
        <v>18</v>
      </c>
      <c r="E307" s="218" t="s">
        <v>37</v>
      </c>
      <c r="F307" s="16">
        <v>74.890039200000004</v>
      </c>
      <c r="G307" s="129">
        <v>1170.55664</v>
      </c>
      <c r="H307" s="22">
        <v>0</v>
      </c>
      <c r="I307" s="19"/>
      <c r="J307" s="7" t="s">
        <v>29</v>
      </c>
      <c r="K307" s="16"/>
      <c r="L307" s="16"/>
      <c r="M307" s="16"/>
      <c r="N307" s="16"/>
      <c r="O307" s="16"/>
      <c r="P307" s="175"/>
      <c r="R307" s="218" t="s">
        <v>37</v>
      </c>
      <c r="S307" s="22">
        <v>1</v>
      </c>
      <c r="T307" s="19" t="s">
        <v>40</v>
      </c>
      <c r="AA307" s="218" t="s">
        <v>37</v>
      </c>
      <c r="AB307" s="22">
        <v>1</v>
      </c>
      <c r="AC307" s="19" t="s">
        <v>255</v>
      </c>
    </row>
    <row r="308" spans="1:29" x14ac:dyDescent="0.2">
      <c r="A308">
        <v>990</v>
      </c>
      <c r="B308" s="8">
        <v>46221</v>
      </c>
      <c r="C308" s="9">
        <v>0.46386574074074072</v>
      </c>
      <c r="D308" s="7" t="s">
        <v>18</v>
      </c>
      <c r="E308" s="218" t="s">
        <v>33</v>
      </c>
      <c r="F308" s="16">
        <v>85.672556400000005</v>
      </c>
      <c r="G308" s="129">
        <v>1197.84717</v>
      </c>
      <c r="H308" s="22">
        <v>1</v>
      </c>
      <c r="I308" s="19" t="s">
        <v>38</v>
      </c>
      <c r="J308" s="7" t="s">
        <v>29</v>
      </c>
      <c r="K308" s="16"/>
      <c r="L308" s="16"/>
      <c r="M308" s="16"/>
      <c r="N308" s="16">
        <v>62.091012200000002</v>
      </c>
      <c r="O308" s="16"/>
      <c r="P308" s="175"/>
      <c r="R308" s="218" t="s">
        <v>37</v>
      </c>
      <c r="S308" s="22">
        <v>0</v>
      </c>
      <c r="T308" s="19"/>
      <c r="AA308" s="218" t="s">
        <v>37</v>
      </c>
      <c r="AB308" s="22">
        <v>1</v>
      </c>
      <c r="AC308" s="19" t="s">
        <v>255</v>
      </c>
    </row>
    <row r="309" spans="1:29" x14ac:dyDescent="0.2">
      <c r="A309">
        <v>991</v>
      </c>
      <c r="B309" s="8">
        <v>46221</v>
      </c>
      <c r="C309" s="9">
        <v>0.4642013888888889</v>
      </c>
      <c r="D309" s="7" t="s">
        <v>18</v>
      </c>
      <c r="E309" s="218" t="s">
        <v>33</v>
      </c>
      <c r="F309" s="16">
        <v>84.830915000000005</v>
      </c>
      <c r="G309" s="129">
        <v>2286.35986</v>
      </c>
      <c r="H309" s="22">
        <v>1</v>
      </c>
      <c r="I309" s="19"/>
      <c r="J309" s="7" t="s">
        <v>29</v>
      </c>
      <c r="K309" s="16"/>
      <c r="L309" s="16"/>
      <c r="M309" s="16"/>
      <c r="N309" s="16"/>
      <c r="O309" s="16"/>
      <c r="P309" s="175"/>
      <c r="R309" s="218" t="s">
        <v>37</v>
      </c>
      <c r="S309" s="22">
        <v>1</v>
      </c>
      <c r="T309" s="19" t="s">
        <v>38</v>
      </c>
      <c r="AA309" s="218" t="s">
        <v>37</v>
      </c>
      <c r="AB309" s="22">
        <v>1</v>
      </c>
      <c r="AC309" s="19" t="s">
        <v>255</v>
      </c>
    </row>
    <row r="310" spans="1:29" x14ac:dyDescent="0.2">
      <c r="A310">
        <v>992</v>
      </c>
      <c r="B310" s="8">
        <v>46221</v>
      </c>
      <c r="C310" s="9">
        <v>0.46445601851851853</v>
      </c>
      <c r="D310" s="7" t="s">
        <v>18</v>
      </c>
      <c r="E310" s="218" t="s">
        <v>33</v>
      </c>
      <c r="F310" s="16">
        <v>85.481992199999993</v>
      </c>
      <c r="G310" s="129">
        <v>2295.9716800000001</v>
      </c>
      <c r="H310" s="169">
        <v>1</v>
      </c>
      <c r="I310" s="170" t="s">
        <v>45</v>
      </c>
      <c r="J310" s="165" t="s">
        <v>29</v>
      </c>
      <c r="K310" s="16"/>
      <c r="L310" s="16"/>
      <c r="M310" s="16"/>
      <c r="N310" s="16">
        <v>62.034974499999997</v>
      </c>
      <c r="O310" s="16"/>
      <c r="P310" s="177"/>
      <c r="R310" s="218" t="s">
        <v>37</v>
      </c>
      <c r="S310" s="22">
        <v>1</v>
      </c>
      <c r="T310" s="19"/>
      <c r="AA310" s="218" t="s">
        <v>37</v>
      </c>
      <c r="AB310" s="169">
        <v>1</v>
      </c>
      <c r="AC310" s="170" t="s">
        <v>255</v>
      </c>
    </row>
    <row r="311" spans="1:29" x14ac:dyDescent="0.2">
      <c r="A311">
        <v>1006</v>
      </c>
      <c r="B311" s="8">
        <v>46221</v>
      </c>
      <c r="C311" s="9">
        <v>0.47091435185185188</v>
      </c>
      <c r="D311" s="7" t="s">
        <v>18</v>
      </c>
      <c r="E311" s="218" t="s">
        <v>33</v>
      </c>
      <c r="F311" s="16">
        <v>83.068230700000001</v>
      </c>
      <c r="G311" s="129">
        <v>2146.9565400000001</v>
      </c>
      <c r="H311" s="22">
        <v>0</v>
      </c>
      <c r="I311" s="19"/>
      <c r="J311" s="7" t="s">
        <v>21</v>
      </c>
      <c r="K311" s="16"/>
      <c r="L311" s="16"/>
      <c r="M311" s="16"/>
      <c r="N311" s="16"/>
      <c r="O311" s="16"/>
      <c r="P311" s="175"/>
      <c r="R311" s="218" t="s">
        <v>37</v>
      </c>
      <c r="S311" s="22">
        <v>1</v>
      </c>
      <c r="T311" s="19" t="s">
        <v>45</v>
      </c>
      <c r="AA311" s="218" t="s">
        <v>37</v>
      </c>
      <c r="AB311" s="22">
        <v>1</v>
      </c>
      <c r="AC311" s="19" t="s">
        <v>255</v>
      </c>
    </row>
    <row r="312" spans="1:29" x14ac:dyDescent="0.2">
      <c r="A312">
        <v>1007</v>
      </c>
      <c r="B312" s="8">
        <v>46221</v>
      </c>
      <c r="C312" s="9">
        <v>0.47108796296296296</v>
      </c>
      <c r="D312" s="7" t="s">
        <v>18</v>
      </c>
      <c r="E312" s="218" t="s">
        <v>36</v>
      </c>
      <c r="F312" s="16">
        <v>79.145878600000003</v>
      </c>
      <c r="G312" s="129">
        <v>1562.56519</v>
      </c>
      <c r="H312" s="22">
        <v>0</v>
      </c>
      <c r="I312" s="19"/>
      <c r="J312" s="7" t="s">
        <v>21</v>
      </c>
      <c r="K312" s="16"/>
      <c r="L312" s="16"/>
      <c r="M312" s="16"/>
      <c r="N312" s="16"/>
      <c r="O312" s="16"/>
      <c r="P312" s="175"/>
      <c r="R312" s="218" t="s">
        <v>37</v>
      </c>
      <c r="S312" s="22">
        <v>0</v>
      </c>
      <c r="T312" s="19"/>
      <c r="AA312" s="218" t="s">
        <v>37</v>
      </c>
      <c r="AB312" s="22">
        <v>1</v>
      </c>
      <c r="AC312" s="19" t="s">
        <v>255</v>
      </c>
    </row>
    <row r="313" spans="1:29" x14ac:dyDescent="0.2">
      <c r="A313">
        <v>1008</v>
      </c>
      <c r="B313" s="8">
        <v>46221</v>
      </c>
      <c r="C313" s="9">
        <v>0.47128472222222223</v>
      </c>
      <c r="D313" s="7" t="s">
        <v>18</v>
      </c>
      <c r="E313" s="218" t="s">
        <v>33</v>
      </c>
      <c r="F313" s="16">
        <v>83.576393199999998</v>
      </c>
      <c r="G313" s="129">
        <v>2207.6308600000002</v>
      </c>
      <c r="H313" s="22">
        <v>0</v>
      </c>
      <c r="I313" s="19"/>
      <c r="J313" s="7" t="s">
        <v>21</v>
      </c>
      <c r="K313" s="16"/>
      <c r="L313" s="16"/>
      <c r="M313" s="16"/>
      <c r="N313" s="16"/>
      <c r="O313" s="16"/>
      <c r="P313" s="175"/>
      <c r="R313" s="218" t="s">
        <v>37</v>
      </c>
      <c r="S313" s="22">
        <v>0</v>
      </c>
      <c r="T313" s="19"/>
      <c r="AA313" s="12" t="s">
        <v>37</v>
      </c>
      <c r="AB313" s="20">
        <v>1</v>
      </c>
      <c r="AC313" s="17" t="s">
        <v>255</v>
      </c>
    </row>
    <row r="314" spans="1:29" x14ac:dyDescent="0.2">
      <c r="A314">
        <v>1009</v>
      </c>
      <c r="B314" s="8">
        <v>46221</v>
      </c>
      <c r="C314" s="9">
        <v>0.47153935185185186</v>
      </c>
      <c r="D314" s="7" t="s">
        <v>18</v>
      </c>
      <c r="E314" s="218" t="s">
        <v>33</v>
      </c>
      <c r="F314" s="16">
        <v>82.512435499999995</v>
      </c>
      <c r="G314" s="129">
        <v>1020.05554</v>
      </c>
      <c r="H314" s="22">
        <v>1</v>
      </c>
      <c r="I314" s="19" t="s">
        <v>39</v>
      </c>
      <c r="J314" s="7" t="s">
        <v>21</v>
      </c>
      <c r="K314" s="16"/>
      <c r="L314" s="16"/>
      <c r="M314" s="16"/>
      <c r="N314" s="16">
        <v>66.013731100000001</v>
      </c>
      <c r="O314" s="16"/>
      <c r="P314" s="175"/>
      <c r="R314" s="218" t="s">
        <v>37</v>
      </c>
      <c r="S314" s="22">
        <v>0</v>
      </c>
      <c r="T314" s="19"/>
      <c r="AA314" s="218" t="s">
        <v>37</v>
      </c>
      <c r="AB314" s="22">
        <v>1</v>
      </c>
      <c r="AC314" s="19" t="s">
        <v>45</v>
      </c>
    </row>
    <row r="315" spans="1:29" x14ac:dyDescent="0.2">
      <c r="A315">
        <v>1010</v>
      </c>
      <c r="B315" s="8">
        <v>46221</v>
      </c>
      <c r="C315" s="9">
        <v>0.47175925925925927</v>
      </c>
      <c r="D315" s="7" t="s">
        <v>18</v>
      </c>
      <c r="E315" s="218" t="s">
        <v>33</v>
      </c>
      <c r="F315" s="16">
        <v>81.877238599999998</v>
      </c>
      <c r="G315" s="129">
        <v>2025.3267800000001</v>
      </c>
      <c r="H315" s="22">
        <v>1</v>
      </c>
      <c r="I315" s="19" t="s">
        <v>38</v>
      </c>
      <c r="J315" s="7" t="s">
        <v>21</v>
      </c>
      <c r="K315" s="16"/>
      <c r="L315" s="16"/>
      <c r="M315" s="16"/>
      <c r="N315" s="16">
        <v>62.763477799999997</v>
      </c>
      <c r="O315" s="16"/>
      <c r="P315" s="175"/>
      <c r="R315" s="218" t="s">
        <v>37</v>
      </c>
      <c r="S315" s="22">
        <v>0</v>
      </c>
      <c r="T315" s="19"/>
      <c r="AA315" s="218" t="s">
        <v>37</v>
      </c>
      <c r="AB315" s="22">
        <v>1</v>
      </c>
      <c r="AC315" s="19" t="s">
        <v>45</v>
      </c>
    </row>
    <row r="316" spans="1:29" x14ac:dyDescent="0.2">
      <c r="A316">
        <v>1011</v>
      </c>
      <c r="B316" s="8">
        <v>46221</v>
      </c>
      <c r="C316" s="9">
        <v>0.47200231481481481</v>
      </c>
      <c r="D316" s="7" t="s">
        <v>18</v>
      </c>
      <c r="E316" s="218" t="s">
        <v>33</v>
      </c>
      <c r="F316" s="16">
        <v>84.735633000000007</v>
      </c>
      <c r="G316" s="129">
        <v>2124.4226100000001</v>
      </c>
      <c r="H316" s="22">
        <v>1</v>
      </c>
      <c r="I316" s="19" t="s">
        <v>255</v>
      </c>
      <c r="J316" s="7" t="s">
        <v>21</v>
      </c>
      <c r="K316" s="16">
        <v>80.738308000000004</v>
      </c>
      <c r="L316" s="16">
        <v>25.7418385</v>
      </c>
      <c r="M316" s="16">
        <v>-1.9946839999999999</v>
      </c>
      <c r="N316" s="16">
        <v>66.854310100000006</v>
      </c>
      <c r="O316" s="16">
        <v>251</v>
      </c>
      <c r="P316" s="175">
        <v>0.74618271000000003</v>
      </c>
      <c r="R316" s="218" t="s">
        <v>37</v>
      </c>
      <c r="S316" s="22">
        <v>1</v>
      </c>
      <c r="T316" s="19" t="s">
        <v>45</v>
      </c>
      <c r="AA316" s="218" t="s">
        <v>37</v>
      </c>
      <c r="AB316" s="22">
        <v>1</v>
      </c>
      <c r="AC316" s="19" t="s">
        <v>45</v>
      </c>
    </row>
    <row r="317" spans="1:29" x14ac:dyDescent="0.2">
      <c r="A317">
        <v>1012</v>
      </c>
      <c r="B317" s="8">
        <v>46221</v>
      </c>
      <c r="C317" s="9">
        <v>0.4723148148148148</v>
      </c>
      <c r="D317" s="7" t="s">
        <v>18</v>
      </c>
      <c r="E317" s="218" t="s">
        <v>35</v>
      </c>
      <c r="F317" s="16">
        <v>78.510673100000005</v>
      </c>
      <c r="G317" s="129">
        <v>1404.71021</v>
      </c>
      <c r="H317" s="22">
        <v>1</v>
      </c>
      <c r="I317" s="19" t="s">
        <v>255</v>
      </c>
      <c r="J317" s="7" t="s">
        <v>24</v>
      </c>
      <c r="K317" s="16">
        <v>70.314536500000003</v>
      </c>
      <c r="L317" s="16">
        <v>36.378028899999997</v>
      </c>
      <c r="M317" s="16">
        <v>-5.5192040999999996</v>
      </c>
      <c r="N317" s="16">
        <v>65.845613700000001</v>
      </c>
      <c r="O317" s="16">
        <v>234</v>
      </c>
      <c r="P317" s="175">
        <v>0.66998908999999995</v>
      </c>
      <c r="R317" s="218" t="s">
        <v>37</v>
      </c>
      <c r="S317" s="22">
        <v>0</v>
      </c>
      <c r="T317" s="19"/>
      <c r="AA317" s="12" t="s">
        <v>37</v>
      </c>
      <c r="AB317" s="20">
        <v>1</v>
      </c>
      <c r="AC317" s="17" t="s">
        <v>45</v>
      </c>
    </row>
    <row r="318" spans="1:29" s="155" customFormat="1" x14ac:dyDescent="0.2">
      <c r="A318" s="155">
        <v>1013</v>
      </c>
      <c r="B318" s="163">
        <v>46221</v>
      </c>
      <c r="C318" s="164">
        <v>0.47270833333333334</v>
      </c>
      <c r="D318" s="165" t="s">
        <v>18</v>
      </c>
      <c r="E318" s="219" t="s">
        <v>36</v>
      </c>
      <c r="F318" s="167">
        <v>78.574194500000004</v>
      </c>
      <c r="G318" s="168">
        <v>1561.1862799999999</v>
      </c>
      <c r="H318" s="169">
        <v>1</v>
      </c>
      <c r="I318" s="170" t="s">
        <v>255</v>
      </c>
      <c r="J318" s="165" t="s">
        <v>17</v>
      </c>
      <c r="K318" s="167">
        <v>85.057925499999996</v>
      </c>
      <c r="L318" s="167">
        <v>11.196491200000001</v>
      </c>
      <c r="M318" s="167">
        <v>-18.107143000000001</v>
      </c>
      <c r="N318" s="167">
        <v>68.0311284</v>
      </c>
      <c r="O318" s="167">
        <v>169</v>
      </c>
      <c r="P318" s="176">
        <v>0.79018860000000002</v>
      </c>
      <c r="R318" s="219" t="s">
        <v>37</v>
      </c>
      <c r="S318" s="169">
        <v>0</v>
      </c>
      <c r="T318" s="170"/>
      <c r="AA318" s="217" t="s">
        <v>37</v>
      </c>
      <c r="AB318" s="161">
        <v>1</v>
      </c>
      <c r="AC318" s="162" t="s">
        <v>39</v>
      </c>
    </row>
    <row r="319" spans="1:29" x14ac:dyDescent="0.2">
      <c r="A319">
        <v>1209</v>
      </c>
      <c r="B319" s="1">
        <v>46224</v>
      </c>
      <c r="C319" s="2">
        <v>0.79199074074074072</v>
      </c>
      <c r="D319" t="s">
        <v>18</v>
      </c>
      <c r="E319" s="12" t="s">
        <v>33</v>
      </c>
      <c r="F319" s="11">
        <v>85.413299738000006</v>
      </c>
      <c r="G319" s="4">
        <v>2025.58862</v>
      </c>
      <c r="H319" s="20"/>
      <c r="I319" s="17"/>
      <c r="J319" t="s">
        <v>198</v>
      </c>
      <c r="K319" s="11"/>
      <c r="L319" s="11"/>
      <c r="M319" s="11"/>
      <c r="N319" s="11"/>
      <c r="O319" s="11"/>
      <c r="P319" s="33"/>
      <c r="AA319" s="12" t="s">
        <v>37</v>
      </c>
      <c r="AB319" s="20">
        <v>1</v>
      </c>
      <c r="AC319" s="17" t="s">
        <v>39</v>
      </c>
    </row>
    <row r="320" spans="1:29" x14ac:dyDescent="0.2">
      <c r="A320">
        <v>1210</v>
      </c>
      <c r="B320" s="1">
        <v>46224</v>
      </c>
      <c r="C320" s="2">
        <v>0.79230324074074077</v>
      </c>
      <c r="D320" t="s">
        <v>18</v>
      </c>
      <c r="E320" s="12" t="s">
        <v>33</v>
      </c>
      <c r="F320" s="11">
        <v>83.570300470999996</v>
      </c>
      <c r="G320" s="4">
        <v>2103.4780300000002</v>
      </c>
      <c r="H320" s="20"/>
      <c r="I320" s="17"/>
      <c r="J320" t="s">
        <v>198</v>
      </c>
      <c r="K320" s="11"/>
      <c r="L320" s="11"/>
      <c r="M320" s="11"/>
      <c r="N320" s="11"/>
      <c r="O320" s="11"/>
      <c r="P320" s="33"/>
      <c r="AA320" s="12" t="s">
        <v>37</v>
      </c>
      <c r="AB320" s="20">
        <v>1</v>
      </c>
      <c r="AC320" s="17" t="s">
        <v>39</v>
      </c>
    </row>
    <row r="321" spans="1:29" x14ac:dyDescent="0.2">
      <c r="A321">
        <v>1211</v>
      </c>
      <c r="B321" s="1">
        <v>46224</v>
      </c>
      <c r="C321" s="2">
        <v>0.79302083333333329</v>
      </c>
      <c r="D321" t="s">
        <v>18</v>
      </c>
      <c r="E321" s="12" t="s">
        <v>33</v>
      </c>
      <c r="F321" s="11">
        <v>84.841334216999996</v>
      </c>
      <c r="G321" s="4">
        <v>2167.2145999999998</v>
      </c>
      <c r="H321" s="20"/>
      <c r="I321" s="17"/>
      <c r="J321" t="s">
        <v>198</v>
      </c>
      <c r="K321" s="11"/>
      <c r="L321" s="11"/>
      <c r="M321" s="11"/>
      <c r="N321" s="11"/>
      <c r="O321" s="11"/>
      <c r="P321" s="33"/>
      <c r="AA321" s="218" t="s">
        <v>37</v>
      </c>
      <c r="AB321" s="22">
        <v>1</v>
      </c>
      <c r="AC321" s="19" t="s">
        <v>39</v>
      </c>
    </row>
    <row r="322" spans="1:29" x14ac:dyDescent="0.2">
      <c r="A322">
        <v>1212</v>
      </c>
      <c r="B322" s="1">
        <v>46224</v>
      </c>
      <c r="C322" s="2">
        <v>0.79320601851851846</v>
      </c>
      <c r="D322" t="s">
        <v>18</v>
      </c>
      <c r="E322" s="12" t="s">
        <v>33</v>
      </c>
      <c r="F322" s="11">
        <v>86.112367739000007</v>
      </c>
      <c r="G322" s="4">
        <v>2098.54468</v>
      </c>
      <c r="H322" s="20"/>
      <c r="I322" s="17"/>
      <c r="J322" t="s">
        <v>198</v>
      </c>
      <c r="K322" s="11"/>
      <c r="L322" s="11"/>
      <c r="M322" s="11"/>
      <c r="N322" s="11"/>
      <c r="O322" s="11"/>
      <c r="P322" s="33"/>
      <c r="AA322" s="218" t="s">
        <v>37</v>
      </c>
      <c r="AB322" s="22">
        <v>1</v>
      </c>
      <c r="AC322" s="19" t="s">
        <v>39</v>
      </c>
    </row>
    <row r="323" spans="1:29" x14ac:dyDescent="0.2">
      <c r="A323">
        <v>1213</v>
      </c>
      <c r="B323" s="1">
        <v>46224</v>
      </c>
      <c r="C323" s="2">
        <v>0.79341435185185183</v>
      </c>
      <c r="D323" t="s">
        <v>18</v>
      </c>
      <c r="E323" s="12" t="s">
        <v>33</v>
      </c>
      <c r="F323" s="11">
        <v>85.794607400999993</v>
      </c>
      <c r="G323" s="4">
        <v>2100.03784</v>
      </c>
      <c r="H323" s="20"/>
      <c r="I323" s="17"/>
      <c r="J323" t="s">
        <v>198</v>
      </c>
      <c r="K323" s="11"/>
      <c r="L323" s="11"/>
      <c r="M323" s="11"/>
      <c r="N323" s="11"/>
      <c r="O323" s="11"/>
      <c r="P323" s="33"/>
      <c r="AA323" s="12" t="s">
        <v>37</v>
      </c>
      <c r="AB323" s="20">
        <v>1</v>
      </c>
      <c r="AC323" s="17" t="s">
        <v>39</v>
      </c>
    </row>
    <row r="324" spans="1:29" x14ac:dyDescent="0.2">
      <c r="A324">
        <v>1214</v>
      </c>
      <c r="B324" s="1">
        <v>46224</v>
      </c>
      <c r="C324" s="2">
        <v>0.7936805555555555</v>
      </c>
      <c r="D324" t="s">
        <v>18</v>
      </c>
      <c r="E324" s="12" t="s">
        <v>33</v>
      </c>
      <c r="F324" s="11">
        <v>87.240410049000005</v>
      </c>
      <c r="G324" s="4">
        <v>2066.4841299999998</v>
      </c>
      <c r="H324" s="20"/>
      <c r="I324" s="17"/>
      <c r="J324" t="s">
        <v>198</v>
      </c>
      <c r="K324" s="11"/>
      <c r="L324" s="11"/>
      <c r="M324" s="11"/>
      <c r="N324" s="11"/>
      <c r="O324" s="11"/>
      <c r="P324" s="33"/>
      <c r="AA324" s="12" t="s">
        <v>37</v>
      </c>
      <c r="AB324" s="20">
        <v>1</v>
      </c>
      <c r="AC324" s="17" t="s">
        <v>39</v>
      </c>
    </row>
    <row r="325" spans="1:29" x14ac:dyDescent="0.2">
      <c r="A325">
        <v>1215</v>
      </c>
      <c r="B325" s="1">
        <v>46224</v>
      </c>
      <c r="C325" s="2">
        <v>0.79405092592592597</v>
      </c>
      <c r="D325" t="s">
        <v>18</v>
      </c>
      <c r="E325" s="12" t="s">
        <v>33</v>
      </c>
      <c r="F325" s="11">
        <v>85.333863903999998</v>
      </c>
      <c r="G325" s="4">
        <v>1959.43884</v>
      </c>
      <c r="H325" s="20"/>
      <c r="I325" s="17"/>
      <c r="J325" t="s">
        <v>198</v>
      </c>
      <c r="K325" s="11"/>
      <c r="L325" s="11"/>
      <c r="M325" s="11"/>
      <c r="N325" s="11"/>
      <c r="O325" s="11"/>
      <c r="P325" s="33"/>
      <c r="AA325" s="12" t="s">
        <v>37</v>
      </c>
      <c r="AB325" s="20">
        <v>1</v>
      </c>
      <c r="AC325" s="17" t="s">
        <v>39</v>
      </c>
    </row>
    <row r="326" spans="1:29" x14ac:dyDescent="0.2">
      <c r="A326">
        <v>1216</v>
      </c>
      <c r="B326" s="1">
        <v>46224</v>
      </c>
      <c r="C326" s="2">
        <v>0.7944444444444444</v>
      </c>
      <c r="D326" t="s">
        <v>18</v>
      </c>
      <c r="E326" s="12" t="s">
        <v>33</v>
      </c>
      <c r="F326" s="11">
        <v>87.446948586999994</v>
      </c>
      <c r="G326" s="4">
        <v>2120.1472199999998</v>
      </c>
      <c r="H326" s="20"/>
      <c r="I326" s="17"/>
      <c r="J326" t="s">
        <v>198</v>
      </c>
      <c r="K326" s="11"/>
      <c r="L326" s="11"/>
      <c r="M326" s="11"/>
      <c r="N326" s="11"/>
      <c r="O326" s="11"/>
      <c r="P326" s="33"/>
      <c r="AA326" s="12" t="s">
        <v>37</v>
      </c>
      <c r="AB326" s="20">
        <v>0</v>
      </c>
      <c r="AC326" s="17"/>
    </row>
    <row r="327" spans="1:29" x14ac:dyDescent="0.2">
      <c r="A327">
        <v>1217</v>
      </c>
      <c r="B327" s="1">
        <v>46224</v>
      </c>
      <c r="C327" s="2">
        <v>0.79479166666666667</v>
      </c>
      <c r="D327" t="s">
        <v>18</v>
      </c>
      <c r="E327" s="12" t="s">
        <v>33</v>
      </c>
      <c r="F327" s="11">
        <v>87.637606668000004</v>
      </c>
      <c r="G327" s="4">
        <v>2255.6044900000002</v>
      </c>
      <c r="H327" s="20"/>
      <c r="I327" s="17"/>
      <c r="J327" t="s">
        <v>198</v>
      </c>
      <c r="K327" s="11"/>
      <c r="L327" s="11"/>
      <c r="M327" s="11"/>
      <c r="N327" s="11"/>
      <c r="O327" s="11"/>
      <c r="P327" s="33"/>
      <c r="AA327" s="12" t="s">
        <v>37</v>
      </c>
      <c r="AB327" s="20">
        <v>0</v>
      </c>
      <c r="AC327" s="17"/>
    </row>
    <row r="328" spans="1:29" x14ac:dyDescent="0.2">
      <c r="A328">
        <v>1218</v>
      </c>
      <c r="B328" s="1">
        <v>46224</v>
      </c>
      <c r="C328" s="2">
        <v>0.79505787037037035</v>
      </c>
      <c r="D328" t="s">
        <v>18</v>
      </c>
      <c r="E328" s="12" t="s">
        <v>33</v>
      </c>
      <c r="F328" s="11">
        <v>88.908631690000007</v>
      </c>
      <c r="G328" s="4">
        <v>2269.89</v>
      </c>
      <c r="H328" s="20"/>
      <c r="I328" s="17"/>
      <c r="J328" t="s">
        <v>198</v>
      </c>
      <c r="K328" s="11"/>
      <c r="L328" s="11"/>
      <c r="M328" s="11"/>
      <c r="N328" s="11"/>
      <c r="O328" s="11"/>
      <c r="P328" s="33"/>
      <c r="AA328" s="218" t="s">
        <v>37</v>
      </c>
      <c r="AB328" s="22">
        <v>0</v>
      </c>
      <c r="AC328" s="19"/>
    </row>
    <row r="329" spans="1:29" x14ac:dyDescent="0.2">
      <c r="A329">
        <v>1219</v>
      </c>
      <c r="B329" s="1">
        <v>46224</v>
      </c>
      <c r="C329" s="2">
        <v>0.79537037037037039</v>
      </c>
      <c r="D329" t="s">
        <v>18</v>
      </c>
      <c r="E329" s="12" t="s">
        <v>33</v>
      </c>
      <c r="F329" s="11">
        <v>86.811435963999998</v>
      </c>
      <c r="G329" s="4">
        <v>2208.8671899999999</v>
      </c>
      <c r="H329" s="20"/>
      <c r="I329" s="17"/>
      <c r="J329" t="s">
        <v>198</v>
      </c>
      <c r="K329" s="11"/>
      <c r="L329" s="11"/>
      <c r="M329" s="11"/>
      <c r="N329" s="11"/>
      <c r="O329" s="11"/>
      <c r="P329" s="33"/>
      <c r="AA329" s="218" t="s">
        <v>37</v>
      </c>
      <c r="AB329" s="22">
        <v>1</v>
      </c>
      <c r="AC329" s="19"/>
    </row>
    <row r="330" spans="1:29" x14ac:dyDescent="0.2">
      <c r="A330">
        <v>1220</v>
      </c>
      <c r="B330" s="1">
        <v>46224</v>
      </c>
      <c r="C330" s="2">
        <v>0.79568287037037033</v>
      </c>
      <c r="D330" t="s">
        <v>18</v>
      </c>
      <c r="E330" s="12" t="s">
        <v>33</v>
      </c>
      <c r="F330" s="11">
        <v>87.256299005000002</v>
      </c>
      <c r="G330" s="4">
        <v>2128.0383299999999</v>
      </c>
      <c r="H330" s="20"/>
      <c r="I330" s="17"/>
      <c r="J330" t="s">
        <v>198</v>
      </c>
      <c r="K330" s="11"/>
      <c r="L330" s="11"/>
      <c r="M330" s="11"/>
      <c r="N330" s="11"/>
      <c r="O330" s="11"/>
      <c r="P330" s="33"/>
      <c r="AA330" s="218" t="s">
        <v>37</v>
      </c>
      <c r="AB330" s="22">
        <v>1</v>
      </c>
      <c r="AC330" s="19"/>
    </row>
    <row r="331" spans="1:29" x14ac:dyDescent="0.2">
      <c r="A331">
        <v>1221</v>
      </c>
      <c r="B331" s="1">
        <v>46224</v>
      </c>
      <c r="C331" s="2">
        <v>0.7961111111111111</v>
      </c>
      <c r="D331" t="s">
        <v>18</v>
      </c>
      <c r="E331" s="12" t="s">
        <v>33</v>
      </c>
      <c r="F331" s="11">
        <v>87.002085545</v>
      </c>
      <c r="G331" s="4">
        <v>2323.6635700000002</v>
      </c>
      <c r="H331" s="20"/>
      <c r="I331" s="17"/>
      <c r="J331" t="s">
        <v>198</v>
      </c>
      <c r="K331" s="11"/>
      <c r="L331" s="11"/>
      <c r="M331" s="11"/>
      <c r="N331" s="11"/>
      <c r="O331" s="11"/>
      <c r="P331" s="33"/>
      <c r="AA331" s="218" t="s">
        <v>37</v>
      </c>
      <c r="AB331" s="22">
        <v>1</v>
      </c>
      <c r="AC331" s="19"/>
    </row>
    <row r="332" spans="1:29" x14ac:dyDescent="0.2">
      <c r="A332">
        <v>1222</v>
      </c>
      <c r="B332" s="1">
        <v>46224</v>
      </c>
      <c r="C332" s="2">
        <v>0.79636574074074074</v>
      </c>
      <c r="D332" t="s">
        <v>18</v>
      </c>
      <c r="E332" s="12" t="s">
        <v>33</v>
      </c>
      <c r="F332" s="11">
        <v>86.986196589000002</v>
      </c>
      <c r="G332" s="4">
        <v>1842.7384</v>
      </c>
      <c r="H332" s="20"/>
      <c r="I332" s="17"/>
      <c r="J332" t="s">
        <v>198</v>
      </c>
      <c r="K332" s="11"/>
      <c r="L332" s="11"/>
      <c r="M332" s="11"/>
      <c r="N332" s="11"/>
      <c r="O332" s="11"/>
      <c r="P332" s="172"/>
      <c r="AA332" s="218" t="s">
        <v>37</v>
      </c>
      <c r="AB332" s="22">
        <v>0</v>
      </c>
      <c r="AC332" s="19"/>
    </row>
    <row r="333" spans="1:29" x14ac:dyDescent="0.2">
      <c r="A333">
        <v>1223</v>
      </c>
      <c r="B333" s="1">
        <v>46224</v>
      </c>
      <c r="C333" s="2">
        <v>0.79673611111111109</v>
      </c>
      <c r="D333" t="s">
        <v>18</v>
      </c>
      <c r="E333" s="12" t="s">
        <v>33</v>
      </c>
      <c r="F333" s="11">
        <v>86.986196589000002</v>
      </c>
      <c r="G333" s="4">
        <v>2267.1044900000002</v>
      </c>
      <c r="H333" s="20"/>
      <c r="I333" s="17"/>
      <c r="J333" t="s">
        <v>198</v>
      </c>
      <c r="K333" s="11"/>
      <c r="L333" s="11"/>
      <c r="M333" s="11"/>
      <c r="N333" s="11"/>
      <c r="O333" s="11"/>
      <c r="P333" s="33"/>
      <c r="AA333" s="218" t="s">
        <v>37</v>
      </c>
      <c r="AB333" s="22">
        <v>0</v>
      </c>
      <c r="AC333" s="169"/>
    </row>
    <row r="334" spans="1:29" x14ac:dyDescent="0.2">
      <c r="A334">
        <v>1224</v>
      </c>
      <c r="B334" s="1">
        <v>46224</v>
      </c>
      <c r="C334" s="2">
        <v>0.79710648148148144</v>
      </c>
      <c r="D334" t="s">
        <v>18</v>
      </c>
      <c r="E334" s="12" t="s">
        <v>33</v>
      </c>
      <c r="F334" s="11">
        <v>85.667504696999998</v>
      </c>
      <c r="G334" s="4">
        <v>2213.60889</v>
      </c>
      <c r="H334" s="20"/>
      <c r="I334" s="17"/>
      <c r="J334" t="s">
        <v>198</v>
      </c>
      <c r="K334" s="11"/>
      <c r="L334" s="11"/>
      <c r="M334" s="11"/>
      <c r="N334" s="11"/>
      <c r="O334" s="11"/>
      <c r="P334" s="33"/>
      <c r="AA334" s="218" t="s">
        <v>37</v>
      </c>
      <c r="AB334" s="22">
        <v>0</v>
      </c>
      <c r="AC334" s="19"/>
    </row>
    <row r="335" spans="1:29" x14ac:dyDescent="0.2">
      <c r="A335">
        <v>1225</v>
      </c>
      <c r="B335" s="1">
        <v>46224</v>
      </c>
      <c r="C335" s="2">
        <v>0.79753472222222221</v>
      </c>
      <c r="D335" t="s">
        <v>18</v>
      </c>
      <c r="E335" s="12" t="s">
        <v>33</v>
      </c>
      <c r="F335" s="11">
        <v>85.524513485</v>
      </c>
      <c r="G335" s="4">
        <v>2172.01953</v>
      </c>
      <c r="H335" s="20"/>
      <c r="I335" s="17"/>
      <c r="J335" t="s">
        <v>198</v>
      </c>
      <c r="K335" s="11"/>
      <c r="L335" s="11"/>
      <c r="M335" s="11"/>
      <c r="N335" s="11"/>
      <c r="O335" s="11"/>
      <c r="P335" s="33"/>
      <c r="AA335" s="218" t="s">
        <v>37</v>
      </c>
      <c r="AB335" s="22">
        <v>1</v>
      </c>
      <c r="AC335" s="19"/>
    </row>
    <row r="336" spans="1:29" x14ac:dyDescent="0.2">
      <c r="A336">
        <v>1226</v>
      </c>
      <c r="B336" s="1">
        <v>46224</v>
      </c>
      <c r="C336" s="2">
        <v>0.79796296296296299</v>
      </c>
      <c r="D336" t="s">
        <v>18</v>
      </c>
      <c r="E336" s="12" t="s">
        <v>33</v>
      </c>
      <c r="F336" s="11">
        <v>85.333863903999998</v>
      </c>
      <c r="G336" s="4">
        <v>2207.8496100000002</v>
      </c>
      <c r="H336" s="20"/>
      <c r="I336" s="17"/>
      <c r="J336" t="s">
        <v>198</v>
      </c>
      <c r="K336" s="11"/>
      <c r="L336" s="11"/>
      <c r="M336" s="11"/>
      <c r="N336" s="11"/>
      <c r="O336" s="11"/>
      <c r="P336" s="33"/>
      <c r="AA336" s="218" t="s">
        <v>37</v>
      </c>
      <c r="AB336" s="22">
        <v>0</v>
      </c>
      <c r="AC336" s="19"/>
    </row>
    <row r="337" spans="1:29" s="155" customFormat="1" x14ac:dyDescent="0.2">
      <c r="A337" s="155">
        <v>1227</v>
      </c>
      <c r="B337" s="156">
        <v>46224</v>
      </c>
      <c r="C337" s="157">
        <v>0.79835648148148153</v>
      </c>
      <c r="D337" s="155" t="s">
        <v>18</v>
      </c>
      <c r="E337" s="217" t="s">
        <v>33</v>
      </c>
      <c r="F337" s="159">
        <v>86.223581486</v>
      </c>
      <c r="G337" s="160">
        <v>2206.6452599999998</v>
      </c>
      <c r="H337" s="161"/>
      <c r="I337" s="162"/>
      <c r="J337" s="155" t="s">
        <v>198</v>
      </c>
      <c r="K337" s="159"/>
      <c r="L337" s="159"/>
      <c r="M337" s="159"/>
      <c r="N337" s="159"/>
      <c r="O337" s="159"/>
      <c r="P337" s="174"/>
      <c r="AA337" s="218" t="s">
        <v>37</v>
      </c>
      <c r="AB337" s="22">
        <v>0</v>
      </c>
      <c r="AC337" s="19"/>
    </row>
    <row r="338" spans="1:29" x14ac:dyDescent="0.2">
      <c r="A338">
        <v>1232</v>
      </c>
      <c r="B338" s="1">
        <v>46228</v>
      </c>
      <c r="C338" s="2">
        <v>0.44135416666666666</v>
      </c>
      <c r="D338" t="s">
        <v>18</v>
      </c>
      <c r="E338" s="12" t="s">
        <v>36</v>
      </c>
      <c r="F338" s="11">
        <v>76.414518477000001</v>
      </c>
      <c r="G338" s="4">
        <v>2087.0414999999998</v>
      </c>
      <c r="H338" s="20">
        <v>0</v>
      </c>
      <c r="I338" s="17"/>
      <c r="J338" t="s">
        <v>19</v>
      </c>
      <c r="K338" s="11"/>
      <c r="L338" s="11"/>
      <c r="M338" s="11"/>
      <c r="N338" s="11"/>
      <c r="O338" s="11"/>
      <c r="P338" s="33"/>
      <c r="R338" s="12"/>
      <c r="S338" s="20"/>
      <c r="T338" s="17"/>
      <c r="AA338" s="218" t="s">
        <v>37</v>
      </c>
      <c r="AB338" s="22">
        <v>0</v>
      </c>
      <c r="AC338" s="19"/>
    </row>
    <row r="339" spans="1:29" x14ac:dyDescent="0.2">
      <c r="A339">
        <v>1233</v>
      </c>
      <c r="B339" s="1">
        <v>46228</v>
      </c>
      <c r="C339" s="2">
        <v>0.44153935185185184</v>
      </c>
      <c r="D339" t="s">
        <v>18</v>
      </c>
      <c r="E339" s="12" t="s">
        <v>37</v>
      </c>
      <c r="F339" s="11">
        <v>71.650516549000002</v>
      </c>
      <c r="G339" s="4">
        <v>2064.3835399999998</v>
      </c>
      <c r="H339" s="20">
        <v>0</v>
      </c>
      <c r="I339" s="17"/>
      <c r="J339" t="s">
        <v>19</v>
      </c>
      <c r="K339" s="11"/>
      <c r="L339" s="11"/>
      <c r="M339" s="11"/>
      <c r="N339" s="11"/>
      <c r="O339" s="11"/>
      <c r="P339" s="33"/>
      <c r="R339" s="12"/>
      <c r="S339" s="20"/>
      <c r="T339" s="17"/>
      <c r="AA339" s="218" t="s">
        <v>37</v>
      </c>
      <c r="AB339" s="22">
        <v>0</v>
      </c>
      <c r="AC339" s="19"/>
    </row>
    <row r="340" spans="1:29" x14ac:dyDescent="0.2">
      <c r="A340">
        <v>1234</v>
      </c>
      <c r="B340" s="1">
        <v>46228</v>
      </c>
      <c r="C340" s="2">
        <v>0.4418287037037037</v>
      </c>
      <c r="D340" t="s">
        <v>18</v>
      </c>
      <c r="E340" s="12" t="s">
        <v>33</v>
      </c>
      <c r="F340" s="11">
        <v>83.338196439000001</v>
      </c>
      <c r="G340" s="4">
        <v>1074.7832000000001</v>
      </c>
      <c r="H340" s="20">
        <v>0</v>
      </c>
      <c r="I340" s="17"/>
      <c r="J340" t="s">
        <v>19</v>
      </c>
      <c r="K340" s="11"/>
      <c r="L340" s="11"/>
      <c r="M340" s="11"/>
      <c r="N340" s="11"/>
      <c r="O340" s="11"/>
      <c r="P340" s="33"/>
      <c r="R340" s="12"/>
      <c r="S340" s="20"/>
      <c r="T340" s="17"/>
      <c r="AA340" s="218" t="s">
        <v>37</v>
      </c>
      <c r="AB340" s="22">
        <v>0</v>
      </c>
      <c r="AC340" s="19"/>
    </row>
    <row r="341" spans="1:29" x14ac:dyDescent="0.2">
      <c r="A341">
        <v>1235</v>
      </c>
      <c r="B341" s="1">
        <v>46228</v>
      </c>
      <c r="C341" s="2">
        <v>0.44206018518518519</v>
      </c>
      <c r="D341" t="s">
        <v>18</v>
      </c>
      <c r="E341" s="12" t="s">
        <v>36</v>
      </c>
      <c r="F341" s="11">
        <v>76.795638237999995</v>
      </c>
      <c r="G341" s="4">
        <v>703.89575200000002</v>
      </c>
      <c r="H341" s="20">
        <v>1</v>
      </c>
      <c r="I341" s="17" t="s">
        <v>255</v>
      </c>
      <c r="J341" t="s">
        <v>19</v>
      </c>
      <c r="K341" s="11">
        <v>68.149130329000002</v>
      </c>
      <c r="L341" s="11">
        <v>-15.889655100000001</v>
      </c>
      <c r="M341" s="11">
        <v>-10.454004299999999</v>
      </c>
      <c r="N341" s="11">
        <v>60.505157634</v>
      </c>
      <c r="O341" s="11">
        <v>9</v>
      </c>
      <c r="P341" s="33">
        <v>0.69704017600000001</v>
      </c>
      <c r="R341" s="12"/>
      <c r="S341" s="20"/>
      <c r="T341" s="17"/>
      <c r="AA341" s="218" t="s">
        <v>37</v>
      </c>
      <c r="AB341" s="22">
        <v>0</v>
      </c>
      <c r="AC341" s="19"/>
    </row>
    <row r="342" spans="1:29" x14ac:dyDescent="0.2">
      <c r="A342">
        <v>1236</v>
      </c>
      <c r="B342" s="1">
        <v>46228</v>
      </c>
      <c r="C342" s="2">
        <v>0.44243055555555555</v>
      </c>
      <c r="D342" t="s">
        <v>18</v>
      </c>
      <c r="E342" s="12" t="s">
        <v>33</v>
      </c>
      <c r="F342" s="11">
        <v>84.036914807000002</v>
      </c>
      <c r="G342" s="4">
        <v>1152.67383</v>
      </c>
      <c r="H342" s="20">
        <v>0</v>
      </c>
      <c r="I342" s="17"/>
      <c r="J342" t="s">
        <v>17</v>
      </c>
      <c r="K342" s="11"/>
      <c r="L342" s="11"/>
      <c r="M342" s="11"/>
      <c r="N342" s="11"/>
      <c r="O342" s="11"/>
      <c r="P342" s="33"/>
      <c r="R342" s="12"/>
      <c r="S342" s="20"/>
      <c r="T342" s="17"/>
      <c r="AA342" s="218" t="s">
        <v>37</v>
      </c>
      <c r="AB342" s="22">
        <v>0</v>
      </c>
      <c r="AC342" s="19"/>
    </row>
    <row r="343" spans="1:29" x14ac:dyDescent="0.2">
      <c r="A343">
        <v>1237</v>
      </c>
      <c r="B343" s="1">
        <v>46228</v>
      </c>
      <c r="C343" s="2">
        <v>0.44260416666666669</v>
      </c>
      <c r="D343" t="s">
        <v>18</v>
      </c>
      <c r="E343" s="12" t="s">
        <v>37</v>
      </c>
      <c r="F343" s="11">
        <v>72.015764578000002</v>
      </c>
      <c r="G343" s="4">
        <v>717.45245399999999</v>
      </c>
      <c r="H343" s="20">
        <v>1</v>
      </c>
      <c r="I343" s="17" t="s">
        <v>39</v>
      </c>
      <c r="J343" t="s">
        <v>17</v>
      </c>
      <c r="K343" s="11"/>
      <c r="L343" s="11"/>
      <c r="M343" s="11"/>
      <c r="N343" s="11">
        <v>62.276319938</v>
      </c>
      <c r="O343" s="11"/>
      <c r="P343" s="33"/>
      <c r="R343" s="12"/>
      <c r="S343" s="20"/>
      <c r="T343" s="17"/>
      <c r="AA343" s="218" t="s">
        <v>37</v>
      </c>
      <c r="AB343" s="22">
        <v>1</v>
      </c>
      <c r="AC343" s="19"/>
    </row>
    <row r="344" spans="1:29" x14ac:dyDescent="0.2">
      <c r="A344">
        <v>1238</v>
      </c>
      <c r="B344" s="1">
        <v>46228</v>
      </c>
      <c r="C344" s="2">
        <v>0.44282407407407409</v>
      </c>
      <c r="D344" t="s">
        <v>18</v>
      </c>
      <c r="E344" s="12" t="s">
        <v>33</v>
      </c>
      <c r="F344" s="11">
        <v>84.148077103999995</v>
      </c>
      <c r="G344" s="4">
        <v>1100.81458</v>
      </c>
      <c r="H344" s="20">
        <v>1</v>
      </c>
      <c r="I344" s="17"/>
      <c r="J344" t="s">
        <v>17</v>
      </c>
      <c r="K344" s="11"/>
      <c r="L344" s="11"/>
      <c r="M344" s="11"/>
      <c r="N344" s="11"/>
      <c r="O344" s="11"/>
      <c r="P344" s="33"/>
      <c r="R344" s="12"/>
      <c r="S344" s="20"/>
      <c r="T344" s="17"/>
      <c r="AA344" s="218" t="s">
        <v>37</v>
      </c>
      <c r="AB344" s="22">
        <v>0</v>
      </c>
      <c r="AC344" s="19"/>
    </row>
    <row r="345" spans="1:29" x14ac:dyDescent="0.2">
      <c r="A345">
        <v>1239</v>
      </c>
      <c r="B345" s="1">
        <v>46228</v>
      </c>
      <c r="C345" s="2">
        <v>0.4430324074074074</v>
      </c>
      <c r="D345" t="s">
        <v>18</v>
      </c>
      <c r="E345" s="12" t="s">
        <v>37</v>
      </c>
      <c r="F345" s="11">
        <v>71.650516549000002</v>
      </c>
      <c r="G345" s="4">
        <v>2125.56421</v>
      </c>
      <c r="H345" s="20">
        <v>0</v>
      </c>
      <c r="I345" s="17"/>
      <c r="J345" t="s">
        <v>17</v>
      </c>
      <c r="K345" s="11"/>
      <c r="L345" s="11"/>
      <c r="M345" s="11"/>
      <c r="N345" s="11"/>
      <c r="O345" s="11"/>
      <c r="P345" s="33"/>
      <c r="R345" s="12"/>
      <c r="S345" s="20"/>
      <c r="T345" s="17"/>
      <c r="AA345" s="218" t="s">
        <v>37</v>
      </c>
      <c r="AB345" s="22">
        <v>1</v>
      </c>
      <c r="AC345" s="19"/>
    </row>
    <row r="346" spans="1:29" x14ac:dyDescent="0.2">
      <c r="A346">
        <v>1240</v>
      </c>
      <c r="B346" s="1">
        <v>46228</v>
      </c>
      <c r="C346" s="2">
        <v>0.44324074074074077</v>
      </c>
      <c r="D346" t="s">
        <v>18</v>
      </c>
      <c r="E346" s="12" t="s">
        <v>37</v>
      </c>
      <c r="F346" s="11">
        <v>72.460396767000006</v>
      </c>
      <c r="G346" s="4">
        <v>2073.18579</v>
      </c>
      <c r="H346" s="20">
        <v>1</v>
      </c>
      <c r="I346" s="17" t="s">
        <v>45</v>
      </c>
      <c r="J346" t="s">
        <v>17</v>
      </c>
      <c r="K346" s="11"/>
      <c r="L346" s="11"/>
      <c r="M346" s="11"/>
      <c r="N346" s="11">
        <v>53.077707369000002</v>
      </c>
      <c r="O346" s="11"/>
      <c r="P346" s="33"/>
      <c r="R346" s="12"/>
      <c r="S346" s="20"/>
      <c r="T346" s="17"/>
      <c r="AA346" s="218" t="s">
        <v>37</v>
      </c>
      <c r="AB346" s="22">
        <v>0</v>
      </c>
      <c r="AC346" s="19"/>
    </row>
    <row r="347" spans="1:29" x14ac:dyDescent="0.2">
      <c r="A347">
        <v>1241</v>
      </c>
      <c r="B347" s="1">
        <v>46228</v>
      </c>
      <c r="C347" s="2">
        <v>0.44362268518518516</v>
      </c>
      <c r="D347" t="s">
        <v>18</v>
      </c>
      <c r="E347" s="12" t="s">
        <v>37</v>
      </c>
      <c r="F347" s="11">
        <v>72.857397430999995</v>
      </c>
      <c r="G347" s="4">
        <v>1076.51172</v>
      </c>
      <c r="H347" s="20">
        <v>0</v>
      </c>
      <c r="I347" s="17"/>
      <c r="J347" t="s">
        <v>20</v>
      </c>
      <c r="K347" s="11"/>
      <c r="L347" s="11"/>
      <c r="M347" s="11"/>
      <c r="N347" s="11"/>
      <c r="O347" s="11"/>
      <c r="P347" s="33"/>
      <c r="R347" s="12"/>
      <c r="S347" s="20"/>
      <c r="T347" s="17"/>
      <c r="AA347" s="218" t="s">
        <v>37</v>
      </c>
      <c r="AB347" s="22">
        <v>0</v>
      </c>
      <c r="AC347" s="19"/>
    </row>
    <row r="348" spans="1:29" x14ac:dyDescent="0.2">
      <c r="A348">
        <v>1242</v>
      </c>
      <c r="B348" s="1">
        <v>46228</v>
      </c>
      <c r="C348" s="2">
        <v>0.44380787037037039</v>
      </c>
      <c r="D348" t="s">
        <v>18</v>
      </c>
      <c r="E348" s="12" t="s">
        <v>36</v>
      </c>
      <c r="F348" s="11">
        <v>77.240281612000004</v>
      </c>
      <c r="G348" s="4">
        <v>745.45208700000001</v>
      </c>
      <c r="H348" s="20">
        <v>1</v>
      </c>
      <c r="I348" s="17" t="s">
        <v>254</v>
      </c>
      <c r="J348" t="s">
        <v>20</v>
      </c>
      <c r="K348" s="11">
        <v>96.9079835</v>
      </c>
      <c r="L348" s="11">
        <v>33.589733099999997</v>
      </c>
      <c r="M348" s="11">
        <v>-2.5936512899999999</v>
      </c>
      <c r="N348" s="11">
        <v>68.789621924000002</v>
      </c>
      <c r="O348" s="11">
        <v>359</v>
      </c>
      <c r="P348" s="33">
        <v>0.90009437599999997</v>
      </c>
      <c r="R348" s="12"/>
      <c r="S348" s="20"/>
      <c r="T348" s="17"/>
      <c r="AA348" s="218" t="s">
        <v>37</v>
      </c>
      <c r="AB348" s="22">
        <v>0</v>
      </c>
      <c r="AC348" s="19"/>
    </row>
    <row r="349" spans="1:29" x14ac:dyDescent="0.2">
      <c r="A349">
        <v>1243</v>
      </c>
      <c r="B349" s="1">
        <v>46228</v>
      </c>
      <c r="C349" s="2">
        <v>0.44422453703703701</v>
      </c>
      <c r="D349" t="s">
        <v>18</v>
      </c>
      <c r="E349" s="12" t="s">
        <v>33</v>
      </c>
      <c r="F349" s="11">
        <v>84.735632950999999</v>
      </c>
      <c r="G349" s="4">
        <v>2259.24487</v>
      </c>
      <c r="H349" s="20">
        <v>1</v>
      </c>
      <c r="I349" s="17" t="s">
        <v>38</v>
      </c>
      <c r="J349" t="s">
        <v>21</v>
      </c>
      <c r="K349" s="11"/>
      <c r="L349" s="11"/>
      <c r="M349" s="11"/>
      <c r="N349" s="11">
        <v>57.934120030999999</v>
      </c>
      <c r="O349" s="11"/>
      <c r="P349" s="33"/>
      <c r="R349" s="12"/>
      <c r="S349" s="20"/>
      <c r="T349" s="17"/>
      <c r="AA349" s="218" t="s">
        <v>37</v>
      </c>
      <c r="AB349" s="22">
        <v>0</v>
      </c>
      <c r="AC349" s="19"/>
    </row>
    <row r="350" spans="1:29" x14ac:dyDescent="0.2">
      <c r="A350">
        <v>1244</v>
      </c>
      <c r="B350" s="1">
        <v>46228</v>
      </c>
      <c r="C350" s="2">
        <v>0.44443287037037038</v>
      </c>
      <c r="D350" t="s">
        <v>18</v>
      </c>
      <c r="E350" s="12" t="s">
        <v>35</v>
      </c>
      <c r="F350" s="11">
        <v>79.145878624999995</v>
      </c>
      <c r="G350" s="4">
        <v>1350.84888</v>
      </c>
      <c r="H350" s="20">
        <v>0</v>
      </c>
      <c r="I350" s="17"/>
      <c r="J350" t="s">
        <v>21</v>
      </c>
      <c r="K350" s="11"/>
      <c r="L350" s="11"/>
      <c r="M350" s="11"/>
      <c r="N350" s="11"/>
      <c r="O350" s="11"/>
      <c r="P350" s="33"/>
      <c r="R350" s="12"/>
      <c r="S350" s="20"/>
      <c r="T350" s="17"/>
      <c r="AA350" s="218" t="s">
        <v>37</v>
      </c>
      <c r="AB350" s="22">
        <v>1</v>
      </c>
      <c r="AC350" s="19"/>
    </row>
    <row r="351" spans="1:29" x14ac:dyDescent="0.2">
      <c r="A351">
        <v>1245</v>
      </c>
      <c r="B351" s="1">
        <v>46228</v>
      </c>
      <c r="C351" s="2">
        <v>0.44467592592592592</v>
      </c>
      <c r="D351" t="s">
        <v>18</v>
      </c>
      <c r="E351" s="12" t="s">
        <v>33</v>
      </c>
      <c r="F351" s="11">
        <v>85.418470862999996</v>
      </c>
      <c r="G351" s="4">
        <v>2045.8896500000001</v>
      </c>
      <c r="H351" s="20">
        <v>1</v>
      </c>
      <c r="I351" s="17" t="s">
        <v>38</v>
      </c>
      <c r="J351" t="s">
        <v>21</v>
      </c>
      <c r="K351" s="11"/>
      <c r="L351" s="11"/>
      <c r="M351" s="11"/>
      <c r="N351" s="11">
        <v>66.732792602999993</v>
      </c>
      <c r="O351" s="11"/>
      <c r="P351" s="33"/>
      <c r="R351" s="12"/>
      <c r="S351" s="20"/>
      <c r="T351" s="17"/>
      <c r="AA351" s="218" t="s">
        <v>37</v>
      </c>
      <c r="AB351" s="22">
        <v>0</v>
      </c>
      <c r="AC351" s="19"/>
    </row>
    <row r="352" spans="1:29" x14ac:dyDescent="0.2">
      <c r="A352">
        <v>1246</v>
      </c>
      <c r="B352" s="1">
        <v>46228</v>
      </c>
      <c r="C352" s="2">
        <v>0.44490740740740742</v>
      </c>
      <c r="D352" t="s">
        <v>18</v>
      </c>
      <c r="E352" s="12" t="s">
        <v>37</v>
      </c>
      <c r="F352" s="11">
        <v>74.620081748000004</v>
      </c>
      <c r="G352" s="4">
        <v>2150.9628899999998</v>
      </c>
      <c r="H352" s="20">
        <v>1</v>
      </c>
      <c r="I352" s="161" t="s">
        <v>42</v>
      </c>
      <c r="J352" s="155" t="s">
        <v>21</v>
      </c>
      <c r="K352" s="11"/>
      <c r="L352" s="11"/>
      <c r="M352" s="11"/>
      <c r="N352" s="11"/>
      <c r="O352" s="11"/>
      <c r="P352" s="33"/>
      <c r="R352" s="12"/>
      <c r="S352" s="20"/>
      <c r="T352" s="17"/>
      <c r="AA352" s="218" t="s">
        <v>37</v>
      </c>
      <c r="AB352" s="22">
        <v>0</v>
      </c>
      <c r="AC352" s="19"/>
    </row>
    <row r="353" spans="1:29" x14ac:dyDescent="0.2">
      <c r="A353">
        <v>1268</v>
      </c>
      <c r="B353" s="1">
        <v>46228</v>
      </c>
      <c r="C353" s="2">
        <v>0.45490740740740743</v>
      </c>
      <c r="D353" t="s">
        <v>18</v>
      </c>
      <c r="E353" s="12" t="s">
        <v>37</v>
      </c>
      <c r="F353" s="11">
        <v>72.142798830999993</v>
      </c>
      <c r="G353" s="4">
        <v>2011.896</v>
      </c>
      <c r="H353" s="20">
        <v>0</v>
      </c>
      <c r="I353" s="17"/>
      <c r="J353" t="s">
        <v>20</v>
      </c>
      <c r="K353" s="11"/>
      <c r="L353" s="11"/>
      <c r="M353" s="11"/>
      <c r="N353" s="11"/>
      <c r="O353" s="11"/>
      <c r="P353" s="33"/>
      <c r="R353" s="12"/>
      <c r="S353" s="20"/>
      <c r="T353" s="17"/>
      <c r="AA353" s="218" t="s">
        <v>37</v>
      </c>
      <c r="AB353" s="22">
        <v>0</v>
      </c>
      <c r="AC353" s="19"/>
    </row>
    <row r="354" spans="1:29" x14ac:dyDescent="0.2">
      <c r="A354">
        <v>1269</v>
      </c>
      <c r="B354" s="1">
        <v>46228</v>
      </c>
      <c r="C354" s="2">
        <v>0.45508101851851851</v>
      </c>
      <c r="D354" t="s">
        <v>18</v>
      </c>
      <c r="E354" s="12" t="s">
        <v>33</v>
      </c>
      <c r="F354" s="11">
        <v>84.846795471999997</v>
      </c>
      <c r="G354" s="4">
        <v>2133.2168000000001</v>
      </c>
      <c r="H354" s="20">
        <v>1</v>
      </c>
      <c r="I354" s="17" t="s">
        <v>38</v>
      </c>
      <c r="J354" t="s">
        <v>20</v>
      </c>
      <c r="K354" s="11"/>
      <c r="L354" s="11"/>
      <c r="M354" s="11"/>
      <c r="N354" s="11">
        <v>66.161450067999994</v>
      </c>
      <c r="O354" s="11"/>
      <c r="P354" s="33"/>
      <c r="R354" s="12"/>
      <c r="S354" s="20"/>
      <c r="T354" s="17"/>
      <c r="AA354" s="218" t="s">
        <v>37</v>
      </c>
      <c r="AB354" s="22">
        <v>0</v>
      </c>
      <c r="AC354" s="19"/>
    </row>
    <row r="355" spans="1:29" x14ac:dyDescent="0.2">
      <c r="A355">
        <v>1270</v>
      </c>
      <c r="B355" s="1">
        <v>46228</v>
      </c>
      <c r="C355" s="2">
        <v>0.45533564814814814</v>
      </c>
      <c r="D355" t="s">
        <v>18</v>
      </c>
      <c r="E355" s="12" t="s">
        <v>33</v>
      </c>
      <c r="F355" s="11">
        <v>84.799154328</v>
      </c>
      <c r="G355" s="4">
        <v>2145.0744599999998</v>
      </c>
      <c r="H355" s="20">
        <v>1</v>
      </c>
      <c r="I355" s="17" t="s">
        <v>38</v>
      </c>
      <c r="J355" t="s">
        <v>20</v>
      </c>
      <c r="K355" s="11"/>
      <c r="L355" s="11"/>
      <c r="M355" s="11"/>
      <c r="N355" s="11">
        <v>67.018463870000005</v>
      </c>
      <c r="O355" s="11"/>
      <c r="P355" s="33"/>
      <c r="R355" s="12"/>
      <c r="S355" s="20"/>
      <c r="T355" s="17"/>
      <c r="AA355" s="218" t="s">
        <v>37</v>
      </c>
      <c r="AB355" s="22">
        <v>0</v>
      </c>
      <c r="AC355" s="19"/>
    </row>
    <row r="356" spans="1:29" x14ac:dyDescent="0.2">
      <c r="A356">
        <v>1271</v>
      </c>
      <c r="B356" s="1">
        <v>46228</v>
      </c>
      <c r="C356" s="2">
        <v>0.45559027777777777</v>
      </c>
      <c r="D356" t="s">
        <v>18</v>
      </c>
      <c r="E356" s="12" t="s">
        <v>37</v>
      </c>
      <c r="F356" s="11">
        <v>73.556115575000007</v>
      </c>
      <c r="G356" s="4">
        <v>2063.8667</v>
      </c>
      <c r="H356" s="20">
        <v>1</v>
      </c>
      <c r="I356" s="17" t="s">
        <v>255</v>
      </c>
      <c r="J356" t="s">
        <v>20</v>
      </c>
      <c r="K356" s="11">
        <v>60.635105944000003</v>
      </c>
      <c r="L356" s="11">
        <v>-1.14131</v>
      </c>
      <c r="M356" s="11">
        <v>-27.653295499999999</v>
      </c>
      <c r="N356" s="11">
        <v>64.218885002999997</v>
      </c>
      <c r="O356" s="11">
        <v>34</v>
      </c>
      <c r="P356" s="33">
        <v>0.59314720199999904</v>
      </c>
      <c r="R356" s="12"/>
      <c r="S356" s="20"/>
      <c r="T356" s="17"/>
      <c r="AA356" s="218" t="s">
        <v>37</v>
      </c>
      <c r="AB356" s="22">
        <v>0</v>
      </c>
      <c r="AC356" s="19"/>
    </row>
    <row r="357" spans="1:29" x14ac:dyDescent="0.2">
      <c r="A357">
        <v>1272</v>
      </c>
      <c r="B357" s="1">
        <v>46228</v>
      </c>
      <c r="C357" s="2">
        <v>0.45601851851851855</v>
      </c>
      <c r="D357" t="s">
        <v>18</v>
      </c>
      <c r="E357" s="12" t="s">
        <v>35</v>
      </c>
      <c r="F357" s="11">
        <v>79.590519763000003</v>
      </c>
      <c r="G357" s="4">
        <v>1497.3216600000001</v>
      </c>
      <c r="H357" s="20">
        <v>0</v>
      </c>
      <c r="I357" s="17"/>
      <c r="J357" t="s">
        <v>21</v>
      </c>
      <c r="K357" s="11"/>
      <c r="L357" s="11"/>
      <c r="M357" s="11"/>
      <c r="N357" s="11"/>
      <c r="O357" s="11"/>
      <c r="P357" s="33"/>
      <c r="R357" s="12"/>
      <c r="S357" s="20"/>
      <c r="T357" s="17"/>
      <c r="AA357" s="218" t="s">
        <v>37</v>
      </c>
      <c r="AB357" s="22">
        <v>0</v>
      </c>
      <c r="AC357" s="19"/>
    </row>
    <row r="358" spans="1:29" x14ac:dyDescent="0.2">
      <c r="A358">
        <v>1273</v>
      </c>
      <c r="B358" s="1">
        <v>46228</v>
      </c>
      <c r="C358" s="2">
        <v>0.45622685185185186</v>
      </c>
      <c r="D358" t="s">
        <v>18</v>
      </c>
      <c r="E358" s="12" t="s">
        <v>37</v>
      </c>
      <c r="F358" s="11">
        <v>74.635962203999995</v>
      </c>
      <c r="G358" s="4">
        <v>1171.78979</v>
      </c>
      <c r="H358" s="20">
        <v>0</v>
      </c>
      <c r="I358" s="17"/>
      <c r="J358" t="s">
        <v>21</v>
      </c>
      <c r="K358" s="11"/>
      <c r="L358" s="11"/>
      <c r="M358" s="11"/>
      <c r="N358" s="11"/>
      <c r="O358" s="11"/>
      <c r="P358" s="33"/>
      <c r="R358" s="12"/>
      <c r="S358" s="20"/>
      <c r="T358" s="17"/>
      <c r="AA358" s="218" t="s">
        <v>37</v>
      </c>
      <c r="AB358" s="22">
        <v>0</v>
      </c>
      <c r="AC358" s="19"/>
    </row>
    <row r="359" spans="1:29" x14ac:dyDescent="0.2">
      <c r="A359">
        <v>1274</v>
      </c>
      <c r="B359" s="1">
        <v>46228</v>
      </c>
      <c r="C359" s="2">
        <v>0.45652777777777775</v>
      </c>
      <c r="D359" t="s">
        <v>18</v>
      </c>
      <c r="E359" s="12" t="s">
        <v>35</v>
      </c>
      <c r="F359" s="11">
        <v>79.781075392999995</v>
      </c>
      <c r="G359" s="4">
        <v>1411.9854700000001</v>
      </c>
      <c r="H359" s="20">
        <v>0</v>
      </c>
      <c r="I359" s="17"/>
      <c r="J359" t="s">
        <v>21</v>
      </c>
      <c r="K359" s="11"/>
      <c r="L359" s="11"/>
      <c r="M359" s="11"/>
      <c r="N359" s="11"/>
      <c r="O359" s="11"/>
      <c r="P359" s="33"/>
      <c r="R359" s="12"/>
      <c r="S359" s="20"/>
      <c r="T359" s="17"/>
      <c r="AA359" s="218" t="s">
        <v>37</v>
      </c>
      <c r="AB359" s="22">
        <v>0</v>
      </c>
      <c r="AC359" s="169"/>
    </row>
    <row r="360" spans="1:29" x14ac:dyDescent="0.2">
      <c r="A360">
        <v>1275</v>
      </c>
      <c r="B360" s="1">
        <v>46228</v>
      </c>
      <c r="C360" s="2">
        <v>0.45674768518518516</v>
      </c>
      <c r="D360" t="s">
        <v>18</v>
      </c>
      <c r="E360" s="12" t="s">
        <v>33</v>
      </c>
      <c r="F360" s="11">
        <v>84.545077320999994</v>
      </c>
      <c r="G360" s="4">
        <v>2207.05737</v>
      </c>
      <c r="H360" s="20">
        <v>0</v>
      </c>
      <c r="I360" s="17" t="s">
        <v>48</v>
      </c>
      <c r="J360" t="s">
        <v>21</v>
      </c>
      <c r="K360" s="11"/>
      <c r="L360" s="11"/>
      <c r="M360" s="11"/>
      <c r="N360" s="11"/>
      <c r="O360" s="11"/>
      <c r="P360" s="33"/>
      <c r="R360" s="12"/>
      <c r="S360" s="20"/>
      <c r="T360" s="17"/>
      <c r="AA360" s="218" t="s">
        <v>37</v>
      </c>
      <c r="AB360" s="22">
        <v>0</v>
      </c>
      <c r="AC360" s="19"/>
    </row>
    <row r="361" spans="1:29" x14ac:dyDescent="0.2">
      <c r="A361">
        <v>1276</v>
      </c>
      <c r="B361" s="1">
        <v>46228</v>
      </c>
      <c r="C361" s="2">
        <v>0.45700231481481479</v>
      </c>
      <c r="D361" t="s">
        <v>18</v>
      </c>
      <c r="E361" s="12" t="s">
        <v>33</v>
      </c>
      <c r="F361" s="11">
        <v>86.577710600000003</v>
      </c>
      <c r="G361" s="4">
        <v>1163.37537</v>
      </c>
      <c r="H361" s="20">
        <v>0</v>
      </c>
      <c r="I361" s="17"/>
      <c r="J361" t="s">
        <v>21</v>
      </c>
      <c r="K361" s="11"/>
      <c r="L361" s="11"/>
      <c r="M361" s="11"/>
      <c r="N361" s="11"/>
      <c r="O361" s="11"/>
      <c r="P361" s="33"/>
      <c r="R361" s="12"/>
      <c r="S361" s="20"/>
      <c r="T361" s="17"/>
      <c r="AA361" s="218" t="s">
        <v>37</v>
      </c>
      <c r="AB361" s="22">
        <v>0</v>
      </c>
      <c r="AC361" s="19"/>
    </row>
    <row r="362" spans="1:29" x14ac:dyDescent="0.2">
      <c r="A362">
        <v>1277</v>
      </c>
      <c r="B362" s="1">
        <v>46228</v>
      </c>
      <c r="C362" s="2">
        <v>0.45738425925925924</v>
      </c>
      <c r="D362" t="s">
        <v>18</v>
      </c>
      <c r="E362" s="12" t="s">
        <v>36</v>
      </c>
      <c r="F362" s="11">
        <v>78.050160263999999</v>
      </c>
      <c r="G362" s="4">
        <v>747.06146200000001</v>
      </c>
      <c r="H362" s="20">
        <v>0</v>
      </c>
      <c r="I362" s="17"/>
      <c r="J362" t="s">
        <v>22</v>
      </c>
      <c r="K362" s="11"/>
      <c r="L362" s="11"/>
      <c r="M362" s="11"/>
      <c r="N362" s="11"/>
      <c r="O362" s="11"/>
      <c r="P362" s="33"/>
      <c r="R362" s="12"/>
      <c r="S362" s="20"/>
      <c r="T362" s="17"/>
      <c r="AA362" s="218" t="s">
        <v>37</v>
      </c>
      <c r="AB362" s="22">
        <v>0</v>
      </c>
      <c r="AC362" s="19"/>
    </row>
    <row r="363" spans="1:29" x14ac:dyDescent="0.2">
      <c r="A363">
        <v>1278</v>
      </c>
      <c r="B363" s="1">
        <v>46228</v>
      </c>
      <c r="C363" s="2">
        <v>0.45763888888888887</v>
      </c>
      <c r="D363" t="s">
        <v>18</v>
      </c>
      <c r="E363" s="12" t="s">
        <v>37</v>
      </c>
      <c r="F363" s="11">
        <v>74.683594624999998</v>
      </c>
      <c r="G363" s="4">
        <v>1103.2143599999999</v>
      </c>
      <c r="H363" s="20">
        <v>0</v>
      </c>
      <c r="I363" s="17"/>
      <c r="J363" t="s">
        <v>22</v>
      </c>
      <c r="K363" s="11"/>
      <c r="L363" s="11"/>
      <c r="M363" s="11"/>
      <c r="N363" s="11"/>
      <c r="O363" s="11"/>
      <c r="P363" s="33"/>
      <c r="R363" s="12"/>
      <c r="S363" s="20"/>
      <c r="T363" s="17"/>
      <c r="AA363" s="218" t="s">
        <v>37</v>
      </c>
      <c r="AB363" s="22">
        <v>0</v>
      </c>
      <c r="AC363" s="19"/>
    </row>
    <row r="364" spans="1:29" x14ac:dyDescent="0.2">
      <c r="A364">
        <v>1279</v>
      </c>
      <c r="B364" s="1">
        <v>46228</v>
      </c>
      <c r="C364" s="2">
        <v>0.4579050925925926</v>
      </c>
      <c r="D364" t="s">
        <v>18</v>
      </c>
      <c r="E364" s="12" t="s">
        <v>36</v>
      </c>
      <c r="F364" s="11">
        <v>78.701237264</v>
      </c>
      <c r="G364" s="4">
        <v>753.87982199999999</v>
      </c>
      <c r="H364" s="20">
        <v>1</v>
      </c>
      <c r="I364" s="17" t="s">
        <v>38</v>
      </c>
      <c r="J364" t="s">
        <v>22</v>
      </c>
      <c r="K364" s="11"/>
      <c r="L364" s="11"/>
      <c r="M364" s="11"/>
      <c r="N364" s="11">
        <v>57.762717271</v>
      </c>
      <c r="O364" s="11"/>
      <c r="P364" s="33"/>
      <c r="R364" s="12"/>
      <c r="S364" s="20"/>
      <c r="T364" s="17"/>
      <c r="AA364" s="218" t="s">
        <v>37</v>
      </c>
      <c r="AB364" s="22">
        <v>1</v>
      </c>
      <c r="AC364" s="19"/>
    </row>
    <row r="365" spans="1:29" x14ac:dyDescent="0.2">
      <c r="A365">
        <v>1280</v>
      </c>
      <c r="B365" s="1">
        <v>46228</v>
      </c>
      <c r="C365" s="2">
        <v>0.4583564814814815</v>
      </c>
      <c r="D365" t="s">
        <v>18</v>
      </c>
      <c r="E365" s="12" t="s">
        <v>33</v>
      </c>
      <c r="F365" s="11">
        <v>85.751949702999994</v>
      </c>
      <c r="G365" s="4">
        <v>2287.4126000000001</v>
      </c>
      <c r="H365" s="20">
        <v>1</v>
      </c>
      <c r="I365" s="17" t="s">
        <v>254</v>
      </c>
      <c r="J365" t="s">
        <v>22</v>
      </c>
      <c r="K365" s="11">
        <v>94.846567565000001</v>
      </c>
      <c r="L365" s="11">
        <v>17.454196899999999</v>
      </c>
      <c r="M365" s="11">
        <v>-20.129653900000001</v>
      </c>
      <c r="N365" s="11">
        <v>72.731882057000007</v>
      </c>
      <c r="O365" s="11">
        <v>261</v>
      </c>
      <c r="P365" s="33">
        <v>0.82122399999999995</v>
      </c>
      <c r="R365" s="12"/>
      <c r="S365" s="20"/>
      <c r="T365" s="17"/>
      <c r="AA365" s="218" t="s">
        <v>37</v>
      </c>
      <c r="AB365" s="22">
        <v>0</v>
      </c>
      <c r="AC365" s="19"/>
    </row>
    <row r="366" spans="1:29" x14ac:dyDescent="0.2">
      <c r="A366">
        <v>1281</v>
      </c>
      <c r="B366" s="1">
        <v>46228</v>
      </c>
      <c r="C366" s="2">
        <v>0.45881944444444445</v>
      </c>
      <c r="D366" t="s">
        <v>18</v>
      </c>
      <c r="E366" s="12" t="s">
        <v>33</v>
      </c>
      <c r="F366" s="11">
        <v>84.465675712000007</v>
      </c>
      <c r="G366" s="4">
        <v>2194.11841</v>
      </c>
      <c r="H366" s="20">
        <v>1</v>
      </c>
      <c r="I366" s="17" t="s">
        <v>254</v>
      </c>
      <c r="J366" t="s">
        <v>24</v>
      </c>
      <c r="K366" s="11">
        <v>88.954685505</v>
      </c>
      <c r="L366" s="11">
        <v>34.390724200000001</v>
      </c>
      <c r="M366" s="11">
        <v>13.067368500000001</v>
      </c>
      <c r="N366" s="11">
        <v>64.333153510000002</v>
      </c>
      <c r="O366" s="11">
        <v>323</v>
      </c>
      <c r="P366" s="33">
        <v>0.84548576399999997</v>
      </c>
      <c r="R366" s="12"/>
      <c r="S366" s="20"/>
      <c r="T366" s="17"/>
      <c r="AA366" s="218" t="s">
        <v>37</v>
      </c>
      <c r="AB366" s="22">
        <v>0</v>
      </c>
      <c r="AC366" s="19"/>
    </row>
    <row r="367" spans="1:29" x14ac:dyDescent="0.2">
      <c r="A367">
        <v>1282</v>
      </c>
      <c r="B367" s="1">
        <v>46228</v>
      </c>
      <c r="C367" s="2">
        <v>0.45928240740740739</v>
      </c>
      <c r="D367" t="s">
        <v>18</v>
      </c>
      <c r="E367" s="12" t="s">
        <v>37</v>
      </c>
      <c r="F367" s="11">
        <v>72.095157685999993</v>
      </c>
      <c r="G367" s="4">
        <v>2144.5085399999998</v>
      </c>
      <c r="H367" s="20">
        <v>1</v>
      </c>
      <c r="I367" s="17" t="s">
        <v>38</v>
      </c>
      <c r="J367" t="s">
        <v>19</v>
      </c>
      <c r="K367" s="11"/>
      <c r="L367" s="11"/>
      <c r="M367" s="11"/>
      <c r="N367" s="11">
        <v>61.419305913000002</v>
      </c>
      <c r="O367" s="11"/>
      <c r="P367" s="33"/>
      <c r="R367" s="12"/>
      <c r="S367" s="20"/>
      <c r="T367" s="17"/>
      <c r="AA367" s="218" t="s">
        <v>37</v>
      </c>
      <c r="AB367" s="22">
        <v>0</v>
      </c>
      <c r="AC367" s="19"/>
    </row>
    <row r="368" spans="1:29" x14ac:dyDescent="0.2">
      <c r="A368">
        <v>1283</v>
      </c>
      <c r="B368" s="1">
        <v>46228</v>
      </c>
      <c r="C368" s="2">
        <v>0.45952546296296298</v>
      </c>
      <c r="D368" t="s">
        <v>18</v>
      </c>
      <c r="E368" s="12" t="s">
        <v>33</v>
      </c>
      <c r="F368" s="11">
        <v>85.370829942</v>
      </c>
      <c r="G368" s="4">
        <v>2370.6455099999998</v>
      </c>
      <c r="H368" s="20">
        <v>0</v>
      </c>
      <c r="I368" s="17"/>
      <c r="J368" t="s">
        <v>19</v>
      </c>
      <c r="K368" s="11"/>
      <c r="L368" s="11"/>
      <c r="M368" s="11"/>
      <c r="N368" s="11"/>
      <c r="O368" s="11"/>
      <c r="P368" s="33"/>
      <c r="R368" s="12"/>
      <c r="S368" s="20"/>
      <c r="T368" s="17"/>
      <c r="AA368" s="218" t="s">
        <v>37</v>
      </c>
      <c r="AB368" s="22">
        <v>0</v>
      </c>
      <c r="AC368" s="19"/>
    </row>
    <row r="369" spans="1:29" x14ac:dyDescent="0.2">
      <c r="A369">
        <v>1284</v>
      </c>
      <c r="B369" s="1">
        <v>46228</v>
      </c>
      <c r="C369" s="2">
        <v>0.45982638888888888</v>
      </c>
      <c r="D369" t="s">
        <v>18</v>
      </c>
      <c r="E369" s="12" t="s">
        <v>37</v>
      </c>
      <c r="F369" s="11">
        <v>74.953560588000002</v>
      </c>
      <c r="G369" s="4">
        <v>2215.95435</v>
      </c>
      <c r="H369" s="20">
        <v>1</v>
      </c>
      <c r="I369" s="17" t="s">
        <v>39</v>
      </c>
      <c r="J369" t="s">
        <v>19</v>
      </c>
      <c r="K369" s="11"/>
      <c r="L369" s="11"/>
      <c r="M369" s="11"/>
      <c r="N369" s="11">
        <v>58.791129806000001</v>
      </c>
      <c r="O369" s="11"/>
      <c r="P369" s="33"/>
      <c r="R369" s="12"/>
      <c r="S369" s="20"/>
      <c r="T369" s="17"/>
      <c r="AA369" s="218" t="s">
        <v>37</v>
      </c>
      <c r="AB369" s="22">
        <v>0</v>
      </c>
      <c r="AC369" s="19"/>
    </row>
    <row r="370" spans="1:29" x14ac:dyDescent="0.2">
      <c r="A370">
        <v>1285</v>
      </c>
      <c r="B370" s="1">
        <v>46228</v>
      </c>
      <c r="C370" s="2">
        <v>0.46006944444444442</v>
      </c>
      <c r="D370" t="s">
        <v>18</v>
      </c>
      <c r="E370" s="12" t="s">
        <v>33</v>
      </c>
      <c r="F370" s="11">
        <v>85.450231551000002</v>
      </c>
      <c r="G370" s="4">
        <v>2325.52466</v>
      </c>
      <c r="H370" s="20">
        <v>0</v>
      </c>
      <c r="I370" s="17"/>
      <c r="J370" t="s">
        <v>19</v>
      </c>
      <c r="K370" s="11"/>
      <c r="L370" s="11"/>
      <c r="M370" s="11"/>
      <c r="N370" s="11"/>
      <c r="O370" s="11"/>
      <c r="P370" s="33"/>
      <c r="R370" s="12"/>
      <c r="S370" s="20"/>
      <c r="T370" s="17"/>
      <c r="AA370" s="218" t="s">
        <v>37</v>
      </c>
      <c r="AB370" s="22">
        <v>0</v>
      </c>
      <c r="AC370" s="19"/>
    </row>
    <row r="371" spans="1:29" x14ac:dyDescent="0.2">
      <c r="A371">
        <v>1286</v>
      </c>
      <c r="B371" s="1">
        <v>46228</v>
      </c>
      <c r="C371" s="2">
        <v>0.46035879629629628</v>
      </c>
      <c r="D371" t="s">
        <v>18</v>
      </c>
      <c r="E371" s="12" t="s">
        <v>36</v>
      </c>
      <c r="F371" s="11">
        <v>77.160877765999999</v>
      </c>
      <c r="G371" s="4">
        <v>762.66058299999997</v>
      </c>
      <c r="H371" s="20">
        <v>0</v>
      </c>
      <c r="I371" s="17"/>
      <c r="J371" t="s">
        <v>19</v>
      </c>
      <c r="K371" s="11"/>
      <c r="L371" s="11"/>
      <c r="M371" s="11"/>
      <c r="N371" s="11"/>
      <c r="O371" s="11"/>
      <c r="P371" s="33"/>
      <c r="R371" s="12"/>
      <c r="S371" s="20"/>
      <c r="T371" s="17"/>
      <c r="AA371" s="12" t="s">
        <v>37</v>
      </c>
      <c r="AB371" s="20">
        <v>0</v>
      </c>
      <c r="AC371" s="17"/>
    </row>
    <row r="372" spans="1:29" x14ac:dyDescent="0.2">
      <c r="A372">
        <v>1287</v>
      </c>
      <c r="B372" s="1">
        <v>46228</v>
      </c>
      <c r="C372" s="2">
        <v>0.46054398148148146</v>
      </c>
      <c r="D372" t="s">
        <v>18</v>
      </c>
      <c r="E372" s="12" t="s">
        <v>33</v>
      </c>
      <c r="F372" s="11">
        <v>84.100436182999999</v>
      </c>
      <c r="G372" s="4">
        <v>2295.0961900000002</v>
      </c>
      <c r="H372" s="20">
        <v>1</v>
      </c>
      <c r="I372" s="17" t="s">
        <v>38</v>
      </c>
      <c r="J372" t="s">
        <v>19</v>
      </c>
      <c r="K372" s="11"/>
      <c r="L372" s="11"/>
      <c r="M372" s="11"/>
      <c r="N372" s="11">
        <v>60.162352112999997</v>
      </c>
      <c r="O372" s="11"/>
      <c r="P372" s="33"/>
      <c r="R372" s="12"/>
      <c r="S372" s="20"/>
      <c r="T372" s="17"/>
      <c r="AA372" s="12" t="s">
        <v>37</v>
      </c>
      <c r="AB372" s="20">
        <v>0</v>
      </c>
      <c r="AC372" s="17"/>
    </row>
    <row r="373" spans="1:29" x14ac:dyDescent="0.2">
      <c r="A373">
        <v>1288</v>
      </c>
      <c r="B373" s="1">
        <v>46228</v>
      </c>
      <c r="C373" s="2">
        <v>0.46234953703703702</v>
      </c>
      <c r="D373" t="s">
        <v>18</v>
      </c>
      <c r="E373" s="12" t="s">
        <v>36</v>
      </c>
      <c r="F373" s="11">
        <v>76.922680990999993</v>
      </c>
      <c r="G373" s="4">
        <v>2186.15942</v>
      </c>
      <c r="H373" s="20">
        <v>0</v>
      </c>
      <c r="I373" s="17" t="s">
        <v>48</v>
      </c>
      <c r="J373" t="s">
        <v>19</v>
      </c>
      <c r="K373" s="11"/>
      <c r="L373" s="11"/>
      <c r="M373" s="11"/>
      <c r="N373" s="11"/>
      <c r="O373" s="11"/>
      <c r="P373" s="33"/>
      <c r="R373" s="12"/>
      <c r="S373" s="20"/>
      <c r="T373" s="17"/>
      <c r="AA373" s="12" t="s">
        <v>37</v>
      </c>
      <c r="AB373" s="20">
        <v>0</v>
      </c>
      <c r="AC373" s="17"/>
    </row>
    <row r="374" spans="1:29" x14ac:dyDescent="0.2">
      <c r="A374">
        <v>1289</v>
      </c>
      <c r="B374" s="1">
        <v>46228</v>
      </c>
      <c r="C374" s="2">
        <v>0.46252314814814816</v>
      </c>
      <c r="D374" t="s">
        <v>18</v>
      </c>
      <c r="E374" s="12" t="s">
        <v>33</v>
      </c>
      <c r="F374" s="11">
        <v>84.16395756</v>
      </c>
      <c r="G374" s="4">
        <v>1134.9305400000001</v>
      </c>
      <c r="H374" s="20">
        <v>1</v>
      </c>
      <c r="I374" s="17" t="s">
        <v>255</v>
      </c>
      <c r="J374" t="s">
        <v>19</v>
      </c>
      <c r="K374" s="11">
        <v>66.703928970000007</v>
      </c>
      <c r="L374" s="11">
        <v>-1.64640415</v>
      </c>
      <c r="M374" s="11">
        <v>-42.791789999999999</v>
      </c>
      <c r="N374" s="11">
        <v>62.733393966000001</v>
      </c>
      <c r="O374" s="11">
        <v>61</v>
      </c>
      <c r="P374" s="33">
        <v>0.65050033600000001</v>
      </c>
      <c r="R374" s="12"/>
      <c r="S374" s="20"/>
      <c r="T374" s="17"/>
      <c r="AA374" s="12" t="s">
        <v>37</v>
      </c>
      <c r="AB374" s="20">
        <v>0</v>
      </c>
      <c r="AC374" s="17"/>
    </row>
    <row r="375" spans="1:29" x14ac:dyDescent="0.2">
      <c r="A375">
        <v>1290</v>
      </c>
      <c r="B375" s="1">
        <v>46228</v>
      </c>
      <c r="C375" s="2">
        <v>0.46292824074074074</v>
      </c>
      <c r="D375" t="s">
        <v>18</v>
      </c>
      <c r="E375" s="12" t="s">
        <v>37</v>
      </c>
      <c r="F375" s="11">
        <v>74.445398073999996</v>
      </c>
      <c r="G375" s="4">
        <v>2149.8376499999999</v>
      </c>
      <c r="H375" s="20">
        <v>1</v>
      </c>
      <c r="I375" s="17"/>
      <c r="J375" t="s">
        <v>17</v>
      </c>
      <c r="K375" s="11"/>
      <c r="L375" s="11"/>
      <c r="M375" s="11"/>
      <c r="N375" s="11"/>
      <c r="O375" s="11"/>
      <c r="P375" s="33"/>
      <c r="R375" s="12"/>
      <c r="S375" s="20"/>
      <c r="T375" s="17"/>
      <c r="AA375" s="12" t="s">
        <v>37</v>
      </c>
      <c r="AB375" s="20">
        <v>0</v>
      </c>
      <c r="AC375" s="17"/>
    </row>
    <row r="376" spans="1:29" x14ac:dyDescent="0.2">
      <c r="A376">
        <v>1291</v>
      </c>
      <c r="B376" s="1">
        <v>46228</v>
      </c>
      <c r="C376" s="2">
        <v>0.46314814814814814</v>
      </c>
      <c r="D376" t="s">
        <v>18</v>
      </c>
      <c r="E376" s="12" t="s">
        <v>37</v>
      </c>
      <c r="F376" s="11">
        <v>74.381876696999996</v>
      </c>
      <c r="G376" s="4">
        <v>2223.81104</v>
      </c>
      <c r="H376" s="20">
        <v>1</v>
      </c>
      <c r="I376" s="17" t="s">
        <v>39</v>
      </c>
      <c r="J376" t="s">
        <v>17</v>
      </c>
      <c r="K376" s="11"/>
      <c r="L376" s="11"/>
      <c r="M376" s="11"/>
      <c r="N376" s="11">
        <v>68.218279390000006</v>
      </c>
      <c r="O376" s="11"/>
      <c r="P376" s="33"/>
      <c r="R376" s="12"/>
      <c r="S376" s="20"/>
      <c r="T376" s="17"/>
      <c r="AA376" s="12" t="s">
        <v>37</v>
      </c>
      <c r="AB376" s="20">
        <v>0</v>
      </c>
      <c r="AC376" s="17"/>
    </row>
    <row r="377" spans="1:29" x14ac:dyDescent="0.2">
      <c r="A377">
        <v>1292</v>
      </c>
      <c r="B377" s="1">
        <v>46228</v>
      </c>
      <c r="C377" s="2">
        <v>0.46428240740740739</v>
      </c>
      <c r="D377" t="s">
        <v>18</v>
      </c>
      <c r="E377" s="12" t="s">
        <v>37</v>
      </c>
      <c r="F377" s="11">
        <v>73.746679705999995</v>
      </c>
      <c r="G377" s="4">
        <v>1071.3713399999999</v>
      </c>
      <c r="H377" s="20">
        <v>0</v>
      </c>
      <c r="I377" s="17"/>
      <c r="J377" t="s">
        <v>17</v>
      </c>
      <c r="K377" s="11"/>
      <c r="L377" s="11"/>
      <c r="M377" s="11"/>
      <c r="N377" s="11"/>
      <c r="O377" s="11"/>
      <c r="P377" s="33"/>
      <c r="R377" s="12"/>
      <c r="S377" s="20"/>
      <c r="T377" s="17"/>
      <c r="AA377" s="12" t="s">
        <v>37</v>
      </c>
      <c r="AB377" s="20">
        <v>1</v>
      </c>
      <c r="AC377" s="17"/>
    </row>
    <row r="378" spans="1:29" x14ac:dyDescent="0.2">
      <c r="A378">
        <v>1293</v>
      </c>
      <c r="B378" s="1">
        <v>46228</v>
      </c>
      <c r="C378" s="2">
        <v>0.46468749999999998</v>
      </c>
      <c r="D378" t="s">
        <v>18</v>
      </c>
      <c r="E378" s="12" t="s">
        <v>36</v>
      </c>
      <c r="F378" s="11">
        <v>76.541561231000003</v>
      </c>
      <c r="G378" s="4">
        <v>2205.4997600000002</v>
      </c>
      <c r="H378" s="20">
        <v>1</v>
      </c>
      <c r="I378" s="161" t="s">
        <v>255</v>
      </c>
      <c r="J378" s="155" t="s">
        <v>17</v>
      </c>
      <c r="K378" s="11">
        <v>86.799924691000001</v>
      </c>
      <c r="L378" s="11">
        <v>33.321250900000003</v>
      </c>
      <c r="M378" s="11">
        <v>14.5669184</v>
      </c>
      <c r="N378" s="11">
        <v>61.647842926999999</v>
      </c>
      <c r="O378" s="11">
        <v>315</v>
      </c>
      <c r="P378" s="33">
        <v>0.86760818500000003</v>
      </c>
      <c r="R378" s="12"/>
      <c r="S378" s="20"/>
      <c r="T378" s="17"/>
      <c r="V378" s="10" t="s">
        <v>251</v>
      </c>
      <c r="W378" s="10" t="s">
        <v>252</v>
      </c>
      <c r="AA378" s="12" t="s">
        <v>37</v>
      </c>
      <c r="AB378" s="20">
        <v>0</v>
      </c>
      <c r="AC378" s="17"/>
    </row>
    <row r="379" spans="1:29" x14ac:dyDescent="0.2">
      <c r="A379">
        <v>1306</v>
      </c>
      <c r="B379" s="1">
        <v>46228</v>
      </c>
      <c r="C379" s="2">
        <v>0.47296296296296297</v>
      </c>
      <c r="D379" t="s">
        <v>18</v>
      </c>
      <c r="E379" s="12" t="s">
        <v>33</v>
      </c>
      <c r="F379" s="11">
        <v>83.719316422999995</v>
      </c>
      <c r="G379" s="4">
        <v>2266.3947800000001</v>
      </c>
      <c r="H379" s="20">
        <v>1</v>
      </c>
      <c r="I379" s="17" t="s">
        <v>255</v>
      </c>
      <c r="J379" t="s">
        <v>21</v>
      </c>
      <c r="K379" s="11">
        <v>79.139973561999994</v>
      </c>
      <c r="L379" s="11">
        <v>-25.367460300000001</v>
      </c>
      <c r="M379" s="11">
        <v>-13.1214657</v>
      </c>
      <c r="N379" s="11">
        <v>61.877668638999999</v>
      </c>
      <c r="O379" s="11">
        <v>7</v>
      </c>
      <c r="P379" s="33">
        <v>0.77453033399999904</v>
      </c>
      <c r="R379" s="12"/>
      <c r="S379" s="20"/>
      <c r="T379" s="17"/>
      <c r="U379" s="12" t="s">
        <v>33</v>
      </c>
      <c r="V379" s="11">
        <v>19</v>
      </c>
      <c r="W379" s="11">
        <v>7.8</v>
      </c>
      <c r="AA379" s="12" t="s">
        <v>37</v>
      </c>
      <c r="AB379" s="20">
        <v>0</v>
      </c>
      <c r="AC379" s="17"/>
    </row>
    <row r="380" spans="1:29" x14ac:dyDescent="0.2">
      <c r="A380">
        <v>1307</v>
      </c>
      <c r="B380" s="1">
        <v>46228</v>
      </c>
      <c r="C380" s="2">
        <v>0.47324074074074074</v>
      </c>
      <c r="D380" t="s">
        <v>18</v>
      </c>
      <c r="E380" s="12" t="s">
        <v>37</v>
      </c>
      <c r="F380" s="11">
        <v>72.905038352000005</v>
      </c>
      <c r="G380" s="4">
        <v>2098.1792</v>
      </c>
      <c r="H380" s="20">
        <v>0</v>
      </c>
      <c r="I380" s="17"/>
      <c r="J380" t="s">
        <v>19</v>
      </c>
      <c r="K380" s="11"/>
      <c r="L380" s="11"/>
      <c r="M380" s="11"/>
      <c r="N380" s="11"/>
      <c r="O380" s="11"/>
      <c r="P380" s="33"/>
      <c r="R380" s="12"/>
      <c r="S380" s="20"/>
      <c r="T380" s="17"/>
      <c r="U380" s="12" t="s">
        <v>37</v>
      </c>
      <c r="V380" s="11">
        <v>-7.4</v>
      </c>
      <c r="W380" s="11">
        <v>-4.3</v>
      </c>
      <c r="AA380" s="12" t="s">
        <v>37</v>
      </c>
      <c r="AB380" s="20">
        <v>0</v>
      </c>
      <c r="AC380" s="17"/>
    </row>
    <row r="381" spans="1:29" x14ac:dyDescent="0.2">
      <c r="A381">
        <v>1308</v>
      </c>
      <c r="B381" s="1">
        <v>46228</v>
      </c>
      <c r="C381" s="2">
        <v>0.47361111111111109</v>
      </c>
      <c r="D381" t="s">
        <v>18</v>
      </c>
      <c r="E381" s="12" t="s">
        <v>33</v>
      </c>
      <c r="F381" s="11">
        <v>83.655795045999994</v>
      </c>
      <c r="G381" s="4">
        <v>2340.4794900000002</v>
      </c>
      <c r="H381" s="20">
        <v>0</v>
      </c>
      <c r="I381" s="17"/>
      <c r="J381" t="s">
        <v>19</v>
      </c>
      <c r="K381" s="11"/>
      <c r="L381" s="11"/>
      <c r="M381" s="11"/>
      <c r="N381" s="11"/>
      <c r="O381" s="11"/>
      <c r="P381" s="33"/>
      <c r="R381" s="12"/>
      <c r="S381" s="20"/>
      <c r="T381" s="17"/>
      <c r="U381" s="12" t="s">
        <v>33</v>
      </c>
      <c r="V381" s="11">
        <v>16.8</v>
      </c>
      <c r="W381" s="11">
        <v>7.3</v>
      </c>
      <c r="AA381" s="12" t="s">
        <v>37</v>
      </c>
      <c r="AB381" s="20">
        <v>1</v>
      </c>
      <c r="AC381" s="17"/>
    </row>
    <row r="382" spans="1:29" x14ac:dyDescent="0.2">
      <c r="A382">
        <v>1309</v>
      </c>
      <c r="B382" s="1">
        <v>46228</v>
      </c>
      <c r="C382" s="2">
        <v>0.47381944444444446</v>
      </c>
      <c r="D382" t="s">
        <v>18</v>
      </c>
      <c r="E382" s="12" t="s">
        <v>37</v>
      </c>
      <c r="F382" s="11">
        <v>73.302038569000004</v>
      </c>
      <c r="G382" s="4">
        <v>2160.85205</v>
      </c>
      <c r="H382" s="20">
        <v>0</v>
      </c>
      <c r="I382" s="17"/>
      <c r="J382" t="s">
        <v>19</v>
      </c>
      <c r="K382" s="11"/>
      <c r="L382" s="11"/>
      <c r="M382" s="11"/>
      <c r="N382" s="11"/>
      <c r="O382" s="11"/>
      <c r="P382" s="33"/>
      <c r="R382" s="12"/>
      <c r="S382" s="20"/>
      <c r="T382" s="17"/>
      <c r="U382" s="12" t="s">
        <v>37</v>
      </c>
      <c r="V382" s="11">
        <v>-5.3</v>
      </c>
      <c r="W382" s="11">
        <v>-9.1999999999999993</v>
      </c>
      <c r="AA382" s="12" t="s">
        <v>37</v>
      </c>
      <c r="AB382" s="20">
        <v>0</v>
      </c>
      <c r="AC382" s="17"/>
    </row>
    <row r="383" spans="1:29" x14ac:dyDescent="0.2">
      <c r="A383">
        <v>1310</v>
      </c>
      <c r="B383" s="1">
        <v>46228</v>
      </c>
      <c r="C383" s="2">
        <v>0.4740509259259259</v>
      </c>
      <c r="D383" t="s">
        <v>18</v>
      </c>
      <c r="E383" s="12" t="s">
        <v>33</v>
      </c>
      <c r="F383" s="11">
        <v>83.338196439000001</v>
      </c>
      <c r="G383" s="4">
        <v>2259.9416500000002</v>
      </c>
      <c r="H383" s="20">
        <v>1</v>
      </c>
      <c r="I383" s="17" t="s">
        <v>39</v>
      </c>
      <c r="J383" t="s">
        <v>19</v>
      </c>
      <c r="K383" s="11">
        <v>46.08197054</v>
      </c>
      <c r="L383" s="11">
        <v>-21.818374599999999</v>
      </c>
      <c r="M383" s="11">
        <v>-33.2210617</v>
      </c>
      <c r="N383" s="11">
        <v>56.74907142</v>
      </c>
      <c r="O383" s="11">
        <v>11</v>
      </c>
      <c r="P383" s="33">
        <v>0.47983787499999903</v>
      </c>
      <c r="R383" s="12"/>
      <c r="S383" s="20"/>
      <c r="T383" s="17"/>
      <c r="U383" s="12" t="s">
        <v>33</v>
      </c>
      <c r="V383" s="11">
        <v>18.3</v>
      </c>
      <c r="W383" s="11">
        <v>4.5</v>
      </c>
      <c r="AA383" s="12" t="s">
        <v>37</v>
      </c>
      <c r="AB383" s="20">
        <v>1</v>
      </c>
      <c r="AC383" s="17"/>
    </row>
    <row r="384" spans="1:29" x14ac:dyDescent="0.2">
      <c r="A384">
        <v>1311</v>
      </c>
      <c r="B384" s="1">
        <v>46228</v>
      </c>
      <c r="C384" s="2">
        <v>0.47424768518518517</v>
      </c>
      <c r="D384" t="s">
        <v>18</v>
      </c>
      <c r="E384" s="12" t="s">
        <v>33</v>
      </c>
      <c r="F384" s="11">
        <v>86.879428751999995</v>
      </c>
      <c r="G384" s="4">
        <v>2293.6501499999999</v>
      </c>
      <c r="H384" s="20">
        <v>0</v>
      </c>
      <c r="I384" s="17" t="s">
        <v>48</v>
      </c>
      <c r="J384" t="s">
        <v>19</v>
      </c>
      <c r="K384" s="11"/>
      <c r="L384" s="11"/>
      <c r="M384" s="11"/>
      <c r="N384" s="11"/>
      <c r="O384" s="11"/>
      <c r="P384" s="33"/>
      <c r="R384" s="12"/>
      <c r="S384" s="20"/>
      <c r="T384" s="17"/>
      <c r="U384" s="12" t="s">
        <v>33</v>
      </c>
      <c r="V384" s="11">
        <v>18.100000000000001</v>
      </c>
      <c r="W384" s="11">
        <v>4.9000000000000004</v>
      </c>
      <c r="AA384" s="12" t="s">
        <v>37</v>
      </c>
      <c r="AB384" s="20">
        <v>1</v>
      </c>
      <c r="AC384" s="17"/>
    </row>
    <row r="385" spans="1:29" x14ac:dyDescent="0.2">
      <c r="A385">
        <v>1312</v>
      </c>
      <c r="B385" s="1">
        <v>46228</v>
      </c>
      <c r="C385" s="2">
        <v>0.47445601851851854</v>
      </c>
      <c r="D385" t="s">
        <v>18</v>
      </c>
      <c r="E385" s="12" t="s">
        <v>33</v>
      </c>
      <c r="F385" s="11">
        <v>83.274675062</v>
      </c>
      <c r="G385" s="4">
        <v>2212.5175800000002</v>
      </c>
      <c r="H385" s="20">
        <v>1</v>
      </c>
      <c r="I385" s="17" t="s">
        <v>39</v>
      </c>
      <c r="J385" t="s">
        <v>19</v>
      </c>
      <c r="K385" s="11"/>
      <c r="L385" s="11"/>
      <c r="M385" s="11"/>
      <c r="N385" s="11">
        <v>56.972053451000001</v>
      </c>
      <c r="O385" s="11"/>
      <c r="P385" s="33"/>
      <c r="R385" s="12"/>
      <c r="S385" s="20"/>
      <c r="T385" s="17"/>
      <c r="U385" s="12" t="s">
        <v>33</v>
      </c>
      <c r="V385" s="11">
        <v>15.1</v>
      </c>
      <c r="W385" s="11">
        <v>4.5999999999999996</v>
      </c>
      <c r="AA385" s="217" t="s">
        <v>37</v>
      </c>
      <c r="AB385" s="161">
        <v>0</v>
      </c>
      <c r="AC385" s="162"/>
    </row>
    <row r="386" spans="1:29" x14ac:dyDescent="0.2">
      <c r="A386">
        <v>1313</v>
      </c>
      <c r="B386" s="1">
        <v>46228</v>
      </c>
      <c r="C386" s="2">
        <v>0.47476851851851853</v>
      </c>
      <c r="D386" t="s">
        <v>18</v>
      </c>
      <c r="E386" s="12" t="s">
        <v>36</v>
      </c>
      <c r="F386" s="11">
        <v>77.796074532999995</v>
      </c>
      <c r="G386" s="4">
        <v>2142.0302700000002</v>
      </c>
      <c r="H386" s="20">
        <v>0</v>
      </c>
      <c r="I386" s="17"/>
      <c r="J386" t="s">
        <v>17</v>
      </c>
      <c r="K386" s="11"/>
      <c r="L386" s="11"/>
      <c r="M386" s="11"/>
      <c r="N386" s="11"/>
      <c r="O386" s="11"/>
      <c r="P386" s="33"/>
      <c r="R386" s="12"/>
      <c r="S386" s="20"/>
      <c r="T386" s="17"/>
      <c r="U386" s="12" t="s">
        <v>36</v>
      </c>
      <c r="V386" s="11">
        <v>-1.1000000000000001</v>
      </c>
      <c r="W386" s="11">
        <v>-4</v>
      </c>
    </row>
    <row r="387" spans="1:29" x14ac:dyDescent="0.2">
      <c r="A387">
        <v>1314</v>
      </c>
      <c r="B387" s="1">
        <v>46228</v>
      </c>
      <c r="C387" s="2">
        <v>0.47498842592592594</v>
      </c>
      <c r="D387" t="s">
        <v>18</v>
      </c>
      <c r="E387" s="12" t="s">
        <v>33</v>
      </c>
      <c r="F387" s="11">
        <v>82.893555301000006</v>
      </c>
      <c r="G387" s="4">
        <v>2236.9081999999999</v>
      </c>
      <c r="H387" s="20">
        <v>0</v>
      </c>
      <c r="I387" s="17"/>
      <c r="J387" t="s">
        <v>17</v>
      </c>
      <c r="K387" s="11"/>
      <c r="L387" s="11"/>
      <c r="M387" s="11"/>
      <c r="N387" s="11"/>
      <c r="O387" s="11"/>
      <c r="P387" s="33"/>
      <c r="R387" s="12"/>
      <c r="S387" s="20"/>
      <c r="T387" s="17"/>
      <c r="U387" s="12" t="s">
        <v>33</v>
      </c>
      <c r="V387" s="11">
        <v>18</v>
      </c>
      <c r="W387" s="11">
        <v>8.4</v>
      </c>
    </row>
    <row r="388" spans="1:29" x14ac:dyDescent="0.2">
      <c r="A388">
        <v>1315</v>
      </c>
      <c r="B388" s="1">
        <v>46228</v>
      </c>
      <c r="C388" s="2">
        <v>0.47524305555555557</v>
      </c>
      <c r="D388" t="s">
        <v>18</v>
      </c>
      <c r="E388" s="12" t="s">
        <v>37</v>
      </c>
      <c r="F388" s="11">
        <v>72.142798830999993</v>
      </c>
      <c r="G388" s="4">
        <v>2069.9580099999998</v>
      </c>
      <c r="H388" s="20">
        <v>1</v>
      </c>
      <c r="I388" s="17"/>
      <c r="J388" t="s">
        <v>17</v>
      </c>
      <c r="K388" s="11"/>
      <c r="L388" s="11"/>
      <c r="M388" s="11"/>
      <c r="N388" s="11"/>
      <c r="O388" s="11"/>
      <c r="P388" s="33"/>
      <c r="R388" s="12"/>
      <c r="S388" s="20"/>
      <c r="T388" s="17"/>
      <c r="U388" s="12" t="s">
        <v>37</v>
      </c>
      <c r="V388" s="11">
        <v>-7.2</v>
      </c>
      <c r="W388" s="11">
        <v>-5.3</v>
      </c>
    </row>
    <row r="389" spans="1:29" x14ac:dyDescent="0.2">
      <c r="A389">
        <v>1316</v>
      </c>
      <c r="B389" s="1">
        <v>46228</v>
      </c>
      <c r="C389" s="2">
        <v>0.47548611111111111</v>
      </c>
      <c r="D389" t="s">
        <v>18</v>
      </c>
      <c r="E389" s="12" t="s">
        <v>37</v>
      </c>
      <c r="F389" s="11">
        <v>72.206320207999994</v>
      </c>
      <c r="G389" s="4">
        <v>2079.4482400000002</v>
      </c>
      <c r="H389" s="20">
        <v>0</v>
      </c>
      <c r="I389" s="17"/>
      <c r="J389" t="s">
        <v>17</v>
      </c>
      <c r="K389" s="11"/>
      <c r="L389" s="11"/>
      <c r="M389" s="11"/>
      <c r="N389" s="11"/>
      <c r="O389" s="11"/>
      <c r="P389" s="33"/>
      <c r="R389" s="12"/>
      <c r="S389" s="20"/>
      <c r="T389" s="17"/>
      <c r="U389" s="12" t="s">
        <v>37</v>
      </c>
      <c r="V389" s="11">
        <v>-5.8</v>
      </c>
      <c r="W389" s="11">
        <v>-9.1999999999999993</v>
      </c>
    </row>
    <row r="390" spans="1:29" x14ac:dyDescent="0.2">
      <c r="A390">
        <v>1317</v>
      </c>
      <c r="B390" s="1">
        <v>46228</v>
      </c>
      <c r="C390" s="2">
        <v>0.47570601851851851</v>
      </c>
      <c r="D390" t="s">
        <v>18</v>
      </c>
      <c r="E390" s="12" t="s">
        <v>33</v>
      </c>
      <c r="F390" s="11">
        <v>85.624915449</v>
      </c>
      <c r="G390" s="4">
        <v>2163</v>
      </c>
      <c r="H390" s="20">
        <v>1</v>
      </c>
      <c r="I390" s="17" t="s">
        <v>38</v>
      </c>
      <c r="J390" t="s">
        <v>17</v>
      </c>
      <c r="K390" s="11"/>
      <c r="L390" s="11"/>
      <c r="M390" s="11"/>
      <c r="N390" s="11">
        <v>63.605784913000001</v>
      </c>
      <c r="O390" s="11"/>
      <c r="P390" s="33"/>
      <c r="R390" s="12"/>
      <c r="S390" s="20"/>
      <c r="T390" s="17"/>
      <c r="U390" s="12" t="s">
        <v>33</v>
      </c>
      <c r="V390" s="11">
        <v>15.9</v>
      </c>
      <c r="W390" s="11">
        <v>5.8</v>
      </c>
    </row>
    <row r="391" spans="1:29" x14ac:dyDescent="0.2">
      <c r="A391">
        <v>1318</v>
      </c>
      <c r="B391" s="1">
        <v>46228</v>
      </c>
      <c r="C391" s="2">
        <v>0.47606481481481483</v>
      </c>
      <c r="D391" t="s">
        <v>18</v>
      </c>
      <c r="E391" s="12" t="s">
        <v>33</v>
      </c>
      <c r="F391" s="11">
        <v>85.402590630000006</v>
      </c>
      <c r="G391" s="4">
        <v>2244.2546400000001</v>
      </c>
      <c r="H391" s="20">
        <v>0</v>
      </c>
      <c r="I391" s="17" t="s">
        <v>48</v>
      </c>
      <c r="J391" t="s">
        <v>17</v>
      </c>
      <c r="K391" s="11"/>
      <c r="L391" s="11"/>
      <c r="M391" s="11"/>
      <c r="N391" s="11"/>
      <c r="O391" s="11"/>
      <c r="P391" s="33"/>
      <c r="R391" s="12"/>
      <c r="S391" s="20"/>
      <c r="T391" s="17"/>
      <c r="U391" s="12" t="s">
        <v>33</v>
      </c>
      <c r="V391" s="11">
        <v>17</v>
      </c>
      <c r="W391" s="11">
        <v>2.8</v>
      </c>
    </row>
    <row r="392" spans="1:29" x14ac:dyDescent="0.2">
      <c r="A392">
        <v>1319</v>
      </c>
      <c r="B392" s="1">
        <v>46228</v>
      </c>
      <c r="C392" s="2">
        <v>0.4763310185185185</v>
      </c>
      <c r="D392" t="s">
        <v>18</v>
      </c>
      <c r="E392" s="12" t="s">
        <v>33</v>
      </c>
      <c r="F392" s="11">
        <v>84.529197088000004</v>
      </c>
      <c r="G392" s="4">
        <v>1104.39636</v>
      </c>
      <c r="H392" s="20">
        <v>1</v>
      </c>
      <c r="I392" s="17" t="s">
        <v>39</v>
      </c>
      <c r="J392" t="s">
        <v>17</v>
      </c>
      <c r="K392" s="11"/>
      <c r="L392" s="11"/>
      <c r="M392" s="11"/>
      <c r="N392" s="11">
        <v>66.504558470000006</v>
      </c>
      <c r="O392" s="11"/>
      <c r="P392" s="33"/>
      <c r="R392" s="12"/>
      <c r="S392" s="20"/>
      <c r="T392" s="17"/>
      <c r="U392" s="12" t="s">
        <v>33</v>
      </c>
      <c r="V392" s="11">
        <v>17.8</v>
      </c>
      <c r="W392" s="11">
        <v>4.8</v>
      </c>
    </row>
    <row r="393" spans="1:29" x14ac:dyDescent="0.2">
      <c r="A393">
        <v>1320</v>
      </c>
      <c r="B393" s="1">
        <v>46228</v>
      </c>
      <c r="C393" s="2">
        <v>0.47664351851851849</v>
      </c>
      <c r="D393" t="s">
        <v>18</v>
      </c>
      <c r="E393" s="12" t="s">
        <v>37</v>
      </c>
      <c r="F393" s="11">
        <v>73.587876264000002</v>
      </c>
      <c r="G393" s="4">
        <v>2224.3081099999999</v>
      </c>
      <c r="H393" s="20">
        <v>1</v>
      </c>
      <c r="I393" s="17"/>
      <c r="J393" t="s">
        <v>20</v>
      </c>
      <c r="K393" s="11"/>
      <c r="L393" s="11"/>
      <c r="M393" s="11"/>
      <c r="N393" s="11"/>
      <c r="O393" s="11"/>
      <c r="P393" s="33"/>
      <c r="R393" s="12"/>
      <c r="S393" s="20"/>
      <c r="T393" s="17"/>
      <c r="U393" s="12" t="s">
        <v>37</v>
      </c>
      <c r="V393" s="11">
        <v>-10.9</v>
      </c>
      <c r="W393" s="11">
        <v>-4</v>
      </c>
    </row>
    <row r="394" spans="1:29" x14ac:dyDescent="0.2">
      <c r="A394">
        <v>1321</v>
      </c>
      <c r="B394" s="1">
        <v>46228</v>
      </c>
      <c r="C394" s="2">
        <v>0.47684027777777777</v>
      </c>
      <c r="D394" t="s">
        <v>18</v>
      </c>
      <c r="E394" s="12" t="s">
        <v>37</v>
      </c>
      <c r="F394" s="11">
        <v>72.920918807999996</v>
      </c>
      <c r="G394" s="4">
        <v>2147.43433</v>
      </c>
      <c r="H394" s="20">
        <v>1</v>
      </c>
      <c r="I394" s="17"/>
      <c r="J394" t="s">
        <v>20</v>
      </c>
      <c r="K394" s="11"/>
      <c r="L394" s="11"/>
      <c r="M394" s="11"/>
      <c r="N394" s="11"/>
      <c r="O394" s="11"/>
      <c r="P394" s="33"/>
      <c r="R394" s="12"/>
      <c r="S394" s="20"/>
      <c r="T394" s="17"/>
      <c r="U394" s="12" t="s">
        <v>37</v>
      </c>
      <c r="V394" s="11">
        <v>-8.9</v>
      </c>
      <c r="W394" s="11">
        <v>-3.4</v>
      </c>
    </row>
    <row r="395" spans="1:29" x14ac:dyDescent="0.2">
      <c r="A395">
        <v>1322</v>
      </c>
      <c r="B395" s="1">
        <v>46228</v>
      </c>
      <c r="C395" s="2">
        <v>0.47706018518518517</v>
      </c>
      <c r="D395" t="s">
        <v>18</v>
      </c>
      <c r="E395" s="12" t="s">
        <v>36</v>
      </c>
      <c r="F395" s="11">
        <v>75.144116217999994</v>
      </c>
      <c r="G395" s="4">
        <v>2187.8647500000002</v>
      </c>
      <c r="H395" s="20">
        <v>0</v>
      </c>
      <c r="I395" s="17"/>
      <c r="J395" t="s">
        <v>20</v>
      </c>
      <c r="K395" s="11"/>
      <c r="L395" s="11"/>
      <c r="M395" s="11"/>
      <c r="N395" s="11"/>
      <c r="O395" s="11"/>
      <c r="P395" s="172"/>
      <c r="R395" s="12"/>
      <c r="S395" s="20"/>
      <c r="T395" s="17"/>
      <c r="U395" s="12" t="s">
        <v>36</v>
      </c>
      <c r="V395" s="11">
        <v>-0.5</v>
      </c>
      <c r="W395" s="11">
        <v>-0.7</v>
      </c>
    </row>
    <row r="396" spans="1:29" x14ac:dyDescent="0.2">
      <c r="A396">
        <v>1323</v>
      </c>
      <c r="B396" s="1">
        <v>46228</v>
      </c>
      <c r="C396" s="2">
        <v>0.47730324074074076</v>
      </c>
      <c r="D396" t="s">
        <v>18</v>
      </c>
      <c r="E396" s="12" t="s">
        <v>33</v>
      </c>
      <c r="F396" s="11">
        <v>85.227915233000004</v>
      </c>
      <c r="G396" s="4">
        <v>1100.0214800000001</v>
      </c>
      <c r="H396" s="20">
        <v>1</v>
      </c>
      <c r="I396" s="17" t="s">
        <v>38</v>
      </c>
      <c r="J396" t="s">
        <v>20</v>
      </c>
      <c r="K396" s="11">
        <v>101.534216567</v>
      </c>
      <c r="L396" s="11">
        <v>22.451387400000002</v>
      </c>
      <c r="M396" s="11">
        <v>-44.056285899999999</v>
      </c>
      <c r="N396" s="11">
        <v>67.452233946000007</v>
      </c>
      <c r="O396" s="11">
        <v>335</v>
      </c>
      <c r="P396" s="33">
        <v>0.93710342400000002</v>
      </c>
      <c r="R396" s="12"/>
      <c r="S396" s="20"/>
      <c r="T396" s="17"/>
      <c r="U396" s="12" t="s">
        <v>33</v>
      </c>
      <c r="V396" s="11">
        <v>16.399999999999999</v>
      </c>
      <c r="W396" s="11">
        <v>4.8</v>
      </c>
    </row>
    <row r="397" spans="1:29" x14ac:dyDescent="0.2">
      <c r="A397">
        <v>1324</v>
      </c>
      <c r="B397" s="1">
        <v>46228</v>
      </c>
      <c r="C397" s="2">
        <v>0.47793981481481479</v>
      </c>
      <c r="D397" t="s">
        <v>18</v>
      </c>
      <c r="E397" s="12" t="s">
        <v>37</v>
      </c>
      <c r="F397" s="11">
        <v>72.730363178000005</v>
      </c>
      <c r="G397" s="4">
        <v>2225.2988300000002</v>
      </c>
      <c r="H397" s="20">
        <v>1</v>
      </c>
      <c r="I397" s="17" t="s">
        <v>38</v>
      </c>
      <c r="J397" t="s">
        <v>20</v>
      </c>
      <c r="K397" s="11">
        <v>76.870184577000003</v>
      </c>
      <c r="L397" s="11">
        <v>7.5470747899999999</v>
      </c>
      <c r="M397" s="11"/>
      <c r="N397" s="11">
        <v>68.511400101000007</v>
      </c>
      <c r="O397" s="11">
        <v>127</v>
      </c>
      <c r="P397" s="33">
        <v>0.71717987100000002</v>
      </c>
      <c r="R397" s="12"/>
      <c r="S397" s="20"/>
      <c r="T397" s="17"/>
      <c r="U397" s="12" t="s">
        <v>37</v>
      </c>
      <c r="V397" s="11">
        <v>-7.5</v>
      </c>
      <c r="W397" s="11">
        <v>-5.4</v>
      </c>
    </row>
    <row r="398" spans="1:29" x14ac:dyDescent="0.2">
      <c r="A398">
        <v>1325</v>
      </c>
      <c r="B398" s="1">
        <v>46228</v>
      </c>
      <c r="C398" s="2">
        <v>0.47832175925925924</v>
      </c>
      <c r="D398" t="s">
        <v>18</v>
      </c>
      <c r="E398" s="12" t="s">
        <v>35</v>
      </c>
      <c r="F398" s="11">
        <v>75.588757356000002</v>
      </c>
      <c r="G398" s="4">
        <v>1328.41858</v>
      </c>
      <c r="H398" s="20">
        <v>1</v>
      </c>
      <c r="I398" s="17" t="s">
        <v>42</v>
      </c>
      <c r="J398" t="s">
        <v>20</v>
      </c>
      <c r="K398" s="11"/>
      <c r="L398" s="11"/>
      <c r="M398" s="11"/>
      <c r="N398" s="11"/>
      <c r="O398" s="11"/>
      <c r="P398" s="33"/>
      <c r="R398" s="12"/>
      <c r="S398" s="20"/>
      <c r="T398" s="17"/>
      <c r="U398" s="12" t="s">
        <v>35</v>
      </c>
      <c r="V398" s="11">
        <v>2.1</v>
      </c>
      <c r="W398" s="11">
        <v>18.3</v>
      </c>
    </row>
    <row r="399" spans="1:29" x14ac:dyDescent="0.2">
      <c r="A399">
        <v>1326</v>
      </c>
      <c r="B399" s="1">
        <v>46228</v>
      </c>
      <c r="C399" s="2">
        <v>0.47887731481481483</v>
      </c>
      <c r="D399" t="s">
        <v>18</v>
      </c>
      <c r="E399" s="12" t="s">
        <v>35</v>
      </c>
      <c r="F399" s="11">
        <v>77.144997309999994</v>
      </c>
      <c r="G399" s="4">
        <v>1343.90662</v>
      </c>
      <c r="H399" s="20">
        <v>0</v>
      </c>
      <c r="I399" s="17"/>
      <c r="J399" t="s">
        <v>22</v>
      </c>
      <c r="K399" s="11"/>
      <c r="L399" s="11"/>
      <c r="M399" s="11"/>
      <c r="N399" s="11"/>
      <c r="O399" s="11"/>
      <c r="P399" s="33"/>
      <c r="R399" s="12"/>
      <c r="S399" s="20"/>
      <c r="T399" s="17"/>
      <c r="U399" s="12" t="s">
        <v>35</v>
      </c>
      <c r="V399" s="11">
        <v>1.4</v>
      </c>
      <c r="W399" s="11">
        <v>17.5</v>
      </c>
    </row>
    <row r="400" spans="1:29" x14ac:dyDescent="0.2">
      <c r="A400">
        <v>1327</v>
      </c>
      <c r="B400" s="1">
        <v>46228</v>
      </c>
      <c r="C400" s="2">
        <v>0.47912037037037036</v>
      </c>
      <c r="D400" t="s">
        <v>18</v>
      </c>
      <c r="E400" s="12" t="s">
        <v>36</v>
      </c>
      <c r="F400" s="11">
        <v>77.049715245000002</v>
      </c>
      <c r="G400" s="4">
        <v>2021.8958700000001</v>
      </c>
      <c r="H400" s="20">
        <v>1</v>
      </c>
      <c r="I400" s="17"/>
      <c r="J400" t="s">
        <v>22</v>
      </c>
      <c r="K400" s="11"/>
      <c r="L400" s="11"/>
      <c r="M400" s="11"/>
      <c r="N400" s="11">
        <v>58.700169725000002</v>
      </c>
      <c r="O400" s="11"/>
      <c r="P400" s="33"/>
      <c r="R400" s="12"/>
      <c r="S400" s="20"/>
      <c r="T400" s="17"/>
      <c r="U400" s="12" t="s">
        <v>36</v>
      </c>
      <c r="V400" s="11">
        <v>1.7</v>
      </c>
      <c r="W400" s="11">
        <v>-4.0999999999999996</v>
      </c>
    </row>
    <row r="401" spans="1:29" x14ac:dyDescent="0.2">
      <c r="A401">
        <v>1328</v>
      </c>
      <c r="B401" s="1">
        <v>46228</v>
      </c>
      <c r="C401" s="2">
        <v>0.47949074074074072</v>
      </c>
      <c r="D401" t="s">
        <v>18</v>
      </c>
      <c r="E401" s="12" t="s">
        <v>33</v>
      </c>
      <c r="F401" s="11">
        <v>85.116756961999997</v>
      </c>
      <c r="G401" s="4">
        <v>1093.8356900000001</v>
      </c>
      <c r="H401" s="20">
        <v>0</v>
      </c>
      <c r="I401" s="17"/>
      <c r="J401" t="s">
        <v>22</v>
      </c>
      <c r="K401" s="11"/>
      <c r="L401" s="11"/>
      <c r="M401" s="11"/>
      <c r="N401" s="11"/>
      <c r="O401" s="11"/>
      <c r="P401" s="33"/>
      <c r="R401" s="12"/>
      <c r="S401" s="20"/>
      <c r="T401" s="17"/>
      <c r="U401" s="12" t="s">
        <v>33</v>
      </c>
      <c r="V401" s="11">
        <v>19.5</v>
      </c>
      <c r="W401" s="11">
        <v>3.8</v>
      </c>
    </row>
    <row r="402" spans="1:29" x14ac:dyDescent="0.2">
      <c r="A402">
        <v>1329</v>
      </c>
      <c r="B402" s="1">
        <v>46228</v>
      </c>
      <c r="C402" s="2">
        <v>0.47971064814814812</v>
      </c>
      <c r="D402" t="s">
        <v>18</v>
      </c>
      <c r="E402" s="12" t="s">
        <v>37</v>
      </c>
      <c r="F402" s="11">
        <v>74.064279878999997</v>
      </c>
      <c r="G402" s="4">
        <v>1116.1076700000001</v>
      </c>
      <c r="H402" s="20">
        <v>0</v>
      </c>
      <c r="I402" s="17"/>
      <c r="J402" t="s">
        <v>22</v>
      </c>
      <c r="K402" s="11"/>
      <c r="L402" s="11"/>
      <c r="M402" s="11"/>
      <c r="N402" s="11"/>
      <c r="O402" s="11"/>
      <c r="P402" s="33"/>
      <c r="R402" s="12"/>
      <c r="S402" s="20"/>
      <c r="T402" s="17"/>
      <c r="U402" s="12" t="s">
        <v>37</v>
      </c>
      <c r="V402" s="11">
        <v>-9.1</v>
      </c>
      <c r="W402" s="11">
        <v>-1.1000000000000001</v>
      </c>
    </row>
    <row r="403" spans="1:29" x14ac:dyDescent="0.2">
      <c r="A403">
        <v>1330</v>
      </c>
      <c r="B403" s="1">
        <v>46228</v>
      </c>
      <c r="C403" s="2">
        <v>0.47997685185185185</v>
      </c>
      <c r="D403" t="s">
        <v>18</v>
      </c>
      <c r="E403" s="12" t="s">
        <v>36</v>
      </c>
      <c r="F403" s="11">
        <v>77.986638886999998</v>
      </c>
      <c r="G403" s="4">
        <v>2131.8637699999999</v>
      </c>
      <c r="H403" s="20">
        <v>0</v>
      </c>
      <c r="I403" s="17" t="s">
        <v>48</v>
      </c>
      <c r="J403" t="s">
        <v>22</v>
      </c>
      <c r="K403" s="11"/>
      <c r="L403" s="11"/>
      <c r="M403" s="11"/>
      <c r="N403" s="11"/>
      <c r="O403" s="11"/>
      <c r="P403" s="33"/>
      <c r="R403" s="12"/>
      <c r="S403" s="20"/>
      <c r="T403" s="17"/>
      <c r="U403" s="12" t="s">
        <v>36</v>
      </c>
      <c r="V403" s="11">
        <v>-0.2</v>
      </c>
      <c r="W403" s="11">
        <v>-2.8</v>
      </c>
    </row>
    <row r="404" spans="1:29" s="155" customFormat="1" x14ac:dyDescent="0.2">
      <c r="A404" s="155">
        <v>1331</v>
      </c>
      <c r="B404" s="156">
        <v>46228</v>
      </c>
      <c r="C404" s="157">
        <v>0.4802777777777778</v>
      </c>
      <c r="D404" s="155" t="s">
        <v>18</v>
      </c>
      <c r="E404" s="217" t="s">
        <v>33</v>
      </c>
      <c r="F404" s="159">
        <v>85.561394071999999</v>
      </c>
      <c r="G404" s="160">
        <v>2305.65283</v>
      </c>
      <c r="H404" s="161">
        <v>1</v>
      </c>
      <c r="I404" s="162" t="s">
        <v>255</v>
      </c>
      <c r="J404" s="155" t="s">
        <v>22</v>
      </c>
      <c r="K404" s="159">
        <v>68.751034778000005</v>
      </c>
      <c r="L404" s="159">
        <v>-5.5646567300000003</v>
      </c>
      <c r="M404" s="159">
        <v>-25.767633400000001</v>
      </c>
      <c r="N404" s="159">
        <v>63.494294009999997</v>
      </c>
      <c r="O404" s="159">
        <v>24</v>
      </c>
      <c r="P404" s="174">
        <v>0.65740500000000002</v>
      </c>
      <c r="R404" s="217"/>
      <c r="S404" s="161"/>
      <c r="T404" s="162"/>
      <c r="U404" s="217" t="s">
        <v>33</v>
      </c>
      <c r="V404" s="159">
        <v>20.9</v>
      </c>
      <c r="W404" s="159">
        <v>6.4</v>
      </c>
      <c r="AA404"/>
      <c r="AB404"/>
      <c r="AC404"/>
    </row>
  </sheetData>
  <sortState xmlns:xlrd2="http://schemas.microsoft.com/office/spreadsheetml/2017/richdata2" ref="AA86:AC385">
    <sortCondition ref="AA86:AA385"/>
    <sortCondition ref="AC86:AC385"/>
  </sortState>
  <mergeCells count="8">
    <mergeCell ref="A5:A25"/>
    <mergeCell ref="A62:A77"/>
    <mergeCell ref="A78:A82"/>
    <mergeCell ref="B1:M1"/>
    <mergeCell ref="B2:M2"/>
    <mergeCell ref="A26:A33"/>
    <mergeCell ref="A34:A49"/>
    <mergeCell ref="A50:A61"/>
  </mergeCells>
  <conditionalFormatting sqref="C9:M9">
    <cfRule type="cellIs" dxfId="245" priority="53" operator="lessThan">
      <formula>0.625</formula>
    </cfRule>
    <cfRule type="cellIs" dxfId="244" priority="54" operator="greaterThanOrEqual">
      <formula>0.625</formula>
    </cfRule>
  </conditionalFormatting>
  <conditionalFormatting sqref="C37:M37">
    <cfRule type="cellIs" dxfId="243" priority="56" operator="greaterThanOrEqual">
      <formula>0.625</formula>
    </cfRule>
    <cfRule type="cellIs" dxfId="242" priority="55" operator="lessThan">
      <formula>0.625</formula>
    </cfRule>
  </conditionalFormatting>
  <conditionalFormatting sqref="C41:M41 C45:M45 C49:M49">
    <cfRule type="cellIs" dxfId="241" priority="58" operator="greaterThanOrEqual">
      <formula>0.6</formula>
    </cfRule>
    <cfRule type="cellIs" dxfId="240" priority="57" operator="lessThan">
      <formula>0.6</formula>
    </cfRule>
  </conditionalFormatting>
  <conditionalFormatting sqref="D85:D404">
    <cfRule type="containsText" dxfId="239" priority="71" operator="containsText" text="Sebastian Garcia">
      <formula>NOT(ISERROR(SEARCH("Sebastian Garcia",D85)))</formula>
    </cfRule>
    <cfRule type="containsText" dxfId="238" priority="70" operator="containsText" text="Drew Craig">
      <formula>NOT(ISERROR(SEARCH("Drew Craig",D85)))</formula>
    </cfRule>
    <cfRule type="containsText" dxfId="237" priority="69" operator="containsText" text="Gabriel Esteban">
      <formula>NOT(ISERROR(SEARCH("Gabriel Esteban",D85)))</formula>
    </cfRule>
    <cfRule type="containsText" dxfId="236" priority="68" operator="containsText" text="Reagan Samples">
      <formula>NOT(ISERROR(SEARCH("Reagan Samples",D85)))</formula>
    </cfRule>
    <cfRule type="containsText" dxfId="235" priority="67" operator="containsText" text="Jonathon Van Ness">
      <formula>NOT(ISERROR(SEARCH("Jonathon Van Ness",D85)))</formula>
    </cfRule>
  </conditionalFormatting>
  <conditionalFormatting sqref="I85:I404">
    <cfRule type="containsText" dxfId="234" priority="66" operator="containsText" text="BB">
      <formula>NOT(ISERROR(SEARCH("BB",I85)))</formula>
    </cfRule>
    <cfRule type="containsText" dxfId="233" priority="65" operator="containsText" text="K">
      <formula>NOT(ISERROR(SEARCH("K",I85)))</formula>
    </cfRule>
    <cfRule type="containsText" dxfId="232" priority="64" operator="containsText" text="bK">
      <formula>NOT(ISERROR(SEARCH("bK",I85)))</formula>
    </cfRule>
    <cfRule type="containsText" dxfId="231" priority="63" operator="containsText" text="In Play">
      <formula>NOT(ISERROR(SEARCH("In Play",I85)))</formula>
    </cfRule>
  </conditionalFormatting>
  <conditionalFormatting sqref="J85:J404">
    <cfRule type="containsText" dxfId="230" priority="77" operator="containsText" text="Easton Steck">
      <formula>NOT(ISERROR(SEARCH("Easton Steck",J85)))</formula>
    </cfRule>
    <cfRule type="containsText" dxfId="229" priority="80" operator="containsText" text="Aidan Young">
      <formula>NOT(ISERROR(SEARCH("Aidan Young",J85)))</formula>
    </cfRule>
    <cfRule type="containsText" dxfId="228" priority="75" operator="containsText" text="Jackson Orr">
      <formula>NOT(ISERROR(SEARCH("Jackson Orr",J85)))</formula>
    </cfRule>
    <cfRule type="containsText" dxfId="227" priority="74" operator="containsText" text="Reagan Samples">
      <formula>NOT(ISERROR(SEARCH("Reagan Samples",J85)))</formula>
    </cfRule>
    <cfRule type="containsText" dxfId="226" priority="73" operator="containsText" text="Ryan Han">
      <formula>NOT(ISERROR(SEARCH("Ryan Han",J85)))</formula>
    </cfRule>
    <cfRule type="containsText" dxfId="225" priority="72" operator="containsText" text="Caleb Koontz">
      <formula>NOT(ISERROR(SEARCH("Caleb Koontz",J85)))</formula>
    </cfRule>
    <cfRule type="containsText" dxfId="224" priority="76" operator="containsText" text="Carter Walsh">
      <formula>NOT(ISERROR(SEARCH("Carter Walsh",J85)))</formula>
    </cfRule>
    <cfRule type="containsText" dxfId="223" priority="78" operator="containsText" text="Michael Caranna">
      <formula>NOT(ISERROR(SEARCH("Michael Caranna",J85)))</formula>
    </cfRule>
    <cfRule type="containsText" dxfId="222" priority="79" operator="containsText" text="Michael Chang">
      <formula>NOT(ISERROR(SEARCH("Michael Chang",J85)))</formula>
    </cfRule>
  </conditionalFormatting>
  <conditionalFormatting sqref="R86:R318">
    <cfRule type="containsText" dxfId="221" priority="25" operator="containsText" text="FB">
      <formula>NOT(ISERROR(SEARCH("FB",R86)))</formula>
    </cfRule>
    <cfRule type="containsText" dxfId="220" priority="28" operator="containsText" text="CH">
      <formula>NOT(ISERROR(SEARCH("CH",R86)))</formula>
    </cfRule>
    <cfRule type="containsText" dxfId="219" priority="27" operator="containsText" text="CT">
      <formula>NOT(ISERROR(SEARCH("CT",R86)))</formula>
    </cfRule>
    <cfRule type="containsText" dxfId="218" priority="26" operator="containsText" text="SL">
      <formula>NOT(ISERROR(SEARCH("SL",R86)))</formula>
    </cfRule>
  </conditionalFormatting>
  <conditionalFormatting sqref="R338:R404">
    <cfRule type="containsText" dxfId="217" priority="19" operator="containsText" text="CT">
      <formula>NOT(ISERROR(SEARCH("CT",R338)))</formula>
    </cfRule>
    <cfRule type="containsText" dxfId="216" priority="20" operator="containsText" text="CH">
      <formula>NOT(ISERROR(SEARCH("CH",R338)))</formula>
    </cfRule>
    <cfRule type="containsText" dxfId="215" priority="17" operator="containsText" text="FB">
      <formula>NOT(ISERROR(SEARCH("FB",R338)))</formula>
    </cfRule>
    <cfRule type="containsText" dxfId="214" priority="18" operator="containsText" text="SL">
      <formula>NOT(ISERROR(SEARCH("SL",R338)))</formula>
    </cfRule>
  </conditionalFormatting>
  <conditionalFormatting sqref="T86:T318">
    <cfRule type="containsText" dxfId="213" priority="21" operator="containsText" text="In Play">
      <formula>NOT(ISERROR(SEARCH("In Play",T86)))</formula>
    </cfRule>
    <cfRule type="containsText" dxfId="212" priority="22" operator="containsText" text="bK">
      <formula>NOT(ISERROR(SEARCH("bK",T86)))</formula>
    </cfRule>
    <cfRule type="containsText" dxfId="211" priority="23" operator="containsText" text="K">
      <formula>NOT(ISERROR(SEARCH("K",T86)))</formula>
    </cfRule>
    <cfRule type="containsText" dxfId="210" priority="24" operator="containsText" text="BB">
      <formula>NOT(ISERROR(SEARCH("BB",T86)))</formula>
    </cfRule>
  </conditionalFormatting>
  <conditionalFormatting sqref="T338:T404">
    <cfRule type="containsText" dxfId="209" priority="16" operator="containsText" text="BB">
      <formula>NOT(ISERROR(SEARCH("BB",T338)))</formula>
    </cfRule>
    <cfRule type="containsText" dxfId="208" priority="15" operator="containsText" text="K">
      <formula>NOT(ISERROR(SEARCH("K",T338)))</formula>
    </cfRule>
    <cfRule type="containsText" dxfId="207" priority="14" operator="containsText" text="bK">
      <formula>NOT(ISERROR(SEARCH("bK",T338)))</formula>
    </cfRule>
    <cfRule type="containsText" dxfId="206" priority="13" operator="containsText" text="In Play">
      <formula>NOT(ISERROR(SEARCH("In Play",T338)))</formula>
    </cfRule>
  </conditionalFormatting>
  <conditionalFormatting sqref="U379:U404">
    <cfRule type="containsText" dxfId="205" priority="9" operator="containsText" text="FB">
      <formula>NOT(ISERROR(SEARCH("FB",U379)))</formula>
    </cfRule>
    <cfRule type="containsText" dxfId="204" priority="12" operator="containsText" text="CH">
      <formula>NOT(ISERROR(SEARCH("CH",U379)))</formula>
    </cfRule>
    <cfRule type="containsText" dxfId="203" priority="11" operator="containsText" text="CT">
      <formula>NOT(ISERROR(SEARCH("CT",U379)))</formula>
    </cfRule>
    <cfRule type="containsText" dxfId="202" priority="10" operator="containsText" text="SL">
      <formula>NOT(ISERROR(SEARCH("SL",U379)))</formula>
    </cfRule>
  </conditionalFormatting>
  <conditionalFormatting sqref="AA86:AA385 E86:E404">
    <cfRule type="containsText" dxfId="201" priority="59" operator="containsText" text="FB">
      <formula>NOT(ISERROR(SEARCH("FB",E86)))</formula>
    </cfRule>
    <cfRule type="containsText" dxfId="200" priority="62" operator="containsText" text="CH">
      <formula>NOT(ISERROR(SEARCH("CH",E86)))</formula>
    </cfRule>
    <cfRule type="containsText" dxfId="199" priority="61" operator="containsText" text="CT">
      <formula>NOT(ISERROR(SEARCH("CT",E86)))</formula>
    </cfRule>
    <cfRule type="containsText" dxfId="198" priority="60" operator="containsText" text="SL">
      <formula>NOT(ISERROR(SEARCH("SL",E86)))</formula>
    </cfRule>
  </conditionalFormatting>
  <conditionalFormatting sqref="AC86:AC385">
    <cfRule type="containsText" dxfId="197" priority="81" operator="containsText" text="In Play">
      <formula>NOT(ISERROR(SEARCH("In Play",AC86)))</formula>
    </cfRule>
    <cfRule type="containsText" dxfId="196" priority="82" operator="containsText" text="bK">
      <formula>NOT(ISERROR(SEARCH("bK",AC86)))</formula>
    </cfRule>
    <cfRule type="containsText" dxfId="195" priority="83" operator="containsText" text="K">
      <formula>NOT(ISERROR(SEARCH("K",AC86)))</formula>
    </cfRule>
    <cfRule type="containsText" dxfId="194" priority="84" operator="containsText" text="BB">
      <formula>NOT(ISERROR(SEARCH("BB",AC86)))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DB3D2-7019-DE4F-B69A-F9BE0AF6AAE9}">
  <dimension ref="A1:U404"/>
  <sheetViews>
    <sheetView workbookViewId="0">
      <pane ySplit="3" topLeftCell="A59" activePane="bottomLeft" state="frozen"/>
      <selection pane="bottomLeft" activeCell="I130" sqref="I130"/>
    </sheetView>
  </sheetViews>
  <sheetFormatPr baseColWidth="10" defaultRowHeight="16" x14ac:dyDescent="0.2"/>
  <cols>
    <col min="1" max="1" width="7.83203125" bestFit="1" customWidth="1"/>
    <col min="2" max="2" width="12" bestFit="1" customWidth="1"/>
    <col min="3" max="3" width="11" style="10" bestFit="1" customWidth="1"/>
    <col min="4" max="4" width="14" style="10" bestFit="1" customWidth="1"/>
    <col min="5" max="6" width="12.5" style="10" bestFit="1" customWidth="1"/>
    <col min="7" max="7" width="10.83203125" style="10"/>
    <col min="8" max="8" width="10.83203125" style="147"/>
    <col min="9" max="9" width="11.6640625" style="10" bestFit="1" customWidth="1"/>
    <col min="10" max="10" width="15" style="10" bestFit="1" customWidth="1"/>
    <col min="11" max="13" width="11.6640625" style="10" bestFit="1" customWidth="1"/>
    <col min="16" max="16" width="11.1640625" style="5" bestFit="1" customWidth="1"/>
  </cols>
  <sheetData>
    <row r="1" spans="1:16" ht="33" thickBot="1" x14ac:dyDescent="0.45">
      <c r="B1" s="256" t="s">
        <v>128</v>
      </c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8"/>
      <c r="P1" s="220"/>
    </row>
    <row r="2" spans="1:16" ht="23" thickBot="1" x14ac:dyDescent="0.25">
      <c r="B2" s="259" t="s">
        <v>131</v>
      </c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1"/>
      <c r="P2" s="220"/>
    </row>
    <row r="3" spans="1:16" ht="18" customHeight="1" x14ac:dyDescent="0.2">
      <c r="B3" s="24" t="s">
        <v>1</v>
      </c>
      <c r="C3" s="25">
        <v>46193</v>
      </c>
      <c r="D3" s="25">
        <v>46197</v>
      </c>
      <c r="E3" s="25">
        <v>46200</v>
      </c>
      <c r="F3" s="25">
        <v>46203</v>
      </c>
      <c r="G3" s="25">
        <v>46214</v>
      </c>
      <c r="H3" s="140">
        <v>46218</v>
      </c>
      <c r="I3" s="148">
        <v>46224</v>
      </c>
      <c r="J3" s="25">
        <v>46228</v>
      </c>
      <c r="K3" s="25" t="s">
        <v>226</v>
      </c>
      <c r="L3" s="25"/>
      <c r="M3" s="26"/>
      <c r="P3" s="220"/>
    </row>
    <row r="4" spans="1:16" ht="17" thickBot="1" x14ac:dyDescent="0.25">
      <c r="B4" s="27" t="s">
        <v>61</v>
      </c>
      <c r="C4" s="28" t="s">
        <v>201</v>
      </c>
      <c r="D4" s="28" t="s">
        <v>202</v>
      </c>
      <c r="E4" s="28" t="s">
        <v>201</v>
      </c>
      <c r="F4" s="28" t="s">
        <v>202</v>
      </c>
      <c r="G4" s="28" t="s">
        <v>202</v>
      </c>
      <c r="H4" s="141" t="s">
        <v>202</v>
      </c>
      <c r="I4" s="149" t="s">
        <v>202</v>
      </c>
      <c r="J4" s="28" t="s">
        <v>202</v>
      </c>
      <c r="K4" s="28"/>
      <c r="L4" s="28"/>
      <c r="M4" s="29"/>
      <c r="P4" s="220"/>
    </row>
    <row r="5" spans="1:16" ht="16" customHeight="1" x14ac:dyDescent="0.2">
      <c r="A5" s="262" t="s">
        <v>62</v>
      </c>
      <c r="B5" s="30" t="s">
        <v>63</v>
      </c>
      <c r="C5" s="134">
        <v>1</v>
      </c>
      <c r="D5" s="134">
        <v>2</v>
      </c>
      <c r="E5" s="134">
        <f>5/3</f>
        <v>1.6666666666666667</v>
      </c>
      <c r="F5" s="134">
        <f>5/3</f>
        <v>1.6666666666666667</v>
      </c>
      <c r="G5" s="134">
        <v>2</v>
      </c>
      <c r="H5" s="31">
        <f>7/3</f>
        <v>2.3333333333333335</v>
      </c>
      <c r="I5" s="137">
        <v>3</v>
      </c>
      <c r="J5" s="137">
        <f>4/3</f>
        <v>1.3333333333333333</v>
      </c>
      <c r="K5" s="31">
        <v>0</v>
      </c>
      <c r="L5" s="31">
        <v>0</v>
      </c>
      <c r="M5" s="31">
        <v>0</v>
      </c>
      <c r="P5" s="220"/>
    </row>
    <row r="6" spans="1:16" x14ac:dyDescent="0.2">
      <c r="A6" s="263"/>
      <c r="B6" s="30" t="s">
        <v>68</v>
      </c>
      <c r="C6" s="135">
        <v>23</v>
      </c>
      <c r="D6" s="135">
        <v>52</v>
      </c>
      <c r="E6" s="135">
        <v>26</v>
      </c>
      <c r="F6" s="135">
        <v>35</v>
      </c>
      <c r="G6" s="135">
        <v>29</v>
      </c>
      <c r="H6" s="32">
        <v>46</v>
      </c>
      <c r="I6" s="138">
        <v>58</v>
      </c>
      <c r="J6" s="138">
        <v>19</v>
      </c>
      <c r="K6" s="32">
        <v>0</v>
      </c>
      <c r="L6" s="32">
        <v>0</v>
      </c>
      <c r="M6" s="32">
        <v>0</v>
      </c>
      <c r="P6" s="220"/>
    </row>
    <row r="7" spans="1:16" x14ac:dyDescent="0.2">
      <c r="A7" s="263"/>
      <c r="B7" s="30" t="s">
        <v>69</v>
      </c>
      <c r="C7" s="135">
        <v>9</v>
      </c>
      <c r="D7" s="135">
        <v>24</v>
      </c>
      <c r="E7" s="135">
        <v>11</v>
      </c>
      <c r="F7" s="135">
        <v>15</v>
      </c>
      <c r="G7" s="135">
        <v>10</v>
      </c>
      <c r="H7" s="32">
        <v>21</v>
      </c>
      <c r="I7" s="138">
        <v>19</v>
      </c>
      <c r="J7" s="138">
        <v>8</v>
      </c>
      <c r="K7" s="32">
        <v>0</v>
      </c>
      <c r="L7" s="32">
        <v>0</v>
      </c>
      <c r="M7" s="32">
        <v>0</v>
      </c>
      <c r="P7" s="220"/>
    </row>
    <row r="8" spans="1:16" x14ac:dyDescent="0.2">
      <c r="A8" s="263"/>
      <c r="B8" s="30" t="s">
        <v>59</v>
      </c>
      <c r="C8" s="135">
        <v>14</v>
      </c>
      <c r="D8" s="135">
        <v>28</v>
      </c>
      <c r="E8" s="135">
        <v>15</v>
      </c>
      <c r="F8" s="135">
        <v>20</v>
      </c>
      <c r="G8" s="135">
        <v>19</v>
      </c>
      <c r="H8" s="32">
        <v>25</v>
      </c>
      <c r="I8" s="138">
        <v>39</v>
      </c>
      <c r="J8" s="138">
        <v>11</v>
      </c>
      <c r="K8" s="32">
        <v>0</v>
      </c>
      <c r="L8" s="32">
        <v>0</v>
      </c>
      <c r="M8" s="32">
        <v>0</v>
      </c>
      <c r="P8" s="220"/>
    </row>
    <row r="9" spans="1:16" x14ac:dyDescent="0.2">
      <c r="A9" s="263"/>
      <c r="B9" s="30" t="s">
        <v>70</v>
      </c>
      <c r="C9" s="33">
        <f t="shared" ref="C9:M9" si="0">C8/C6</f>
        <v>0.60869565217391308</v>
      </c>
      <c r="D9" s="33">
        <f t="shared" si="0"/>
        <v>0.53846153846153844</v>
      </c>
      <c r="E9" s="33">
        <f t="shared" si="0"/>
        <v>0.57692307692307687</v>
      </c>
      <c r="F9" s="33">
        <f t="shared" si="0"/>
        <v>0.5714285714285714</v>
      </c>
      <c r="G9" s="33">
        <f t="shared" si="0"/>
        <v>0.65517241379310343</v>
      </c>
      <c r="H9" s="142">
        <f t="shared" si="0"/>
        <v>0.54347826086956519</v>
      </c>
      <c r="I9" s="150">
        <f t="shared" si="0"/>
        <v>0.67241379310344829</v>
      </c>
      <c r="J9" s="33">
        <f t="shared" si="0"/>
        <v>0.57894736842105265</v>
      </c>
      <c r="K9" s="33" t="e">
        <f t="shared" si="0"/>
        <v>#DIV/0!</v>
      </c>
      <c r="L9" s="33" t="e">
        <f t="shared" si="0"/>
        <v>#DIV/0!</v>
      </c>
      <c r="M9" s="33" t="e">
        <f t="shared" si="0"/>
        <v>#DIV/0!</v>
      </c>
      <c r="P9" s="220"/>
    </row>
    <row r="10" spans="1:16" x14ac:dyDescent="0.2">
      <c r="A10" s="263"/>
      <c r="B10" s="30" t="s">
        <v>71</v>
      </c>
      <c r="C10" s="14">
        <f t="shared" ref="C10:M10" si="1">C6/C5</f>
        <v>23</v>
      </c>
      <c r="D10" s="14">
        <f t="shared" si="1"/>
        <v>26</v>
      </c>
      <c r="E10" s="14">
        <f t="shared" si="1"/>
        <v>15.6</v>
      </c>
      <c r="F10" s="14">
        <f t="shared" si="1"/>
        <v>21</v>
      </c>
      <c r="G10" s="14">
        <f t="shared" si="1"/>
        <v>14.5</v>
      </c>
      <c r="H10" s="143">
        <f t="shared" si="1"/>
        <v>19.714285714285712</v>
      </c>
      <c r="I10" s="151">
        <f t="shared" si="1"/>
        <v>19.333333333333332</v>
      </c>
      <c r="J10" s="14">
        <f t="shared" si="1"/>
        <v>14.25</v>
      </c>
      <c r="K10" s="14" t="e">
        <f t="shared" si="1"/>
        <v>#DIV/0!</v>
      </c>
      <c r="L10" s="14" t="e">
        <f t="shared" si="1"/>
        <v>#DIV/0!</v>
      </c>
      <c r="M10" s="14" t="e">
        <f t="shared" si="1"/>
        <v>#DIV/0!</v>
      </c>
      <c r="P10" s="220"/>
    </row>
    <row r="11" spans="1:16" x14ac:dyDescent="0.2">
      <c r="A11" s="263"/>
      <c r="B11" s="30" t="s">
        <v>72</v>
      </c>
      <c r="C11" s="11">
        <f t="shared" ref="C11:M11" si="2">C6/C12</f>
        <v>5.75</v>
      </c>
      <c r="D11" s="11">
        <f t="shared" si="2"/>
        <v>4.7272727272727275</v>
      </c>
      <c r="E11" s="11">
        <f t="shared" si="2"/>
        <v>5.2</v>
      </c>
      <c r="F11" s="11">
        <f t="shared" si="2"/>
        <v>4.375</v>
      </c>
      <c r="G11" s="11">
        <f t="shared" si="2"/>
        <v>3.2222222222222223</v>
      </c>
      <c r="H11" s="144">
        <f t="shared" si="2"/>
        <v>4.5999999999999996</v>
      </c>
      <c r="I11" s="152">
        <f t="shared" si="2"/>
        <v>3.8666666666666667</v>
      </c>
      <c r="J11" s="11">
        <f t="shared" si="2"/>
        <v>3.8</v>
      </c>
      <c r="K11" s="11" t="e">
        <f t="shared" si="2"/>
        <v>#DIV/0!</v>
      </c>
      <c r="L11" s="11" t="e">
        <f t="shared" si="2"/>
        <v>#DIV/0!</v>
      </c>
      <c r="M11" s="11" t="e">
        <f t="shared" si="2"/>
        <v>#DIV/0!</v>
      </c>
      <c r="P11" s="220"/>
    </row>
    <row r="12" spans="1:16" x14ac:dyDescent="0.2">
      <c r="A12" s="263"/>
      <c r="B12" s="30" t="s">
        <v>73</v>
      </c>
      <c r="C12" s="135">
        <v>4</v>
      </c>
      <c r="D12" s="135">
        <v>11</v>
      </c>
      <c r="E12" s="135">
        <v>5</v>
      </c>
      <c r="F12" s="135">
        <v>8</v>
      </c>
      <c r="G12" s="135">
        <v>9</v>
      </c>
      <c r="H12" s="32">
        <v>10</v>
      </c>
      <c r="I12" s="138">
        <v>15</v>
      </c>
      <c r="J12" s="138">
        <v>5</v>
      </c>
      <c r="K12" s="32">
        <v>0</v>
      </c>
      <c r="L12" s="32">
        <v>0</v>
      </c>
      <c r="M12" s="32">
        <v>0</v>
      </c>
      <c r="P12" s="220"/>
    </row>
    <row r="13" spans="1:16" x14ac:dyDescent="0.2">
      <c r="A13" s="263"/>
      <c r="B13" s="30" t="s">
        <v>74</v>
      </c>
      <c r="C13" s="135">
        <v>1</v>
      </c>
      <c r="D13" s="135">
        <v>0</v>
      </c>
      <c r="E13" s="135">
        <v>0</v>
      </c>
      <c r="F13" s="135">
        <v>2</v>
      </c>
      <c r="G13" s="135">
        <v>2</v>
      </c>
      <c r="H13" s="32">
        <v>1</v>
      </c>
      <c r="I13" s="138">
        <v>4</v>
      </c>
      <c r="J13" s="138">
        <v>1</v>
      </c>
      <c r="K13" s="32">
        <v>0</v>
      </c>
      <c r="L13" s="32">
        <v>0</v>
      </c>
      <c r="M13" s="32">
        <v>0</v>
      </c>
      <c r="P13" s="220"/>
    </row>
    <row r="14" spans="1:16" x14ac:dyDescent="0.2">
      <c r="A14" s="263"/>
      <c r="B14" s="30" t="s">
        <v>48</v>
      </c>
      <c r="C14" s="135">
        <v>1</v>
      </c>
      <c r="D14" s="135">
        <v>5</v>
      </c>
      <c r="E14" s="135">
        <v>0</v>
      </c>
      <c r="F14" s="135">
        <v>1</v>
      </c>
      <c r="G14" s="135">
        <v>1</v>
      </c>
      <c r="H14" s="32">
        <v>2</v>
      </c>
      <c r="I14" s="138">
        <v>1</v>
      </c>
      <c r="J14" s="138">
        <v>0</v>
      </c>
      <c r="K14" s="32">
        <v>0</v>
      </c>
      <c r="L14" s="32">
        <v>0</v>
      </c>
      <c r="M14" s="32">
        <v>0</v>
      </c>
      <c r="P14" s="220"/>
    </row>
    <row r="15" spans="1:16" x14ac:dyDescent="0.2">
      <c r="A15" s="263"/>
      <c r="B15" s="30" t="s">
        <v>75</v>
      </c>
      <c r="C15" s="33">
        <f t="shared" ref="C15:M15" si="3">C14/C12</f>
        <v>0.25</v>
      </c>
      <c r="D15" s="33">
        <f t="shared" si="3"/>
        <v>0.45454545454545453</v>
      </c>
      <c r="E15" s="33">
        <f t="shared" si="3"/>
        <v>0</v>
      </c>
      <c r="F15" s="33">
        <f t="shared" si="3"/>
        <v>0.125</v>
      </c>
      <c r="G15" s="33">
        <f t="shared" si="3"/>
        <v>0.1111111111111111</v>
      </c>
      <c r="H15" s="142">
        <f t="shared" si="3"/>
        <v>0.2</v>
      </c>
      <c r="I15" s="150">
        <f t="shared" si="3"/>
        <v>6.6666666666666666E-2</v>
      </c>
      <c r="J15" s="33">
        <f t="shared" si="3"/>
        <v>0</v>
      </c>
      <c r="K15" s="33" t="e">
        <f t="shared" si="3"/>
        <v>#DIV/0!</v>
      </c>
      <c r="L15" s="33" t="e">
        <f t="shared" si="3"/>
        <v>#DIV/0!</v>
      </c>
      <c r="M15" s="33" t="e">
        <f t="shared" si="3"/>
        <v>#DIV/0!</v>
      </c>
      <c r="P15" s="220"/>
    </row>
    <row r="16" spans="1:16" x14ac:dyDescent="0.2">
      <c r="A16" s="263"/>
      <c r="B16" s="30" t="s">
        <v>76</v>
      </c>
      <c r="C16" s="11">
        <f t="shared" ref="C16:M16" si="4">(C14/C5)*7</f>
        <v>7</v>
      </c>
      <c r="D16" s="11">
        <f t="shared" si="4"/>
        <v>17.5</v>
      </c>
      <c r="E16" s="11">
        <f t="shared" si="4"/>
        <v>0</v>
      </c>
      <c r="F16" s="11">
        <f t="shared" si="4"/>
        <v>4.2</v>
      </c>
      <c r="G16" s="11">
        <f t="shared" si="4"/>
        <v>3.5</v>
      </c>
      <c r="H16" s="144">
        <f t="shared" si="4"/>
        <v>6</v>
      </c>
      <c r="I16" s="152">
        <f t="shared" si="4"/>
        <v>2.333333333333333</v>
      </c>
      <c r="J16" s="11">
        <f t="shared" si="4"/>
        <v>0</v>
      </c>
      <c r="K16" s="11" t="e">
        <f t="shared" si="4"/>
        <v>#DIV/0!</v>
      </c>
      <c r="L16" s="11" t="e">
        <f t="shared" si="4"/>
        <v>#DIV/0!</v>
      </c>
      <c r="M16" s="11" t="e">
        <f t="shared" si="4"/>
        <v>#DIV/0!</v>
      </c>
      <c r="P16" s="220"/>
    </row>
    <row r="17" spans="1:16" x14ac:dyDescent="0.2">
      <c r="A17" s="263"/>
      <c r="B17" s="30" t="s">
        <v>41</v>
      </c>
      <c r="C17" s="136">
        <v>0</v>
      </c>
      <c r="D17" s="136">
        <v>0</v>
      </c>
      <c r="E17" s="136">
        <v>0</v>
      </c>
      <c r="F17" s="136">
        <v>0</v>
      </c>
      <c r="G17" s="136">
        <v>0</v>
      </c>
      <c r="H17" s="34">
        <v>0</v>
      </c>
      <c r="I17" s="139">
        <v>0</v>
      </c>
      <c r="J17" s="139">
        <v>0</v>
      </c>
      <c r="K17" s="34">
        <v>0</v>
      </c>
      <c r="L17" s="34">
        <v>0</v>
      </c>
      <c r="M17" s="34">
        <v>0</v>
      </c>
      <c r="P17" s="220"/>
    </row>
    <row r="18" spans="1:16" x14ac:dyDescent="0.2">
      <c r="A18" s="263"/>
      <c r="B18" s="30" t="s">
        <v>79</v>
      </c>
      <c r="C18" s="35">
        <f t="shared" ref="C18:M18" si="5">(C14+C13)/C5</f>
        <v>2</v>
      </c>
      <c r="D18" s="35">
        <f t="shared" si="5"/>
        <v>2.5</v>
      </c>
      <c r="E18" s="35">
        <f t="shared" si="5"/>
        <v>0</v>
      </c>
      <c r="F18" s="35">
        <f t="shared" si="5"/>
        <v>1.7999999999999998</v>
      </c>
      <c r="G18" s="35">
        <f t="shared" si="5"/>
        <v>1.5</v>
      </c>
      <c r="H18" s="145">
        <f t="shared" si="5"/>
        <v>1.2857142857142856</v>
      </c>
      <c r="I18" s="153">
        <f t="shared" si="5"/>
        <v>1.6666666666666667</v>
      </c>
      <c r="J18" s="35">
        <f t="shared" si="5"/>
        <v>0.75</v>
      </c>
      <c r="K18" s="35" t="e">
        <f t="shared" si="5"/>
        <v>#DIV/0!</v>
      </c>
      <c r="L18" s="35" t="e">
        <f t="shared" si="5"/>
        <v>#DIV/0!</v>
      </c>
      <c r="M18" s="35" t="e">
        <f t="shared" si="5"/>
        <v>#DIV/0!</v>
      </c>
      <c r="P18" s="220"/>
    </row>
    <row r="19" spans="1:16" x14ac:dyDescent="0.2">
      <c r="A19" s="263"/>
      <c r="B19" s="30" t="s">
        <v>81</v>
      </c>
      <c r="C19" s="135">
        <v>1</v>
      </c>
      <c r="D19" s="135">
        <v>1</v>
      </c>
      <c r="E19" s="135">
        <v>1</v>
      </c>
      <c r="F19" s="135">
        <v>2</v>
      </c>
      <c r="G19" s="135">
        <v>4</v>
      </c>
      <c r="H19" s="32">
        <v>2</v>
      </c>
      <c r="I19" s="138">
        <v>4</v>
      </c>
      <c r="J19" s="138">
        <v>0</v>
      </c>
      <c r="K19" s="32">
        <v>0</v>
      </c>
      <c r="L19" s="32">
        <v>0</v>
      </c>
      <c r="M19" s="32">
        <v>0</v>
      </c>
      <c r="P19" s="220"/>
    </row>
    <row r="20" spans="1:16" x14ac:dyDescent="0.2">
      <c r="A20" s="263"/>
      <c r="B20" s="30" t="s">
        <v>82</v>
      </c>
      <c r="C20" s="135">
        <v>0</v>
      </c>
      <c r="D20" s="135">
        <v>0</v>
      </c>
      <c r="E20" s="135">
        <v>0</v>
      </c>
      <c r="F20" s="135">
        <v>0</v>
      </c>
      <c r="G20" s="135">
        <v>1</v>
      </c>
      <c r="H20" s="32">
        <v>2</v>
      </c>
      <c r="I20" s="138">
        <v>2</v>
      </c>
      <c r="J20" s="138">
        <v>2</v>
      </c>
      <c r="K20" s="32">
        <v>0</v>
      </c>
      <c r="L20" s="32">
        <v>0</v>
      </c>
      <c r="M20" s="32">
        <v>0</v>
      </c>
      <c r="P20" s="220"/>
    </row>
    <row r="21" spans="1:16" x14ac:dyDescent="0.2">
      <c r="A21" s="263"/>
      <c r="B21" s="30" t="s">
        <v>83</v>
      </c>
      <c r="C21" s="11">
        <f t="shared" ref="C21:M21" si="6">((C19+C20)/C5)*7</f>
        <v>7</v>
      </c>
      <c r="D21" s="11">
        <f t="shared" si="6"/>
        <v>3.5</v>
      </c>
      <c r="E21" s="11">
        <f t="shared" si="6"/>
        <v>4.2</v>
      </c>
      <c r="F21" s="11">
        <f t="shared" si="6"/>
        <v>8.4</v>
      </c>
      <c r="G21" s="11">
        <f t="shared" si="6"/>
        <v>17.5</v>
      </c>
      <c r="H21" s="144">
        <f t="shared" si="6"/>
        <v>12</v>
      </c>
      <c r="I21" s="152">
        <f t="shared" si="6"/>
        <v>14</v>
      </c>
      <c r="J21" s="11">
        <f t="shared" si="6"/>
        <v>10.5</v>
      </c>
      <c r="K21" s="11" t="e">
        <f t="shared" si="6"/>
        <v>#DIV/0!</v>
      </c>
      <c r="L21" s="11" t="e">
        <f t="shared" si="6"/>
        <v>#DIV/0!</v>
      </c>
      <c r="M21" s="11" t="e">
        <f t="shared" si="6"/>
        <v>#DIV/0!</v>
      </c>
      <c r="P21" s="220"/>
    </row>
    <row r="22" spans="1:16" x14ac:dyDescent="0.2">
      <c r="A22" s="263"/>
      <c r="B22" s="30" t="s">
        <v>70</v>
      </c>
      <c r="C22" s="33">
        <f t="shared" ref="C22:M22" si="7">(C19+C20)/C12</f>
        <v>0.25</v>
      </c>
      <c r="D22" s="33">
        <f t="shared" si="7"/>
        <v>9.0909090909090912E-2</v>
      </c>
      <c r="E22" s="33">
        <f t="shared" si="7"/>
        <v>0.2</v>
      </c>
      <c r="F22" s="33">
        <f t="shared" si="7"/>
        <v>0.25</v>
      </c>
      <c r="G22" s="33">
        <f t="shared" si="7"/>
        <v>0.55555555555555558</v>
      </c>
      <c r="H22" s="142">
        <f t="shared" si="7"/>
        <v>0.4</v>
      </c>
      <c r="I22" s="150">
        <f t="shared" si="7"/>
        <v>0.4</v>
      </c>
      <c r="J22" s="33">
        <f t="shared" si="7"/>
        <v>0.4</v>
      </c>
      <c r="K22" s="33" t="e">
        <f t="shared" si="7"/>
        <v>#DIV/0!</v>
      </c>
      <c r="L22" s="33" t="e">
        <f t="shared" si="7"/>
        <v>#DIV/0!</v>
      </c>
      <c r="M22" s="33" t="e">
        <f t="shared" si="7"/>
        <v>#DIV/0!</v>
      </c>
      <c r="P22" s="220"/>
    </row>
    <row r="23" spans="1:16" x14ac:dyDescent="0.2">
      <c r="A23" s="263"/>
      <c r="B23" s="30" t="s">
        <v>84</v>
      </c>
      <c r="C23" s="11">
        <f t="shared" ref="C23:M23" si="8">(C19+C20)/C14</f>
        <v>1</v>
      </c>
      <c r="D23" s="11">
        <f t="shared" si="8"/>
        <v>0.2</v>
      </c>
      <c r="E23" s="11" t="e">
        <f t="shared" si="8"/>
        <v>#DIV/0!</v>
      </c>
      <c r="F23" s="11">
        <f t="shared" si="8"/>
        <v>2</v>
      </c>
      <c r="G23" s="11">
        <f t="shared" si="8"/>
        <v>5</v>
      </c>
      <c r="H23" s="144">
        <f t="shared" si="8"/>
        <v>2</v>
      </c>
      <c r="I23" s="152">
        <f t="shared" si="8"/>
        <v>6</v>
      </c>
      <c r="J23" s="11" t="e">
        <f t="shared" si="8"/>
        <v>#DIV/0!</v>
      </c>
      <c r="K23" s="11" t="e">
        <f t="shared" si="8"/>
        <v>#DIV/0!</v>
      </c>
      <c r="L23" s="11" t="e">
        <f t="shared" si="8"/>
        <v>#DIV/0!</v>
      </c>
      <c r="M23" s="11" t="e">
        <f t="shared" si="8"/>
        <v>#DIV/0!</v>
      </c>
      <c r="P23" s="220"/>
    </row>
    <row r="24" spans="1:16" x14ac:dyDescent="0.2">
      <c r="A24" s="263"/>
      <c r="B24" s="30" t="s">
        <v>85</v>
      </c>
      <c r="C24" s="33">
        <f t="shared" ref="C24:M24" si="9">C22-C15</f>
        <v>0</v>
      </c>
      <c r="D24" s="33">
        <f t="shared" si="9"/>
        <v>-0.36363636363636365</v>
      </c>
      <c r="E24" s="33">
        <f t="shared" si="9"/>
        <v>0.2</v>
      </c>
      <c r="F24" s="33">
        <f t="shared" si="9"/>
        <v>0.125</v>
      </c>
      <c r="G24" s="33">
        <f t="shared" si="9"/>
        <v>0.44444444444444448</v>
      </c>
      <c r="H24" s="142">
        <f t="shared" si="9"/>
        <v>0.2</v>
      </c>
      <c r="I24" s="150">
        <f t="shared" si="9"/>
        <v>0.33333333333333337</v>
      </c>
      <c r="J24" s="33">
        <f t="shared" si="9"/>
        <v>0.4</v>
      </c>
      <c r="K24" s="33" t="e">
        <f t="shared" si="9"/>
        <v>#DIV/0!</v>
      </c>
      <c r="L24" s="33" t="e">
        <f t="shared" si="9"/>
        <v>#DIV/0!</v>
      </c>
      <c r="M24" s="33" t="e">
        <f t="shared" si="9"/>
        <v>#DIV/0!</v>
      </c>
      <c r="P24" s="220"/>
    </row>
    <row r="25" spans="1:16" ht="17" thickBot="1" x14ac:dyDescent="0.25">
      <c r="A25" s="264"/>
      <c r="B25" s="30" t="s">
        <v>86</v>
      </c>
      <c r="C25" s="36">
        <f t="shared" ref="C25:M25" si="10">C13/(C12-C14-C17)</f>
        <v>0.33333333333333331</v>
      </c>
      <c r="D25" s="36">
        <f t="shared" si="10"/>
        <v>0</v>
      </c>
      <c r="E25" s="36">
        <f t="shared" si="10"/>
        <v>0</v>
      </c>
      <c r="F25" s="36">
        <f t="shared" si="10"/>
        <v>0.2857142857142857</v>
      </c>
      <c r="G25" s="36">
        <f t="shared" si="10"/>
        <v>0.25</v>
      </c>
      <c r="H25" s="146">
        <f t="shared" si="10"/>
        <v>0.125</v>
      </c>
      <c r="I25" s="154">
        <f t="shared" si="10"/>
        <v>0.2857142857142857</v>
      </c>
      <c r="J25" s="36">
        <f t="shared" si="10"/>
        <v>0.2</v>
      </c>
      <c r="K25" s="36" t="e">
        <f t="shared" si="10"/>
        <v>#DIV/0!</v>
      </c>
      <c r="L25" s="36" t="e">
        <f t="shared" si="10"/>
        <v>#DIV/0!</v>
      </c>
      <c r="M25" s="36" t="e">
        <f t="shared" si="10"/>
        <v>#DIV/0!</v>
      </c>
      <c r="P25" s="220"/>
    </row>
    <row r="26" spans="1:16" x14ac:dyDescent="0.2">
      <c r="A26" s="262" t="s">
        <v>88</v>
      </c>
      <c r="B26" s="37" t="s">
        <v>89</v>
      </c>
      <c r="C26" s="135">
        <v>1</v>
      </c>
      <c r="D26" s="135">
        <v>6</v>
      </c>
      <c r="E26" s="135">
        <v>2</v>
      </c>
      <c r="F26" s="135">
        <v>3</v>
      </c>
      <c r="G26" s="135">
        <v>8</v>
      </c>
      <c r="H26" s="32">
        <v>5</v>
      </c>
      <c r="I26" s="138">
        <v>10</v>
      </c>
      <c r="J26" s="138">
        <v>1</v>
      </c>
      <c r="K26" s="32">
        <v>0</v>
      </c>
      <c r="L26" s="32">
        <v>0</v>
      </c>
      <c r="M26" s="32">
        <v>0</v>
      </c>
      <c r="P26" s="220"/>
    </row>
    <row r="27" spans="1:16" x14ac:dyDescent="0.2">
      <c r="A27" s="263"/>
      <c r="B27" s="38" t="s">
        <v>90</v>
      </c>
      <c r="C27" s="33">
        <f t="shared" ref="C27:M27" si="11">C26/C12</f>
        <v>0.25</v>
      </c>
      <c r="D27" s="33">
        <f t="shared" si="11"/>
        <v>0.54545454545454541</v>
      </c>
      <c r="E27" s="33">
        <f t="shared" si="11"/>
        <v>0.4</v>
      </c>
      <c r="F27" s="33">
        <f t="shared" si="11"/>
        <v>0.375</v>
      </c>
      <c r="G27" s="33">
        <f t="shared" si="11"/>
        <v>0.88888888888888884</v>
      </c>
      <c r="H27" s="142">
        <f t="shared" si="11"/>
        <v>0.5</v>
      </c>
      <c r="I27" s="150">
        <f t="shared" si="11"/>
        <v>0.66666666666666663</v>
      </c>
      <c r="J27" s="33">
        <f t="shared" si="11"/>
        <v>0.2</v>
      </c>
      <c r="K27" s="33" t="e">
        <f t="shared" si="11"/>
        <v>#DIV/0!</v>
      </c>
      <c r="L27" s="33" t="e">
        <f t="shared" si="11"/>
        <v>#DIV/0!</v>
      </c>
      <c r="M27" s="33" t="e">
        <f t="shared" si="11"/>
        <v>#DIV/0!</v>
      </c>
      <c r="P27" s="220"/>
    </row>
    <row r="28" spans="1:16" x14ac:dyDescent="0.2">
      <c r="A28" s="263"/>
      <c r="B28" s="38" t="s">
        <v>91</v>
      </c>
      <c r="C28" s="135">
        <v>2</v>
      </c>
      <c r="D28" s="135">
        <v>5</v>
      </c>
      <c r="E28" s="135">
        <v>1</v>
      </c>
      <c r="F28" s="135">
        <v>2</v>
      </c>
      <c r="G28" s="135">
        <v>5</v>
      </c>
      <c r="H28" s="32">
        <v>6</v>
      </c>
      <c r="I28" s="138">
        <v>9</v>
      </c>
      <c r="J28" s="138">
        <v>2</v>
      </c>
      <c r="K28" s="32">
        <v>0</v>
      </c>
      <c r="L28" s="32">
        <v>0</v>
      </c>
      <c r="M28" s="32">
        <v>0</v>
      </c>
      <c r="P28" s="220"/>
    </row>
    <row r="29" spans="1:16" x14ac:dyDescent="0.2">
      <c r="A29" s="263"/>
      <c r="B29" s="38" t="s">
        <v>92</v>
      </c>
      <c r="C29" s="33">
        <f t="shared" ref="C29:M29" si="12">C28/C12</f>
        <v>0.5</v>
      </c>
      <c r="D29" s="33">
        <f t="shared" si="12"/>
        <v>0.45454545454545453</v>
      </c>
      <c r="E29" s="33">
        <f t="shared" si="12"/>
        <v>0.2</v>
      </c>
      <c r="F29" s="33">
        <f t="shared" si="12"/>
        <v>0.25</v>
      </c>
      <c r="G29" s="33">
        <f t="shared" si="12"/>
        <v>0.55555555555555558</v>
      </c>
      <c r="H29" s="142">
        <f t="shared" si="12"/>
        <v>0.6</v>
      </c>
      <c r="I29" s="150">
        <f t="shared" si="12"/>
        <v>0.6</v>
      </c>
      <c r="J29" s="33">
        <f t="shared" si="12"/>
        <v>0.4</v>
      </c>
      <c r="K29" s="33" t="e">
        <f t="shared" si="12"/>
        <v>#DIV/0!</v>
      </c>
      <c r="L29" s="33" t="e">
        <f t="shared" si="12"/>
        <v>#DIV/0!</v>
      </c>
      <c r="M29" s="33" t="e">
        <f t="shared" si="12"/>
        <v>#DIV/0!</v>
      </c>
      <c r="P29" s="220"/>
    </row>
    <row r="30" spans="1:16" x14ac:dyDescent="0.2">
      <c r="A30" s="263"/>
      <c r="B30" s="38" t="s">
        <v>93</v>
      </c>
      <c r="C30" s="135">
        <v>0</v>
      </c>
      <c r="D30" s="135">
        <v>4</v>
      </c>
      <c r="E30" s="135">
        <v>0</v>
      </c>
      <c r="F30" s="135">
        <v>4</v>
      </c>
      <c r="G30" s="135">
        <v>5</v>
      </c>
      <c r="H30" s="32">
        <v>3</v>
      </c>
      <c r="I30" s="138">
        <v>8</v>
      </c>
      <c r="J30" s="138">
        <v>2</v>
      </c>
      <c r="K30" s="32">
        <v>0</v>
      </c>
      <c r="L30" s="32">
        <v>0</v>
      </c>
      <c r="M30" s="32">
        <v>0</v>
      </c>
      <c r="P30" s="220"/>
    </row>
    <row r="31" spans="1:16" x14ac:dyDescent="0.2">
      <c r="A31" s="263"/>
      <c r="B31" s="38" t="s">
        <v>94</v>
      </c>
      <c r="C31" s="33">
        <f t="shared" ref="C31:M31" si="13">C30/C12</f>
        <v>0</v>
      </c>
      <c r="D31" s="33">
        <f t="shared" si="13"/>
        <v>0.36363636363636365</v>
      </c>
      <c r="E31" s="33">
        <f t="shared" si="13"/>
        <v>0</v>
      </c>
      <c r="F31" s="33">
        <f t="shared" si="13"/>
        <v>0.5</v>
      </c>
      <c r="G31" s="33">
        <f t="shared" si="13"/>
        <v>0.55555555555555558</v>
      </c>
      <c r="H31" s="142">
        <f t="shared" si="13"/>
        <v>0.3</v>
      </c>
      <c r="I31" s="150">
        <f t="shared" si="13"/>
        <v>0.53333333333333333</v>
      </c>
      <c r="J31" s="33">
        <f t="shared" si="13"/>
        <v>0.4</v>
      </c>
      <c r="K31" s="33" t="e">
        <f t="shared" si="13"/>
        <v>#DIV/0!</v>
      </c>
      <c r="L31" s="33" t="e">
        <f t="shared" si="13"/>
        <v>#DIV/0!</v>
      </c>
      <c r="M31" s="33" t="e">
        <f t="shared" si="13"/>
        <v>#DIV/0!</v>
      </c>
      <c r="P31" s="220"/>
    </row>
    <row r="32" spans="1:16" x14ac:dyDescent="0.2">
      <c r="A32" s="263"/>
      <c r="B32" s="38" t="s">
        <v>95</v>
      </c>
      <c r="C32" s="135">
        <v>1</v>
      </c>
      <c r="D32" s="135">
        <v>5</v>
      </c>
      <c r="E32" s="135">
        <v>1</v>
      </c>
      <c r="F32" s="135">
        <v>3</v>
      </c>
      <c r="G32" s="135">
        <v>1</v>
      </c>
      <c r="H32" s="32">
        <v>4</v>
      </c>
      <c r="I32" s="138">
        <v>1</v>
      </c>
      <c r="J32" s="138">
        <v>1</v>
      </c>
      <c r="K32" s="32">
        <v>0</v>
      </c>
      <c r="L32" s="32">
        <v>0</v>
      </c>
      <c r="M32" s="32">
        <v>0</v>
      </c>
      <c r="P32" s="220"/>
    </row>
    <row r="33" spans="1:16" ht="17" thickBot="1" x14ac:dyDescent="0.25">
      <c r="A33" s="264"/>
      <c r="B33" s="39" t="s">
        <v>96</v>
      </c>
      <c r="C33" s="33">
        <f t="shared" ref="C33:M33" si="14">C32/C12</f>
        <v>0.25</v>
      </c>
      <c r="D33" s="33">
        <f t="shared" si="14"/>
        <v>0.45454545454545453</v>
      </c>
      <c r="E33" s="33">
        <f t="shared" si="14"/>
        <v>0.2</v>
      </c>
      <c r="F33" s="33">
        <f t="shared" si="14"/>
        <v>0.375</v>
      </c>
      <c r="G33" s="33">
        <f t="shared" si="14"/>
        <v>0.1111111111111111</v>
      </c>
      <c r="H33" s="142">
        <f t="shared" si="14"/>
        <v>0.4</v>
      </c>
      <c r="I33" s="150">
        <f t="shared" si="14"/>
        <v>6.6666666666666666E-2</v>
      </c>
      <c r="J33" s="33">
        <f t="shared" si="14"/>
        <v>0.2</v>
      </c>
      <c r="K33" s="33" t="e">
        <f t="shared" si="14"/>
        <v>#DIV/0!</v>
      </c>
      <c r="L33" s="33" t="e">
        <f t="shared" si="14"/>
        <v>#DIV/0!</v>
      </c>
      <c r="M33" s="33" t="e">
        <f t="shared" si="14"/>
        <v>#DIV/0!</v>
      </c>
      <c r="P33" s="220"/>
    </row>
    <row r="34" spans="1:16" x14ac:dyDescent="0.2">
      <c r="A34" s="262" t="s">
        <v>97</v>
      </c>
      <c r="B34" s="37" t="s">
        <v>98</v>
      </c>
      <c r="C34" s="135">
        <v>12</v>
      </c>
      <c r="D34" s="135">
        <v>36</v>
      </c>
      <c r="E34" s="135">
        <v>12</v>
      </c>
      <c r="F34" s="135">
        <v>18</v>
      </c>
      <c r="G34" s="135">
        <v>17</v>
      </c>
      <c r="H34" s="32">
        <v>23</v>
      </c>
      <c r="I34" s="138">
        <v>27</v>
      </c>
      <c r="J34" s="138">
        <v>11</v>
      </c>
      <c r="K34" s="32">
        <v>0</v>
      </c>
      <c r="L34" s="32">
        <v>0</v>
      </c>
      <c r="M34" s="32">
        <v>0</v>
      </c>
      <c r="P34" s="220"/>
    </row>
    <row r="35" spans="1:16" x14ac:dyDescent="0.2">
      <c r="A35" s="263"/>
      <c r="B35" s="38" t="s">
        <v>99</v>
      </c>
      <c r="C35" s="135">
        <v>7</v>
      </c>
      <c r="D35" s="135">
        <v>22</v>
      </c>
      <c r="E35" s="135">
        <v>8</v>
      </c>
      <c r="F35" s="135">
        <v>9</v>
      </c>
      <c r="G35" s="135">
        <v>11</v>
      </c>
      <c r="H35" s="32">
        <v>13</v>
      </c>
      <c r="I35" s="138">
        <v>18</v>
      </c>
      <c r="J35" s="138">
        <v>9</v>
      </c>
      <c r="K35" s="32">
        <v>0</v>
      </c>
      <c r="L35" s="32">
        <v>0</v>
      </c>
      <c r="M35" s="32">
        <v>0</v>
      </c>
      <c r="P35" s="220"/>
    </row>
    <row r="36" spans="1:16" x14ac:dyDescent="0.2">
      <c r="A36" s="263"/>
      <c r="B36" s="38" t="s">
        <v>100</v>
      </c>
      <c r="C36" s="33">
        <f t="shared" ref="C36:M36" si="15">C34/C6</f>
        <v>0.52173913043478259</v>
      </c>
      <c r="D36" s="33">
        <f t="shared" si="15"/>
        <v>0.69230769230769229</v>
      </c>
      <c r="E36" s="33">
        <f t="shared" si="15"/>
        <v>0.46153846153846156</v>
      </c>
      <c r="F36" s="33">
        <f t="shared" si="15"/>
        <v>0.51428571428571423</v>
      </c>
      <c r="G36" s="33">
        <f t="shared" si="15"/>
        <v>0.58620689655172409</v>
      </c>
      <c r="H36" s="142">
        <f t="shared" si="15"/>
        <v>0.5</v>
      </c>
      <c r="I36" s="150">
        <f t="shared" si="15"/>
        <v>0.46551724137931033</v>
      </c>
      <c r="J36" s="33">
        <f t="shared" si="15"/>
        <v>0.57894736842105265</v>
      </c>
      <c r="K36" s="33" t="e">
        <f t="shared" si="15"/>
        <v>#DIV/0!</v>
      </c>
      <c r="L36" s="33" t="e">
        <f t="shared" si="15"/>
        <v>#DIV/0!</v>
      </c>
      <c r="M36" s="33" t="e">
        <f t="shared" si="15"/>
        <v>#DIV/0!</v>
      </c>
      <c r="P36" s="220"/>
    </row>
    <row r="37" spans="1:16" x14ac:dyDescent="0.2">
      <c r="A37" s="263"/>
      <c r="B37" s="39" t="s">
        <v>101</v>
      </c>
      <c r="C37" s="33">
        <f t="shared" ref="C37:M37" si="16">C35/C34</f>
        <v>0.58333333333333337</v>
      </c>
      <c r="D37" s="33">
        <f t="shared" si="16"/>
        <v>0.61111111111111116</v>
      </c>
      <c r="E37" s="33">
        <f t="shared" si="16"/>
        <v>0.66666666666666663</v>
      </c>
      <c r="F37" s="33">
        <f t="shared" si="16"/>
        <v>0.5</v>
      </c>
      <c r="G37" s="33">
        <f t="shared" si="16"/>
        <v>0.6470588235294118</v>
      </c>
      <c r="H37" s="142">
        <f t="shared" si="16"/>
        <v>0.56521739130434778</v>
      </c>
      <c r="I37" s="150">
        <f t="shared" si="16"/>
        <v>0.66666666666666663</v>
      </c>
      <c r="J37" s="33">
        <f t="shared" si="16"/>
        <v>0.81818181818181823</v>
      </c>
      <c r="K37" s="33" t="e">
        <f t="shared" si="16"/>
        <v>#DIV/0!</v>
      </c>
      <c r="L37" s="33" t="e">
        <f t="shared" si="16"/>
        <v>#DIV/0!</v>
      </c>
      <c r="M37" s="33" t="e">
        <f t="shared" si="16"/>
        <v>#DIV/0!</v>
      </c>
      <c r="P37" s="220"/>
    </row>
    <row r="38" spans="1:16" x14ac:dyDescent="0.2">
      <c r="A38" s="263"/>
      <c r="B38" s="37" t="s">
        <v>102</v>
      </c>
      <c r="C38" s="135">
        <v>0</v>
      </c>
      <c r="D38" s="135">
        <v>0</v>
      </c>
      <c r="E38" s="135">
        <v>0</v>
      </c>
      <c r="F38" s="135">
        <v>0</v>
      </c>
      <c r="G38" s="135">
        <v>0</v>
      </c>
      <c r="H38" s="32">
        <v>0</v>
      </c>
      <c r="I38" s="138">
        <v>0</v>
      </c>
      <c r="J38" s="138">
        <v>0</v>
      </c>
      <c r="K38" s="32">
        <v>0</v>
      </c>
      <c r="L38" s="32">
        <v>0</v>
      </c>
      <c r="M38" s="32">
        <v>0</v>
      </c>
      <c r="P38" s="220"/>
    </row>
    <row r="39" spans="1:16" x14ac:dyDescent="0.2">
      <c r="A39" s="263"/>
      <c r="B39" s="38" t="s">
        <v>103</v>
      </c>
      <c r="C39" s="135">
        <v>0</v>
      </c>
      <c r="D39" s="135">
        <v>0</v>
      </c>
      <c r="E39" s="135">
        <v>0</v>
      </c>
      <c r="F39" s="135">
        <v>0</v>
      </c>
      <c r="G39" s="135">
        <v>0</v>
      </c>
      <c r="H39" s="32">
        <v>0</v>
      </c>
      <c r="I39" s="138">
        <v>0</v>
      </c>
      <c r="J39" s="138">
        <v>0</v>
      </c>
      <c r="K39" s="32">
        <v>0</v>
      </c>
      <c r="L39" s="32">
        <v>0</v>
      </c>
      <c r="M39" s="32">
        <v>0</v>
      </c>
      <c r="P39" s="220"/>
    </row>
    <row r="40" spans="1:16" x14ac:dyDescent="0.2">
      <c r="A40" s="263"/>
      <c r="B40" s="38" t="s">
        <v>104</v>
      </c>
      <c r="C40" s="33">
        <f t="shared" ref="C40:M40" si="17">C38/C6</f>
        <v>0</v>
      </c>
      <c r="D40" s="33">
        <f t="shared" si="17"/>
        <v>0</v>
      </c>
      <c r="E40" s="33">
        <f t="shared" si="17"/>
        <v>0</v>
      </c>
      <c r="F40" s="33">
        <f t="shared" si="17"/>
        <v>0</v>
      </c>
      <c r="G40" s="33">
        <f t="shared" si="17"/>
        <v>0</v>
      </c>
      <c r="H40" s="142">
        <f t="shared" si="17"/>
        <v>0</v>
      </c>
      <c r="I40" s="150">
        <f t="shared" si="17"/>
        <v>0</v>
      </c>
      <c r="J40" s="33">
        <f t="shared" si="17"/>
        <v>0</v>
      </c>
      <c r="K40" s="33" t="e">
        <f t="shared" si="17"/>
        <v>#DIV/0!</v>
      </c>
      <c r="L40" s="33" t="e">
        <f t="shared" si="17"/>
        <v>#DIV/0!</v>
      </c>
      <c r="M40" s="33" t="e">
        <f t="shared" si="17"/>
        <v>#DIV/0!</v>
      </c>
      <c r="P40" s="220"/>
    </row>
    <row r="41" spans="1:16" x14ac:dyDescent="0.2">
      <c r="A41" s="263"/>
      <c r="B41" s="39" t="s">
        <v>105</v>
      </c>
      <c r="C41" s="33" t="e">
        <f t="shared" ref="C41:M41" si="18">C39/C38</f>
        <v>#DIV/0!</v>
      </c>
      <c r="D41" s="33" t="e">
        <f t="shared" si="18"/>
        <v>#DIV/0!</v>
      </c>
      <c r="E41" s="33" t="e">
        <f t="shared" si="18"/>
        <v>#DIV/0!</v>
      </c>
      <c r="F41" s="33" t="e">
        <f t="shared" si="18"/>
        <v>#DIV/0!</v>
      </c>
      <c r="G41" s="33" t="e">
        <f t="shared" si="18"/>
        <v>#DIV/0!</v>
      </c>
      <c r="H41" s="142" t="e">
        <f t="shared" si="18"/>
        <v>#DIV/0!</v>
      </c>
      <c r="I41" s="150" t="e">
        <f t="shared" si="18"/>
        <v>#DIV/0!</v>
      </c>
      <c r="J41" s="33" t="e">
        <f t="shared" si="18"/>
        <v>#DIV/0!</v>
      </c>
      <c r="K41" s="33" t="e">
        <f t="shared" si="18"/>
        <v>#DIV/0!</v>
      </c>
      <c r="L41" s="33" t="e">
        <f t="shared" si="18"/>
        <v>#DIV/0!</v>
      </c>
      <c r="M41" s="33" t="e">
        <f t="shared" si="18"/>
        <v>#DIV/0!</v>
      </c>
      <c r="P41" s="220"/>
    </row>
    <row r="42" spans="1:16" x14ac:dyDescent="0.2">
      <c r="A42" s="263"/>
      <c r="B42" s="37" t="s">
        <v>106</v>
      </c>
      <c r="C42" s="135">
        <v>3</v>
      </c>
      <c r="D42" s="135">
        <v>2</v>
      </c>
      <c r="E42" s="135">
        <v>4</v>
      </c>
      <c r="F42" s="135">
        <v>6</v>
      </c>
      <c r="G42" s="135">
        <v>2</v>
      </c>
      <c r="H42" s="32">
        <v>5</v>
      </c>
      <c r="I42" s="138">
        <v>16</v>
      </c>
      <c r="J42" s="138">
        <v>3</v>
      </c>
      <c r="K42" s="32">
        <v>0</v>
      </c>
      <c r="L42" s="32">
        <v>0</v>
      </c>
      <c r="M42" s="32">
        <v>0</v>
      </c>
      <c r="P42" s="220"/>
    </row>
    <row r="43" spans="1:16" x14ac:dyDescent="0.2">
      <c r="A43" s="263"/>
      <c r="B43" s="38" t="s">
        <v>107</v>
      </c>
      <c r="C43" s="135">
        <v>2</v>
      </c>
      <c r="D43" s="135">
        <v>1</v>
      </c>
      <c r="E43" s="135">
        <v>2</v>
      </c>
      <c r="F43" s="135">
        <v>4</v>
      </c>
      <c r="G43" s="135">
        <v>1</v>
      </c>
      <c r="H43" s="32">
        <v>3</v>
      </c>
      <c r="I43" s="138">
        <v>12</v>
      </c>
      <c r="J43" s="138">
        <v>1</v>
      </c>
      <c r="K43" s="32">
        <v>0</v>
      </c>
      <c r="L43" s="32">
        <v>0</v>
      </c>
      <c r="M43" s="32">
        <v>0</v>
      </c>
      <c r="P43" s="220"/>
    </row>
    <row r="44" spans="1:16" x14ac:dyDescent="0.2">
      <c r="A44" s="263"/>
      <c r="B44" s="38" t="s">
        <v>108</v>
      </c>
      <c r="C44" s="33">
        <f t="shared" ref="C44:M44" si="19">C42/C6</f>
        <v>0.13043478260869565</v>
      </c>
      <c r="D44" s="33">
        <f t="shared" si="19"/>
        <v>3.8461538461538464E-2</v>
      </c>
      <c r="E44" s="33">
        <f t="shared" si="19"/>
        <v>0.15384615384615385</v>
      </c>
      <c r="F44" s="33">
        <f t="shared" si="19"/>
        <v>0.17142857142857143</v>
      </c>
      <c r="G44" s="33">
        <f t="shared" si="19"/>
        <v>6.8965517241379309E-2</v>
      </c>
      <c r="H44" s="142">
        <f t="shared" si="19"/>
        <v>0.10869565217391304</v>
      </c>
      <c r="I44" s="150">
        <f t="shared" si="19"/>
        <v>0.27586206896551724</v>
      </c>
      <c r="J44" s="33">
        <f t="shared" si="19"/>
        <v>0.15789473684210525</v>
      </c>
      <c r="K44" s="33" t="e">
        <f t="shared" si="19"/>
        <v>#DIV/0!</v>
      </c>
      <c r="L44" s="33" t="e">
        <f t="shared" si="19"/>
        <v>#DIV/0!</v>
      </c>
      <c r="M44" s="33" t="e">
        <f t="shared" si="19"/>
        <v>#DIV/0!</v>
      </c>
      <c r="P44" s="220"/>
    </row>
    <row r="45" spans="1:16" x14ac:dyDescent="0.2">
      <c r="A45" s="263"/>
      <c r="B45" s="39" t="s">
        <v>109</v>
      </c>
      <c r="C45" s="33">
        <f t="shared" ref="C45:M45" si="20">C43/C42</f>
        <v>0.66666666666666663</v>
      </c>
      <c r="D45" s="33">
        <f t="shared" si="20"/>
        <v>0.5</v>
      </c>
      <c r="E45" s="33">
        <f t="shared" si="20"/>
        <v>0.5</v>
      </c>
      <c r="F45" s="33">
        <f t="shared" si="20"/>
        <v>0.66666666666666663</v>
      </c>
      <c r="G45" s="33">
        <f t="shared" si="20"/>
        <v>0.5</v>
      </c>
      <c r="H45" s="142">
        <f t="shared" si="20"/>
        <v>0.6</v>
      </c>
      <c r="I45" s="150">
        <f t="shared" si="20"/>
        <v>0.75</v>
      </c>
      <c r="J45" s="33">
        <f t="shared" si="20"/>
        <v>0.33333333333333331</v>
      </c>
      <c r="K45" s="33" t="e">
        <f t="shared" si="20"/>
        <v>#DIV/0!</v>
      </c>
      <c r="L45" s="33" t="e">
        <f t="shared" si="20"/>
        <v>#DIV/0!</v>
      </c>
      <c r="M45" s="33" t="e">
        <f t="shared" si="20"/>
        <v>#DIV/0!</v>
      </c>
      <c r="P45" s="220"/>
    </row>
    <row r="46" spans="1:16" x14ac:dyDescent="0.2">
      <c r="A46" s="263"/>
      <c r="B46" s="37" t="s">
        <v>110</v>
      </c>
      <c r="C46" s="135">
        <v>8</v>
      </c>
      <c r="D46" s="135">
        <v>14</v>
      </c>
      <c r="E46" s="135">
        <v>10</v>
      </c>
      <c r="F46" s="135">
        <v>11</v>
      </c>
      <c r="G46" s="135">
        <v>10</v>
      </c>
      <c r="H46" s="32">
        <v>18</v>
      </c>
      <c r="I46" s="138">
        <v>15</v>
      </c>
      <c r="J46" s="138">
        <v>5</v>
      </c>
      <c r="K46" s="32">
        <v>0</v>
      </c>
      <c r="L46" s="32">
        <v>0</v>
      </c>
      <c r="M46" s="32">
        <v>0</v>
      </c>
      <c r="P46" s="220"/>
    </row>
    <row r="47" spans="1:16" x14ac:dyDescent="0.2">
      <c r="A47" s="263"/>
      <c r="B47" s="38" t="s">
        <v>111</v>
      </c>
      <c r="C47" s="135">
        <v>5</v>
      </c>
      <c r="D47" s="135">
        <v>5</v>
      </c>
      <c r="E47" s="135">
        <v>5</v>
      </c>
      <c r="F47" s="135">
        <v>7</v>
      </c>
      <c r="G47" s="135">
        <v>7</v>
      </c>
      <c r="H47" s="32">
        <v>9</v>
      </c>
      <c r="I47" s="138">
        <v>9</v>
      </c>
      <c r="J47" s="138">
        <v>1</v>
      </c>
      <c r="K47" s="32">
        <v>0</v>
      </c>
      <c r="L47" s="32">
        <v>0</v>
      </c>
      <c r="M47" s="32">
        <v>0</v>
      </c>
      <c r="P47" s="220"/>
    </row>
    <row r="48" spans="1:16" x14ac:dyDescent="0.2">
      <c r="A48" s="263"/>
      <c r="B48" s="38" t="s">
        <v>112</v>
      </c>
      <c r="C48" s="33">
        <f t="shared" ref="C48:M48" si="21">C46/C6</f>
        <v>0.34782608695652173</v>
      </c>
      <c r="D48" s="33">
        <f t="shared" si="21"/>
        <v>0.26923076923076922</v>
      </c>
      <c r="E48" s="33">
        <f t="shared" si="21"/>
        <v>0.38461538461538464</v>
      </c>
      <c r="F48" s="33">
        <f t="shared" si="21"/>
        <v>0.31428571428571428</v>
      </c>
      <c r="G48" s="33">
        <f t="shared" si="21"/>
        <v>0.34482758620689657</v>
      </c>
      <c r="H48" s="142">
        <f t="shared" si="21"/>
        <v>0.39130434782608697</v>
      </c>
      <c r="I48" s="150">
        <f t="shared" si="21"/>
        <v>0.25862068965517243</v>
      </c>
      <c r="J48" s="33">
        <f t="shared" si="21"/>
        <v>0.26315789473684209</v>
      </c>
      <c r="K48" s="33" t="e">
        <f t="shared" si="21"/>
        <v>#DIV/0!</v>
      </c>
      <c r="L48" s="33" t="e">
        <f t="shared" si="21"/>
        <v>#DIV/0!</v>
      </c>
      <c r="M48" s="33" t="e">
        <f t="shared" si="21"/>
        <v>#DIV/0!</v>
      </c>
      <c r="P48" s="220"/>
    </row>
    <row r="49" spans="1:19" ht="17" thickBot="1" x14ac:dyDescent="0.25">
      <c r="A49" s="264"/>
      <c r="B49" s="39" t="s">
        <v>113</v>
      </c>
      <c r="C49" s="33">
        <f t="shared" ref="C49:M49" si="22">C47/C46</f>
        <v>0.625</v>
      </c>
      <c r="D49" s="33">
        <f t="shared" si="22"/>
        <v>0.35714285714285715</v>
      </c>
      <c r="E49" s="33">
        <f t="shared" si="22"/>
        <v>0.5</v>
      </c>
      <c r="F49" s="33">
        <f t="shared" si="22"/>
        <v>0.63636363636363635</v>
      </c>
      <c r="G49" s="33">
        <f t="shared" si="22"/>
        <v>0.7</v>
      </c>
      <c r="H49" s="142">
        <f t="shared" si="22"/>
        <v>0.5</v>
      </c>
      <c r="I49" s="150">
        <f t="shared" si="22"/>
        <v>0.6</v>
      </c>
      <c r="J49" s="33">
        <f t="shared" si="22"/>
        <v>0.2</v>
      </c>
      <c r="K49" s="33" t="e">
        <f t="shared" si="22"/>
        <v>#DIV/0!</v>
      </c>
      <c r="L49" s="33" t="e">
        <f t="shared" si="22"/>
        <v>#DIV/0!</v>
      </c>
      <c r="M49" s="33" t="e">
        <f t="shared" si="22"/>
        <v>#DIV/0!</v>
      </c>
      <c r="P49" s="220"/>
    </row>
    <row r="50" spans="1:19" x14ac:dyDescent="0.2">
      <c r="A50" s="262" t="s">
        <v>114</v>
      </c>
      <c r="B50" s="37" t="s">
        <v>115</v>
      </c>
      <c r="C50" s="135">
        <v>6</v>
      </c>
      <c r="D50" s="135">
        <v>19</v>
      </c>
      <c r="E50" s="135">
        <v>8</v>
      </c>
      <c r="F50" s="135">
        <v>7</v>
      </c>
      <c r="G50" s="135">
        <v>9</v>
      </c>
      <c r="H50" s="32">
        <v>10</v>
      </c>
      <c r="I50" s="138">
        <v>13</v>
      </c>
      <c r="J50" s="138">
        <v>5</v>
      </c>
      <c r="K50" s="32">
        <v>0</v>
      </c>
      <c r="L50" s="32">
        <v>0</v>
      </c>
      <c r="M50" s="32">
        <v>0</v>
      </c>
      <c r="P50" s="220"/>
    </row>
    <row r="51" spans="1:19" x14ac:dyDescent="0.2">
      <c r="A51" s="263"/>
      <c r="B51" s="38" t="s">
        <v>116</v>
      </c>
      <c r="C51" s="135">
        <v>2</v>
      </c>
      <c r="D51" s="135">
        <v>4</v>
      </c>
      <c r="E51" s="135">
        <v>1</v>
      </c>
      <c r="F51" s="135">
        <v>3</v>
      </c>
      <c r="G51" s="135">
        <v>3</v>
      </c>
      <c r="H51" s="32">
        <v>3</v>
      </c>
      <c r="I51" s="138">
        <v>2</v>
      </c>
      <c r="J51" s="138">
        <v>0</v>
      </c>
      <c r="K51" s="32">
        <v>0</v>
      </c>
      <c r="L51" s="32">
        <v>0</v>
      </c>
      <c r="M51" s="32">
        <v>0</v>
      </c>
      <c r="P51" s="220"/>
    </row>
    <row r="52" spans="1:19" x14ac:dyDescent="0.2">
      <c r="A52" s="263"/>
      <c r="B52" s="38" t="s">
        <v>117</v>
      </c>
      <c r="C52" s="33">
        <f t="shared" ref="C52:M52" si="23">C51/C50</f>
        <v>0.33333333333333331</v>
      </c>
      <c r="D52" s="33">
        <f t="shared" si="23"/>
        <v>0.21052631578947367</v>
      </c>
      <c r="E52" s="33">
        <f t="shared" si="23"/>
        <v>0.125</v>
      </c>
      <c r="F52" s="33">
        <f t="shared" si="23"/>
        <v>0.42857142857142855</v>
      </c>
      <c r="G52" s="33">
        <f t="shared" si="23"/>
        <v>0.33333333333333331</v>
      </c>
      <c r="H52" s="142">
        <f t="shared" si="23"/>
        <v>0.3</v>
      </c>
      <c r="I52" s="150">
        <f t="shared" si="23"/>
        <v>0.15384615384615385</v>
      </c>
      <c r="J52" s="33">
        <f t="shared" si="23"/>
        <v>0</v>
      </c>
      <c r="K52" s="33" t="e">
        <f t="shared" si="23"/>
        <v>#DIV/0!</v>
      </c>
      <c r="L52" s="33" t="e">
        <f t="shared" si="23"/>
        <v>#DIV/0!</v>
      </c>
      <c r="M52" s="33" t="e">
        <f t="shared" si="23"/>
        <v>#DIV/0!</v>
      </c>
      <c r="P52" s="220"/>
    </row>
    <row r="53" spans="1:19" x14ac:dyDescent="0.2">
      <c r="A53" s="263"/>
      <c r="B53" s="38" t="s">
        <v>118</v>
      </c>
      <c r="C53" s="136">
        <v>0</v>
      </c>
      <c r="D53" s="136">
        <v>0</v>
      </c>
      <c r="E53" s="136">
        <v>0</v>
      </c>
      <c r="F53" s="136">
        <v>0</v>
      </c>
      <c r="G53" s="136">
        <v>0</v>
      </c>
      <c r="H53" s="34">
        <v>0</v>
      </c>
      <c r="I53" s="139">
        <v>0</v>
      </c>
      <c r="J53" s="139">
        <v>0</v>
      </c>
      <c r="K53" s="34">
        <v>0</v>
      </c>
      <c r="L53" s="34">
        <v>0</v>
      </c>
      <c r="M53" s="34">
        <v>0</v>
      </c>
      <c r="P53" s="220"/>
    </row>
    <row r="54" spans="1:19" x14ac:dyDescent="0.2">
      <c r="A54" s="263"/>
      <c r="B54" s="38" t="s">
        <v>119</v>
      </c>
      <c r="C54" s="135">
        <v>0</v>
      </c>
      <c r="D54" s="135">
        <v>0</v>
      </c>
      <c r="E54" s="135">
        <v>0</v>
      </c>
      <c r="F54" s="135">
        <v>0</v>
      </c>
      <c r="G54" s="135">
        <v>0</v>
      </c>
      <c r="H54" s="32">
        <v>0</v>
      </c>
      <c r="I54" s="138">
        <v>0</v>
      </c>
      <c r="J54" s="138">
        <v>0</v>
      </c>
      <c r="K54" s="32">
        <v>0</v>
      </c>
      <c r="L54" s="32">
        <v>0</v>
      </c>
      <c r="M54" s="32">
        <v>0</v>
      </c>
      <c r="P54" s="220"/>
    </row>
    <row r="55" spans="1:19" x14ac:dyDescent="0.2">
      <c r="A55" s="263"/>
      <c r="B55" s="38" t="s">
        <v>120</v>
      </c>
      <c r="C55" s="33" t="e">
        <f t="shared" ref="C55:M55" si="24">C54/C53</f>
        <v>#DIV/0!</v>
      </c>
      <c r="D55" s="33" t="e">
        <f t="shared" si="24"/>
        <v>#DIV/0!</v>
      </c>
      <c r="E55" s="33" t="e">
        <f t="shared" si="24"/>
        <v>#DIV/0!</v>
      </c>
      <c r="F55" s="33" t="e">
        <f t="shared" si="24"/>
        <v>#DIV/0!</v>
      </c>
      <c r="G55" s="33" t="e">
        <f t="shared" si="24"/>
        <v>#DIV/0!</v>
      </c>
      <c r="H55" s="142" t="e">
        <f t="shared" si="24"/>
        <v>#DIV/0!</v>
      </c>
      <c r="I55" s="150" t="e">
        <f t="shared" si="24"/>
        <v>#DIV/0!</v>
      </c>
      <c r="J55" s="33" t="e">
        <f t="shared" si="24"/>
        <v>#DIV/0!</v>
      </c>
      <c r="K55" s="33" t="e">
        <f t="shared" si="24"/>
        <v>#DIV/0!</v>
      </c>
      <c r="L55" s="33" t="e">
        <f t="shared" si="24"/>
        <v>#DIV/0!</v>
      </c>
      <c r="M55" s="33" t="e">
        <f t="shared" si="24"/>
        <v>#DIV/0!</v>
      </c>
      <c r="P55" s="220"/>
    </row>
    <row r="56" spans="1:19" x14ac:dyDescent="0.2">
      <c r="A56" s="263"/>
      <c r="B56" s="38" t="s">
        <v>121</v>
      </c>
      <c r="C56" s="135">
        <v>2</v>
      </c>
      <c r="D56" s="135">
        <v>0</v>
      </c>
      <c r="E56" s="135">
        <v>2</v>
      </c>
      <c r="F56" s="135">
        <v>4</v>
      </c>
      <c r="G56" s="135">
        <v>1</v>
      </c>
      <c r="H56" s="32">
        <v>3</v>
      </c>
      <c r="I56" s="138">
        <v>11</v>
      </c>
      <c r="J56" s="138">
        <v>1</v>
      </c>
      <c r="K56" s="32">
        <v>0</v>
      </c>
      <c r="L56" s="32">
        <v>0</v>
      </c>
      <c r="M56" s="32">
        <v>0</v>
      </c>
      <c r="P56" s="220"/>
    </row>
    <row r="57" spans="1:19" x14ac:dyDescent="0.2">
      <c r="A57" s="263"/>
      <c r="B57" s="38" t="s">
        <v>122</v>
      </c>
      <c r="C57" s="135">
        <v>0</v>
      </c>
      <c r="D57" s="135">
        <v>0</v>
      </c>
      <c r="E57" s="135">
        <v>1</v>
      </c>
      <c r="F57" s="135">
        <v>0</v>
      </c>
      <c r="G57" s="135">
        <v>0</v>
      </c>
      <c r="H57" s="32">
        <v>1</v>
      </c>
      <c r="I57" s="138">
        <v>6</v>
      </c>
      <c r="J57" s="138">
        <v>0</v>
      </c>
      <c r="K57" s="32">
        <v>0</v>
      </c>
      <c r="L57" s="32">
        <v>0</v>
      </c>
      <c r="M57" s="32">
        <v>0</v>
      </c>
      <c r="P57" s="220"/>
    </row>
    <row r="58" spans="1:19" x14ac:dyDescent="0.2">
      <c r="A58" s="263"/>
      <c r="B58" s="40" t="s">
        <v>123</v>
      </c>
      <c r="C58" s="33">
        <f t="shared" ref="C58:M58" si="25">C57/C56</f>
        <v>0</v>
      </c>
      <c r="D58" s="33" t="e">
        <f t="shared" si="25"/>
        <v>#DIV/0!</v>
      </c>
      <c r="E58" s="33">
        <f t="shared" si="25"/>
        <v>0.5</v>
      </c>
      <c r="F58" s="33">
        <f t="shared" si="25"/>
        <v>0</v>
      </c>
      <c r="G58" s="33">
        <f t="shared" si="25"/>
        <v>0</v>
      </c>
      <c r="H58" s="142">
        <f t="shared" si="25"/>
        <v>0.33333333333333331</v>
      </c>
      <c r="I58" s="150">
        <f t="shared" si="25"/>
        <v>0.54545454545454541</v>
      </c>
      <c r="J58" s="33">
        <f t="shared" si="25"/>
        <v>0</v>
      </c>
      <c r="K58" s="33" t="e">
        <f t="shared" si="25"/>
        <v>#DIV/0!</v>
      </c>
      <c r="L58" s="33" t="e">
        <f t="shared" si="25"/>
        <v>#DIV/0!</v>
      </c>
      <c r="M58" s="33" t="e">
        <f t="shared" si="25"/>
        <v>#DIV/0!</v>
      </c>
      <c r="P58" s="220"/>
    </row>
    <row r="59" spans="1:19" x14ac:dyDescent="0.2">
      <c r="A59" s="263"/>
      <c r="B59" s="38" t="s">
        <v>124</v>
      </c>
      <c r="C59" s="135">
        <v>3</v>
      </c>
      <c r="D59" s="135">
        <v>3</v>
      </c>
      <c r="E59" s="135">
        <v>4</v>
      </c>
      <c r="F59" s="135">
        <v>7</v>
      </c>
      <c r="G59" s="135">
        <v>3</v>
      </c>
      <c r="H59" s="32">
        <v>5</v>
      </c>
      <c r="I59" s="138">
        <v>7</v>
      </c>
      <c r="J59" s="138">
        <v>0</v>
      </c>
      <c r="K59" s="32">
        <v>0</v>
      </c>
      <c r="L59" s="32">
        <v>0</v>
      </c>
      <c r="M59" s="32">
        <v>0</v>
      </c>
      <c r="P59" s="220"/>
    </row>
    <row r="60" spans="1:19" x14ac:dyDescent="0.2">
      <c r="A60" s="263"/>
      <c r="B60" s="38" t="s">
        <v>125</v>
      </c>
      <c r="C60" s="135">
        <v>2</v>
      </c>
      <c r="D60" s="135">
        <v>2</v>
      </c>
      <c r="E60" s="135">
        <v>1</v>
      </c>
      <c r="F60" s="135">
        <v>4</v>
      </c>
      <c r="G60" s="135">
        <v>3</v>
      </c>
      <c r="H60" s="32">
        <v>2</v>
      </c>
      <c r="I60" s="138">
        <v>4</v>
      </c>
      <c r="J60" s="138">
        <v>0</v>
      </c>
      <c r="K60" s="32">
        <v>0</v>
      </c>
      <c r="L60" s="32">
        <v>0</v>
      </c>
      <c r="M60" s="32">
        <v>0</v>
      </c>
      <c r="P60" s="220"/>
    </row>
    <row r="61" spans="1:19" ht="17" thickBot="1" x14ac:dyDescent="0.25">
      <c r="A61" s="264"/>
      <c r="B61" s="41" t="s">
        <v>126</v>
      </c>
      <c r="C61" s="33">
        <f t="shared" ref="C61:M61" si="26">C60/C59</f>
        <v>0.66666666666666663</v>
      </c>
      <c r="D61" s="33">
        <f t="shared" si="26"/>
        <v>0.66666666666666663</v>
      </c>
      <c r="E61" s="33">
        <f t="shared" si="26"/>
        <v>0.25</v>
      </c>
      <c r="F61" s="33">
        <f t="shared" si="26"/>
        <v>0.5714285714285714</v>
      </c>
      <c r="G61" s="33">
        <f t="shared" si="26"/>
        <v>1</v>
      </c>
      <c r="H61" s="142">
        <f t="shared" si="26"/>
        <v>0.4</v>
      </c>
      <c r="I61" s="150">
        <f t="shared" si="26"/>
        <v>0.5714285714285714</v>
      </c>
      <c r="J61" s="33" t="e">
        <f t="shared" si="26"/>
        <v>#DIV/0!</v>
      </c>
      <c r="K61" s="33" t="e">
        <f t="shared" si="26"/>
        <v>#DIV/0!</v>
      </c>
      <c r="L61" s="33" t="e">
        <f t="shared" si="26"/>
        <v>#DIV/0!</v>
      </c>
      <c r="M61" s="33" t="e">
        <f t="shared" si="26"/>
        <v>#DIV/0!</v>
      </c>
      <c r="P61" s="220"/>
    </row>
    <row r="62" spans="1:19" s="92" customFormat="1" ht="18" customHeight="1" x14ac:dyDescent="0.2">
      <c r="A62" s="262" t="s">
        <v>216</v>
      </c>
      <c r="B62" s="210" t="s">
        <v>204</v>
      </c>
      <c r="C62" s="183">
        <f>AVERAGEIFS($F$86:$F$404,$B$86:$B$404,C$3,$E$86:$E$404,"FB")</f>
        <v>85.94251088141668</v>
      </c>
      <c r="D62" s="183">
        <f t="shared" ref="D62:J62" si="27">AVERAGEIFS($F$86:$F$404,$B$86:$B$404,D$3,$E$86:$E$404,"FB")</f>
        <v>85.119399882861146</v>
      </c>
      <c r="E62" s="183">
        <f t="shared" si="27"/>
        <v>84.624472000000011</v>
      </c>
      <c r="F62" s="183">
        <f t="shared" si="27"/>
        <v>83.903698550000016</v>
      </c>
      <c r="G62" s="183">
        <f t="shared" si="27"/>
        <v>84.89443344705883</v>
      </c>
      <c r="H62" s="183">
        <f t="shared" si="27"/>
        <v>86.188997952173906</v>
      </c>
      <c r="I62" s="183">
        <f t="shared" si="27"/>
        <v>85.204991559962977</v>
      </c>
      <c r="J62" s="190">
        <f t="shared" si="27"/>
        <v>88.147562310285707</v>
      </c>
      <c r="K62" s="194">
        <f>AVERAGEIFS(F86:F404, E86:E404,"FB")</f>
        <v>85.292689434546062</v>
      </c>
      <c r="L62" s="192"/>
      <c r="M62" s="184"/>
      <c r="O62" s="231"/>
      <c r="P62" s="231"/>
      <c r="Q62" s="231"/>
      <c r="R62" s="231"/>
      <c r="S62" s="231"/>
    </row>
    <row r="63" spans="1:19" s="92" customFormat="1" ht="18" customHeight="1" x14ac:dyDescent="0.2">
      <c r="A63" s="263"/>
      <c r="B63" s="211" t="s">
        <v>208</v>
      </c>
      <c r="C63" s="183">
        <f>_xlfn.MINIFS($F$86:$F$404,$B$86:$B$404,C$3,$E$86:$E$404,"FB")</f>
        <v>84.481555943999993</v>
      </c>
      <c r="D63" s="183">
        <f t="shared" ref="D63:J63" si="28">_xlfn.MINIFS($F$86:$F$404,$B$86:$B$404,D$3,$E$86:$E$404,"FB")</f>
        <v>82.750632092000004</v>
      </c>
      <c r="E63" s="183">
        <f t="shared" si="28"/>
        <v>82.893555300000003</v>
      </c>
      <c r="F63" s="183">
        <f t="shared" si="28"/>
        <v>81.861358300000006</v>
      </c>
      <c r="G63" s="183">
        <f t="shared" si="28"/>
        <v>81.988392599999997</v>
      </c>
      <c r="H63" s="183">
        <f t="shared" si="28"/>
        <v>83.385837600000002</v>
      </c>
      <c r="I63" s="183">
        <f t="shared" si="28"/>
        <v>81.028241703000006</v>
      </c>
      <c r="J63" s="190">
        <f t="shared" si="28"/>
        <v>86.355394282000006</v>
      </c>
      <c r="K63" s="195">
        <f>_xlfn.MINIFS(F86:F404, E86:E404,"FB")</f>
        <v>81.028241703000006</v>
      </c>
      <c r="L63" s="192"/>
      <c r="M63" s="184"/>
      <c r="O63" s="64"/>
      <c r="P63" s="224"/>
      <c r="Q63" s="64"/>
      <c r="R63" s="64"/>
    </row>
    <row r="64" spans="1:19" s="92" customFormat="1" ht="18" customHeight="1" x14ac:dyDescent="0.2">
      <c r="A64" s="263"/>
      <c r="B64" s="211" t="s">
        <v>205</v>
      </c>
      <c r="C64" s="183">
        <f>_xlfn.MAXIFS($F$86:$F$404,$B$86:$B$404,C$3,$E$86:$E$404,"FB")</f>
        <v>87.212916092</v>
      </c>
      <c r="D64" s="183">
        <f t="shared" ref="D64:J64" si="29">_xlfn.MAXIFS($F$86:$F$404,$B$86:$B$404,D$3,$E$86:$E$404,"FB")</f>
        <v>87.784591483</v>
      </c>
      <c r="E64" s="183">
        <f t="shared" si="29"/>
        <v>88.991472400000006</v>
      </c>
      <c r="F64" s="183">
        <f t="shared" si="29"/>
        <v>87.085873300000003</v>
      </c>
      <c r="G64" s="183">
        <f t="shared" si="29"/>
        <v>88.721514900000003</v>
      </c>
      <c r="H64" s="183">
        <f t="shared" si="29"/>
        <v>89.833112799999995</v>
      </c>
      <c r="I64" s="183">
        <f t="shared" si="29"/>
        <v>90.052562956000003</v>
      </c>
      <c r="J64" s="190">
        <f t="shared" si="29"/>
        <v>89.944267515999996</v>
      </c>
      <c r="K64" s="195">
        <f>_xlfn.MAXIFS(F86:F404, E86:E404,"FB")</f>
        <v>90.052562956000003</v>
      </c>
      <c r="L64" s="192"/>
      <c r="M64" s="184"/>
      <c r="P64" s="221"/>
    </row>
    <row r="65" spans="1:19" s="92" customFormat="1" ht="18" customHeight="1" x14ac:dyDescent="0.2">
      <c r="A65" s="263"/>
      <c r="B65" s="211" t="s">
        <v>211</v>
      </c>
      <c r="C65" s="189">
        <f>AVERAGEIFS($G$86:$G$404,$B$86:$B$404,C$3,$E$86:$E$404,"FB")</f>
        <v>2072.2510491666667</v>
      </c>
      <c r="D65" s="189">
        <f t="shared" ref="D65:J65" si="30">AVERAGEIFS($G$86:$G$404,$B$86:$B$404,D$3,$E$86:$E$404,"FB")</f>
        <v>1894.7594600000002</v>
      </c>
      <c r="E65" s="189">
        <f t="shared" si="30"/>
        <v>1879.3717466666665</v>
      </c>
      <c r="F65" s="189">
        <f t="shared" si="30"/>
        <v>1983.8139038888892</v>
      </c>
      <c r="G65" s="189">
        <f t="shared" si="30"/>
        <v>1934.625811764706</v>
      </c>
      <c r="H65" s="189">
        <f t="shared" si="30"/>
        <v>1864.2306359130434</v>
      </c>
      <c r="I65" s="189">
        <f t="shared" si="30"/>
        <v>1937.6970851851845</v>
      </c>
      <c r="J65" s="191">
        <f t="shared" si="30"/>
        <v>1959.4222057142856</v>
      </c>
      <c r="K65" s="196">
        <f>AVERAGEIFS(G86:G404, E86:E404,"FB")</f>
        <v>1928.5472667499998</v>
      </c>
      <c r="L65" s="192"/>
      <c r="M65" s="184"/>
      <c r="P65" s="221"/>
    </row>
    <row r="66" spans="1:19" s="92" customFormat="1" ht="18" customHeight="1" x14ac:dyDescent="0.2">
      <c r="A66" s="263"/>
      <c r="B66" s="212" t="s">
        <v>206</v>
      </c>
      <c r="C66" s="183">
        <f>AVERAGEIFS($F$86:$F$404,$B$86:$B$404,C$3,$E$86:$E$404,"SL")</f>
        <v>73.758590047875003</v>
      </c>
      <c r="D66" s="183">
        <f t="shared" ref="D66:J66" si="31">AVERAGEIFS($F$86:$F$404,$B$86:$B$404,D$3,$E$86:$E$404,"SL")</f>
        <v>75.357364940928576</v>
      </c>
      <c r="E66" s="183">
        <f t="shared" si="31"/>
        <v>72.916155910000001</v>
      </c>
      <c r="F66" s="183">
        <f t="shared" si="31"/>
        <v>72.064844363636354</v>
      </c>
      <c r="G66" s="183">
        <f t="shared" si="31"/>
        <v>73.456076670000002</v>
      </c>
      <c r="H66" s="183">
        <f t="shared" si="31"/>
        <v>75.277333800000008</v>
      </c>
      <c r="I66" s="183">
        <f t="shared" si="31"/>
        <v>72.853392510533325</v>
      </c>
      <c r="J66" s="190">
        <f t="shared" si="31"/>
        <v>76.640014242399999</v>
      </c>
      <c r="K66" s="195">
        <f>AVERAGEIFS(F86:F404, E86:E404,"SL")</f>
        <v>73.983520995890146</v>
      </c>
      <c r="L66" s="192"/>
      <c r="M66" s="184"/>
      <c r="O66" s="225"/>
      <c r="P66" s="223"/>
      <c r="Q66" s="225"/>
      <c r="R66" s="225"/>
      <c r="S66" s="225"/>
    </row>
    <row r="67" spans="1:19" s="92" customFormat="1" ht="18" customHeight="1" x14ac:dyDescent="0.2">
      <c r="A67" s="263"/>
      <c r="B67" s="212" t="s">
        <v>209</v>
      </c>
      <c r="C67" s="183">
        <f>_xlfn.MINIFS($F$86:$F$404,$B$86:$B$404,C$3,$E$86:$E$404,"SL")</f>
        <v>72.095157685999993</v>
      </c>
      <c r="D67" s="183">
        <f t="shared" ref="D67:J67" si="32">_xlfn.MINIFS($F$86:$F$404,$B$86:$B$404,D$3,$E$86:$E$404,"SL")</f>
        <v>72.031636309999996</v>
      </c>
      <c r="E67" s="183">
        <f t="shared" si="32"/>
        <v>69.983122600000002</v>
      </c>
      <c r="F67" s="183">
        <f t="shared" si="32"/>
        <v>68.919160700000006</v>
      </c>
      <c r="G67" s="183">
        <f t="shared" si="32"/>
        <v>69.363802000000007</v>
      </c>
      <c r="H67" s="183">
        <f t="shared" si="32"/>
        <v>72.365123699999998</v>
      </c>
      <c r="I67" s="183">
        <f t="shared" si="32"/>
        <v>68.635686726000003</v>
      </c>
      <c r="J67" s="190">
        <f t="shared" si="32"/>
        <v>75.334680348999996</v>
      </c>
      <c r="K67" s="195">
        <f>_xlfn.MINIFS(F86:F404, E86:E404,"SL")</f>
        <v>68.635686726000003</v>
      </c>
      <c r="L67" s="192"/>
      <c r="M67" s="184"/>
      <c r="O67" s="225"/>
      <c r="P67" s="223"/>
      <c r="Q67" s="225"/>
      <c r="R67" s="225"/>
      <c r="S67" s="225"/>
    </row>
    <row r="68" spans="1:19" s="92" customFormat="1" ht="18" customHeight="1" x14ac:dyDescent="0.2">
      <c r="A68" s="263"/>
      <c r="B68" s="212" t="s">
        <v>207</v>
      </c>
      <c r="C68" s="183">
        <f>_xlfn.MAXIFS($F$86:$F$404,$B$86:$B$404,C$3,$E$86:$E$404,"SL")</f>
        <v>79.145878624999995</v>
      </c>
      <c r="D68" s="183">
        <f t="shared" ref="D68:J68" si="33">_xlfn.MAXIFS($F$86:$F$404,$B$86:$B$404,D$3,$E$86:$E$404,"SL")</f>
        <v>79.590519763000003</v>
      </c>
      <c r="E68" s="183">
        <f t="shared" si="33"/>
        <v>76.144560999999996</v>
      </c>
      <c r="F68" s="183">
        <f t="shared" si="33"/>
        <v>74.937680400000005</v>
      </c>
      <c r="G68" s="183">
        <f t="shared" si="33"/>
        <v>76.4145185</v>
      </c>
      <c r="H68" s="183">
        <f t="shared" si="33"/>
        <v>78.193074800000005</v>
      </c>
      <c r="I68" s="183">
        <f t="shared" si="33"/>
        <v>77.024491107000003</v>
      </c>
      <c r="J68" s="190">
        <f t="shared" si="33"/>
        <v>77.605518903000004</v>
      </c>
      <c r="K68" s="195">
        <f>_xlfn.MAXIFS(F86:F404, E86:E404,"SL")</f>
        <v>79.590519763000003</v>
      </c>
      <c r="L68" s="192"/>
      <c r="M68" s="184"/>
      <c r="O68" s="225"/>
      <c r="P68" s="223"/>
      <c r="Q68" s="225"/>
      <c r="R68" s="225"/>
      <c r="S68" s="225"/>
    </row>
    <row r="69" spans="1:19" s="92" customFormat="1" ht="18" customHeight="1" x14ac:dyDescent="0.2">
      <c r="A69" s="263"/>
      <c r="B69" s="212" t="s">
        <v>212</v>
      </c>
      <c r="C69" s="189">
        <f>AVERAGEIFS($G$86:$G$404,$B$86:$B$404,C$3,$E$86:$E$404,"SL")</f>
        <v>2111.6192149999997</v>
      </c>
      <c r="D69" s="189">
        <f t="shared" ref="D69:J69" si="34">AVERAGEIFS($G$86:$G$404,$B$86:$B$404,D$3,$E$86:$E$404,"SL")</f>
        <v>1821.8909007857144</v>
      </c>
      <c r="E69" s="189">
        <f t="shared" si="34"/>
        <v>1981.3641109999996</v>
      </c>
      <c r="F69" s="189">
        <f t="shared" si="34"/>
        <v>1885.3412963636367</v>
      </c>
      <c r="G69" s="189">
        <f t="shared" si="34"/>
        <v>2025.5366580000002</v>
      </c>
      <c r="H69" s="189">
        <f t="shared" si="34"/>
        <v>2096.7175383333329</v>
      </c>
      <c r="I69" s="189">
        <f t="shared" si="34"/>
        <v>2039.0939726666668</v>
      </c>
      <c r="J69" s="191">
        <f t="shared" si="34"/>
        <v>1972.80078</v>
      </c>
      <c r="K69" s="196">
        <f>AVERAGEIFS(G86:G404, E86:E404,"SL")</f>
        <v>1993.3903017692312</v>
      </c>
      <c r="L69" s="192"/>
      <c r="M69" s="184"/>
      <c r="O69" s="225"/>
      <c r="P69" s="223"/>
      <c r="Q69" s="225"/>
      <c r="R69" s="225"/>
      <c r="S69" s="225"/>
    </row>
    <row r="70" spans="1:19" s="92" customFormat="1" ht="18" customHeight="1" x14ac:dyDescent="0.25">
      <c r="A70" s="263"/>
      <c r="B70" s="213" t="s">
        <v>222</v>
      </c>
      <c r="C70" s="183" t="e">
        <f>AVERAGEIFS($F$86:$F$404,$B$86:$B$404,C$3,$E$86:$E$404,"CT")</f>
        <v>#DIV/0!</v>
      </c>
      <c r="D70" s="183" t="e">
        <f t="shared" ref="D70:J70" si="35">AVERAGEIFS($F$86:$F$404,$B$86:$B$404,D$3,$E$86:$E$404,"CT")</f>
        <v>#DIV/0!</v>
      </c>
      <c r="E70" s="183" t="e">
        <f t="shared" si="35"/>
        <v>#DIV/0!</v>
      </c>
      <c r="F70" s="183" t="e">
        <f t="shared" si="35"/>
        <v>#DIV/0!</v>
      </c>
      <c r="G70" s="183" t="e">
        <f t="shared" si="35"/>
        <v>#DIV/0!</v>
      </c>
      <c r="H70" s="183" t="e">
        <f t="shared" si="35"/>
        <v>#DIV/0!</v>
      </c>
      <c r="I70" s="183" t="e">
        <f t="shared" si="35"/>
        <v>#DIV/0!</v>
      </c>
      <c r="J70" s="190" t="e">
        <f t="shared" si="35"/>
        <v>#DIV/0!</v>
      </c>
      <c r="K70" s="195" t="e">
        <f>AVERAGEIFS(F86:F404, E86:E404,"CT")</f>
        <v>#DIV/0!</v>
      </c>
      <c r="L70" s="192"/>
      <c r="M70" s="184"/>
      <c r="O70" s="232"/>
      <c r="P70" s="223"/>
      <c r="Q70" s="225"/>
      <c r="R70" s="225"/>
      <c r="S70" s="225"/>
    </row>
    <row r="71" spans="1:19" s="92" customFormat="1" ht="18" customHeight="1" x14ac:dyDescent="0.2">
      <c r="A71" s="263"/>
      <c r="B71" s="213" t="s">
        <v>223</v>
      </c>
      <c r="C71" s="183">
        <f>_xlfn.MINIFS($F$86:$F$404,$B$86:$B$404,C$3,$E$86:$E$404,"CT")</f>
        <v>0</v>
      </c>
      <c r="D71" s="183">
        <f t="shared" ref="D71:J71" si="36">_xlfn.MINIFS($F$86:$F$404,$B$86:$B$404,D$3,$E$86:$E$404,"CT")</f>
        <v>0</v>
      </c>
      <c r="E71" s="183">
        <f t="shared" si="36"/>
        <v>0</v>
      </c>
      <c r="F71" s="183">
        <f t="shared" si="36"/>
        <v>0</v>
      </c>
      <c r="G71" s="183">
        <f t="shared" si="36"/>
        <v>0</v>
      </c>
      <c r="H71" s="183">
        <f t="shared" si="36"/>
        <v>0</v>
      </c>
      <c r="I71" s="183">
        <f t="shared" si="36"/>
        <v>0</v>
      </c>
      <c r="J71" s="190">
        <f t="shared" si="36"/>
        <v>0</v>
      </c>
      <c r="K71" s="195">
        <f>_xlfn.MINIFS(F86:F404, E86:E404,"CT")</f>
        <v>0</v>
      </c>
      <c r="L71" s="192"/>
      <c r="M71" s="184"/>
      <c r="O71" s="225"/>
      <c r="P71" s="223"/>
      <c r="Q71" s="225"/>
      <c r="R71" s="225"/>
      <c r="S71" s="225"/>
    </row>
    <row r="72" spans="1:19" s="92" customFormat="1" ht="18" customHeight="1" x14ac:dyDescent="0.2">
      <c r="A72" s="263"/>
      <c r="B72" s="213" t="s">
        <v>224</v>
      </c>
      <c r="C72" s="183">
        <f>_xlfn.MAXIFS($F$86:$F$404,$B$86:$B$404,C$3,$E$86:$E$404,"CT")</f>
        <v>0</v>
      </c>
      <c r="D72" s="183">
        <f t="shared" ref="D72:J72" si="37">_xlfn.MAXIFS($F$86:$F$404,$B$86:$B$404,D$3,$E$86:$E$404,"CT")</f>
        <v>0</v>
      </c>
      <c r="E72" s="183">
        <f t="shared" si="37"/>
        <v>0</v>
      </c>
      <c r="F72" s="183">
        <f t="shared" si="37"/>
        <v>0</v>
      </c>
      <c r="G72" s="183">
        <f t="shared" si="37"/>
        <v>0</v>
      </c>
      <c r="H72" s="183">
        <f t="shared" si="37"/>
        <v>0</v>
      </c>
      <c r="I72" s="183">
        <f t="shared" si="37"/>
        <v>0</v>
      </c>
      <c r="J72" s="190">
        <f t="shared" si="37"/>
        <v>0</v>
      </c>
      <c r="K72" s="195">
        <f>_xlfn.MAXIFS(F86:F404, E86:E404,"CT")</f>
        <v>0</v>
      </c>
      <c r="L72" s="192"/>
      <c r="M72" s="184"/>
      <c r="O72" s="225"/>
      <c r="P72" s="223"/>
      <c r="Q72" s="225"/>
      <c r="R72" s="225"/>
      <c r="S72" s="225"/>
    </row>
    <row r="73" spans="1:19" s="92" customFormat="1" ht="18" customHeight="1" x14ac:dyDescent="0.2">
      <c r="A73" s="263"/>
      <c r="B73" s="213" t="s">
        <v>225</v>
      </c>
      <c r="C73" s="183" t="e">
        <f>AVERAGEIFS($G$86:$G$404,$B$86:$B$404,C$3,$E$86:$E$404,"CT")</f>
        <v>#DIV/0!</v>
      </c>
      <c r="D73" s="183" t="e">
        <f t="shared" ref="D73:J73" si="38">AVERAGEIFS($G$86:$G$404,$B$86:$B$404,D$3,$E$86:$E$404,"CT")</f>
        <v>#DIV/0!</v>
      </c>
      <c r="E73" s="183" t="e">
        <f t="shared" si="38"/>
        <v>#DIV/0!</v>
      </c>
      <c r="F73" s="183" t="e">
        <f t="shared" si="38"/>
        <v>#DIV/0!</v>
      </c>
      <c r="G73" s="183" t="e">
        <f t="shared" si="38"/>
        <v>#DIV/0!</v>
      </c>
      <c r="H73" s="183" t="e">
        <f t="shared" si="38"/>
        <v>#DIV/0!</v>
      </c>
      <c r="I73" s="183" t="e">
        <f t="shared" si="38"/>
        <v>#DIV/0!</v>
      </c>
      <c r="J73" s="190" t="e">
        <f t="shared" si="38"/>
        <v>#DIV/0!</v>
      </c>
      <c r="K73" s="196" t="e">
        <f>AVERAGEIFS(G86:G404, E86:E404,"CT")</f>
        <v>#DIV/0!</v>
      </c>
      <c r="L73" s="192"/>
      <c r="M73" s="184"/>
      <c r="O73" s="225"/>
      <c r="P73" s="223"/>
      <c r="Q73" s="225"/>
      <c r="R73" s="225"/>
      <c r="S73" s="225"/>
    </row>
    <row r="74" spans="1:19" s="92" customFormat="1" ht="18" customHeight="1" x14ac:dyDescent="0.25">
      <c r="A74" s="263"/>
      <c r="B74" s="214" t="s">
        <v>215</v>
      </c>
      <c r="C74" s="183">
        <f>AVERAGEIFS($F$86:$F$404,$B$86:$B$404,C$3,$E$86:$E$404,"CH")</f>
        <v>75.562293060666676</v>
      </c>
      <c r="D74" s="183">
        <f t="shared" ref="D74:J74" si="39">AVERAGEIFS($F$86:$F$404,$B$86:$B$404,D$3,$E$86:$E$404,"CH")</f>
        <v>74.794757145999995</v>
      </c>
      <c r="E74" s="183">
        <f t="shared" si="39"/>
        <v>72.710508825000005</v>
      </c>
      <c r="F74" s="183">
        <f t="shared" si="39"/>
        <v>72.425993333333338</v>
      </c>
      <c r="G74" s="183">
        <f t="shared" si="39"/>
        <v>72.81770075</v>
      </c>
      <c r="H74" s="183">
        <f t="shared" si="39"/>
        <v>73.927709739999997</v>
      </c>
      <c r="I74" s="183">
        <f t="shared" si="39"/>
        <v>73.6433519133125</v>
      </c>
      <c r="J74" s="190">
        <f t="shared" si="39"/>
        <v>77.102653379000003</v>
      </c>
      <c r="K74" s="195">
        <f>AVERAGEIFS(F86:F404, E86:E404,"CH")</f>
        <v>73.81829096887806</v>
      </c>
      <c r="L74" s="192"/>
      <c r="M74" s="184"/>
      <c r="O74" s="233"/>
      <c r="P74" s="233"/>
      <c r="Q74" s="233"/>
      <c r="R74" s="233"/>
      <c r="S74" s="225"/>
    </row>
    <row r="75" spans="1:19" s="92" customFormat="1" ht="18" customHeight="1" x14ac:dyDescent="0.2">
      <c r="A75" s="263"/>
      <c r="B75" s="214" t="s">
        <v>210</v>
      </c>
      <c r="C75" s="183">
        <f>_xlfn.MINIFS($F$86:$F$404,$B$86:$B$404,C$3,$E$86:$E$404,"CH")</f>
        <v>74.207201299000005</v>
      </c>
      <c r="D75" s="183">
        <f t="shared" ref="D75:J75" si="40">_xlfn.MINIFS($F$86:$F$404,$B$86:$B$404,D$3,$E$86:$E$404,"CH")</f>
        <v>73.556115575000007</v>
      </c>
      <c r="E75" s="183">
        <f t="shared" si="40"/>
        <v>72.031636300000002</v>
      </c>
      <c r="F75" s="183">
        <f t="shared" si="40"/>
        <v>70.507161300000007</v>
      </c>
      <c r="G75" s="183">
        <f t="shared" si="40"/>
        <v>70.681840899999997</v>
      </c>
      <c r="H75" s="183">
        <f t="shared" si="40"/>
        <v>71.189999200000003</v>
      </c>
      <c r="I75" s="183">
        <f t="shared" si="40"/>
        <v>72.448783489999997</v>
      </c>
      <c r="J75" s="190">
        <f t="shared" si="40"/>
        <v>76.192202159000004</v>
      </c>
      <c r="K75" s="195">
        <f>_xlfn.MINIFS(F86:F404, E86:E404,"CH")</f>
        <v>70.507161300000007</v>
      </c>
      <c r="L75" s="192"/>
      <c r="M75" s="184"/>
      <c r="O75" s="225"/>
      <c r="P75" s="223"/>
      <c r="Q75" s="183"/>
      <c r="R75" s="225"/>
      <c r="S75" s="225"/>
    </row>
    <row r="76" spans="1:19" s="92" customFormat="1" ht="18" customHeight="1" x14ac:dyDescent="0.2">
      <c r="A76" s="263"/>
      <c r="B76" s="214" t="s">
        <v>214</v>
      </c>
      <c r="C76" s="183">
        <f>_xlfn.MAXIFS($F$86:$F$404,$B$86:$B$404,C$3,$E$86:$E$404,"CH")</f>
        <v>76.462159622000001</v>
      </c>
      <c r="D76" s="183">
        <f t="shared" ref="D76:J76" si="41">_xlfn.MAXIFS($F$86:$F$404,$B$86:$B$404,D$3,$E$86:$E$404,"CH")</f>
        <v>76.033398716999997</v>
      </c>
      <c r="E76" s="183">
        <f t="shared" si="41"/>
        <v>74.064279900000002</v>
      </c>
      <c r="F76" s="183">
        <f t="shared" si="41"/>
        <v>74.556560399999995</v>
      </c>
      <c r="G76" s="183">
        <f t="shared" si="41"/>
        <v>74.953560600000003</v>
      </c>
      <c r="H76" s="183">
        <f t="shared" si="41"/>
        <v>76.017518300000006</v>
      </c>
      <c r="I76" s="183">
        <f t="shared" si="41"/>
        <v>76.452525585999993</v>
      </c>
      <c r="J76" s="190">
        <f t="shared" si="41"/>
        <v>77.875476366000001</v>
      </c>
      <c r="K76" s="195">
        <f>_xlfn.MAXIFS(F86:F404, E86:E404,"CH")</f>
        <v>77.875476366000001</v>
      </c>
      <c r="L76" s="192"/>
      <c r="M76" s="184"/>
      <c r="O76" s="225"/>
      <c r="P76" s="223"/>
      <c r="Q76" s="225"/>
      <c r="R76" s="225"/>
      <c r="S76" s="225"/>
    </row>
    <row r="77" spans="1:19" s="181" customFormat="1" ht="18" customHeight="1" thickBot="1" x14ac:dyDescent="0.25">
      <c r="A77" s="264"/>
      <c r="B77" s="215" t="s">
        <v>213</v>
      </c>
      <c r="C77" s="189">
        <f>AVERAGEIFS($G$86:$G$404,$B$86:$B$404,C$3,$E$86:$E$404,"CH")</f>
        <v>1785.3670233333335</v>
      </c>
      <c r="D77" s="189">
        <f t="shared" ref="D77:J77" si="42">AVERAGEIFS($G$86:$G$404,$B$86:$B$404,D$3,$E$86:$E$404,"CH")</f>
        <v>1667.47308</v>
      </c>
      <c r="E77" s="189">
        <f t="shared" si="42"/>
        <v>1779.5670775000001</v>
      </c>
      <c r="F77" s="189">
        <f t="shared" si="42"/>
        <v>1699.6966766666667</v>
      </c>
      <c r="G77" s="189">
        <f t="shared" si="42"/>
        <v>1641.4444549999998</v>
      </c>
      <c r="H77" s="189">
        <f t="shared" si="42"/>
        <v>1452.119066</v>
      </c>
      <c r="I77" s="189">
        <f t="shared" si="42"/>
        <v>1781.998199375</v>
      </c>
      <c r="J77" s="191">
        <f t="shared" si="42"/>
        <v>1750.3122133333334</v>
      </c>
      <c r="K77" s="197">
        <f>AVERAGEIFS(G86:G404, E86:E404,"CH")</f>
        <v>1714.9728700000003</v>
      </c>
      <c r="L77" s="193"/>
      <c r="M77" s="185"/>
      <c r="O77" s="226"/>
      <c r="P77" s="227"/>
      <c r="Q77" s="226"/>
      <c r="R77" s="226"/>
      <c r="S77" s="226"/>
    </row>
    <row r="78" spans="1:19" x14ac:dyDescent="0.2">
      <c r="A78" s="267" t="s">
        <v>221</v>
      </c>
      <c r="B78" s="12" t="s">
        <v>217</v>
      </c>
      <c r="C78" s="11">
        <f>AVERAGEIFS($K$86:$K$404,$B$86:$B$404,C$3)</f>
        <v>87.57331298950001</v>
      </c>
      <c r="D78" s="11">
        <f t="shared" ref="D78:J78" si="43">AVERAGEIFS($K$86:$K$404,$B$86:$B$404,D$3)</f>
        <v>71.952560110714288</v>
      </c>
      <c r="E78" s="11">
        <f t="shared" si="43"/>
        <v>73.542924080000006</v>
      </c>
      <c r="F78" s="11">
        <f t="shared" si="43"/>
        <v>83.289810250000002</v>
      </c>
      <c r="G78" s="11">
        <f t="shared" si="43"/>
        <v>75.146135933333326</v>
      </c>
      <c r="H78" s="11">
        <f t="shared" si="43"/>
        <v>80.537643880000005</v>
      </c>
      <c r="I78" s="11">
        <f t="shared" si="43"/>
        <v>79.26169433945455</v>
      </c>
      <c r="J78" s="11">
        <f t="shared" si="43"/>
        <v>71.171108840500011</v>
      </c>
      <c r="K78" s="198">
        <f>AVERAGE(K86:K404)</f>
        <v>77.464133231395337</v>
      </c>
      <c r="P78" s="220"/>
    </row>
    <row r="79" spans="1:19" x14ac:dyDescent="0.2">
      <c r="A79" s="268"/>
      <c r="B79" s="12" t="s">
        <v>218</v>
      </c>
      <c r="C79" s="11">
        <f>AVERAGEIFS($L$86:$L$404,$B$86:$B$404,C$3)</f>
        <v>-6.3433990333333314</v>
      </c>
      <c r="D79" s="11">
        <f t="shared" ref="D79:J79" si="44">AVERAGEIFS($L$86:$L$404,$B$86:$B$404,D$3)</f>
        <v>0.62071860124999967</v>
      </c>
      <c r="E79" s="11">
        <f t="shared" si="44"/>
        <v>16.654835859999999</v>
      </c>
      <c r="F79" s="11">
        <f t="shared" si="44"/>
        <v>15.867182088333337</v>
      </c>
      <c r="G79" s="11">
        <f t="shared" si="44"/>
        <v>21.482970533333333</v>
      </c>
      <c r="H79" s="11">
        <f t="shared" si="44"/>
        <v>6.3304357339999999</v>
      </c>
      <c r="I79" s="11">
        <f>AVERAGEIFS($L$86:$L$404,$B$86:$B$404,I$3)</f>
        <v>-1.3098701324999991</v>
      </c>
      <c r="J79" s="11">
        <f t="shared" si="44"/>
        <v>4.9450328499999987</v>
      </c>
      <c r="K79" s="198">
        <f>AVERAGE(L86:L404)</f>
        <v>5.7516435569565223</v>
      </c>
      <c r="P79" s="220"/>
    </row>
    <row r="80" spans="1:19" x14ac:dyDescent="0.2">
      <c r="A80" s="268"/>
      <c r="B80" s="218" t="s">
        <v>219</v>
      </c>
      <c r="C80" s="11">
        <f>AVERAGEIFS($O$86:$O$404,$B$86:$B$404,C$3)</f>
        <v>245</v>
      </c>
      <c r="D80" s="11">
        <f t="shared" ref="D80:J80" si="45">AVERAGEIFS($O$86:$O$404,$B$86:$B$404,D$3)</f>
        <v>100.33333333333333</v>
      </c>
      <c r="E80" s="11">
        <f t="shared" si="45"/>
        <v>125.6</v>
      </c>
      <c r="F80" s="11">
        <f t="shared" si="45"/>
        <v>155</v>
      </c>
      <c r="G80" s="11">
        <f t="shared" si="45"/>
        <v>273.5</v>
      </c>
      <c r="H80" s="11">
        <f t="shared" si="45"/>
        <v>108.2</v>
      </c>
      <c r="I80" s="11">
        <f t="shared" si="45"/>
        <v>149.90909090909091</v>
      </c>
      <c r="J80" s="11">
        <f t="shared" si="45"/>
        <v>121.33333333333333</v>
      </c>
      <c r="K80" s="234" t="e">
        <f>AVERAGE(O374:O404)</f>
        <v>#DIV/0!</v>
      </c>
      <c r="L80"/>
      <c r="M80"/>
      <c r="P80" s="220"/>
    </row>
    <row r="81" spans="1:20" x14ac:dyDescent="0.2">
      <c r="A81" s="268"/>
      <c r="B81" s="12" t="s">
        <v>231</v>
      </c>
      <c r="C81" s="33">
        <f>AVERAGEIFS($P$86:$P$404,$B$86:$B$404,C$3)</f>
        <v>0.89963973999999958</v>
      </c>
      <c r="D81" s="33">
        <f t="shared" ref="D81:J81" si="46">AVERAGEIFS($P$86:$P$404,$B$86:$B$404,D$3)</f>
        <v>0.7035908232857141</v>
      </c>
      <c r="E81" s="33">
        <f t="shared" si="46"/>
        <v>0.76551730400000007</v>
      </c>
      <c r="F81" s="33">
        <f t="shared" si="46"/>
        <v>0.8965031183333334</v>
      </c>
      <c r="G81" s="33">
        <f t="shared" si="46"/>
        <v>0.70206039333333337</v>
      </c>
      <c r="H81" s="33">
        <f t="shared" si="46"/>
        <v>0.74516740400000014</v>
      </c>
      <c r="I81" s="33">
        <f t="shared" si="46"/>
        <v>0.76503188509090903</v>
      </c>
      <c r="J81" s="33">
        <f t="shared" si="46"/>
        <v>0.6931041432499998</v>
      </c>
      <c r="K81" s="235" t="e">
        <f>AVERAGE(P374:P404)</f>
        <v>#DIV/0!</v>
      </c>
      <c r="L81"/>
      <c r="M81"/>
      <c r="P81" s="220"/>
    </row>
    <row r="82" spans="1:20" ht="17" thickBot="1" x14ac:dyDescent="0.25">
      <c r="A82" s="269"/>
      <c r="B82" s="12" t="s">
        <v>220</v>
      </c>
      <c r="C82" s="33">
        <f>(SUM(C51,C54,C57,C60)/(SUM(C50,C53,C56,C59)))</f>
        <v>0.36363636363636365</v>
      </c>
      <c r="D82" s="33">
        <f t="shared" ref="D82:J82" si="47">(SUM(D51,D54,D57,D60)/(SUM(D50,D53,D56,D59)))</f>
        <v>0.27272727272727271</v>
      </c>
      <c r="E82" s="33">
        <f t="shared" si="47"/>
        <v>0.21428571428571427</v>
      </c>
      <c r="F82" s="33">
        <f t="shared" si="47"/>
        <v>0.3888888888888889</v>
      </c>
      <c r="G82" s="33">
        <f t="shared" si="47"/>
        <v>0.46153846153846156</v>
      </c>
      <c r="H82" s="33">
        <f t="shared" si="47"/>
        <v>0.33333333333333331</v>
      </c>
      <c r="I82" s="33">
        <f t="shared" si="47"/>
        <v>0.38709677419354838</v>
      </c>
      <c r="J82" s="33">
        <f t="shared" si="47"/>
        <v>0</v>
      </c>
      <c r="K82" s="172">
        <f>(SUM(G51:J51)+SUM(G54:J54)+SUM(G57:J57)+SUM(G60:J60))/(SUM(G50:J50)+SUM(G53:J53)+SUM(G56:J56)+SUM(G59:J59))</f>
        <v>0.35294117647058826</v>
      </c>
      <c r="L82"/>
      <c r="M82"/>
      <c r="P82" s="220"/>
    </row>
    <row r="83" spans="1:20" x14ac:dyDescent="0.2">
      <c r="C83"/>
      <c r="D83"/>
      <c r="E83"/>
      <c r="F83"/>
      <c r="G83"/>
      <c r="H83"/>
      <c r="I83"/>
      <c r="J83"/>
      <c r="K83"/>
      <c r="L83"/>
      <c r="M83"/>
      <c r="P83" s="220"/>
    </row>
    <row r="84" spans="1:20" x14ac:dyDescent="0.2">
      <c r="C84" s="33"/>
      <c r="D84" s="33"/>
      <c r="E84" s="33"/>
      <c r="F84" s="33"/>
      <c r="G84" s="172"/>
      <c r="H84" s="172"/>
    </row>
    <row r="85" spans="1:20" s="6" customFormat="1" x14ac:dyDescent="0.2">
      <c r="A85" s="6" t="s">
        <v>0</v>
      </c>
      <c r="B85" s="6" t="s">
        <v>1</v>
      </c>
      <c r="C85" s="6" t="s">
        <v>2</v>
      </c>
      <c r="D85" s="6" t="s">
        <v>3</v>
      </c>
      <c r="E85" s="12" t="s">
        <v>31</v>
      </c>
      <c r="F85" s="15" t="s">
        <v>30</v>
      </c>
      <c r="G85" s="202" t="s">
        <v>5</v>
      </c>
      <c r="H85" s="21" t="s">
        <v>32</v>
      </c>
      <c r="I85" s="18" t="s">
        <v>203</v>
      </c>
      <c r="J85" s="6" t="s">
        <v>4</v>
      </c>
      <c r="K85" s="15" t="s">
        <v>6</v>
      </c>
      <c r="L85" s="15" t="s">
        <v>7</v>
      </c>
      <c r="M85" s="15" t="s">
        <v>8</v>
      </c>
      <c r="N85" s="15" t="s">
        <v>9</v>
      </c>
      <c r="O85" s="15" t="s">
        <v>11</v>
      </c>
      <c r="P85" s="171" t="s">
        <v>15</v>
      </c>
    </row>
    <row r="86" spans="1:20" x14ac:dyDescent="0.2">
      <c r="A86">
        <v>150</v>
      </c>
      <c r="B86" s="1">
        <v>46193</v>
      </c>
      <c r="C86" s="2">
        <v>0.86547453703703703</v>
      </c>
      <c r="D86" t="s">
        <v>25</v>
      </c>
      <c r="E86" s="10" t="s">
        <v>33</v>
      </c>
      <c r="F86" s="11">
        <v>84.481555943999993</v>
      </c>
      <c r="G86" s="4">
        <v>2026.0994900000001</v>
      </c>
      <c r="H86" s="20">
        <v>0</v>
      </c>
      <c r="I86" s="17"/>
      <c r="J86" t="s">
        <v>29</v>
      </c>
      <c r="K86" s="11"/>
      <c r="L86" s="11"/>
      <c r="M86" s="11"/>
      <c r="N86" s="11"/>
      <c r="O86" s="11"/>
      <c r="P86" s="33"/>
      <c r="R86" s="10" t="s">
        <v>35</v>
      </c>
      <c r="S86" s="20">
        <v>1</v>
      </c>
      <c r="T86" s="17" t="s">
        <v>40</v>
      </c>
    </row>
    <row r="87" spans="1:20" x14ac:dyDescent="0.2">
      <c r="A87">
        <v>151</v>
      </c>
      <c r="B87" s="1">
        <v>46193</v>
      </c>
      <c r="C87" s="2">
        <v>0.86567129629629624</v>
      </c>
      <c r="D87" t="s">
        <v>25</v>
      </c>
      <c r="E87" s="10" t="s">
        <v>33</v>
      </c>
      <c r="F87" s="11">
        <v>84.989709958000006</v>
      </c>
      <c r="G87" s="4">
        <v>2072.7766099999999</v>
      </c>
      <c r="H87" s="20">
        <v>0</v>
      </c>
      <c r="I87" s="17"/>
      <c r="J87" t="s">
        <v>29</v>
      </c>
      <c r="K87" s="11"/>
      <c r="L87" s="11"/>
      <c r="M87" s="11"/>
      <c r="N87" s="11"/>
      <c r="O87" s="11"/>
      <c r="P87" s="33"/>
      <c r="R87" s="10" t="s">
        <v>35</v>
      </c>
      <c r="S87" s="20">
        <v>0</v>
      </c>
      <c r="T87" s="17"/>
    </row>
    <row r="88" spans="1:20" x14ac:dyDescent="0.2">
      <c r="A88">
        <v>152</v>
      </c>
      <c r="B88" s="1">
        <v>46193</v>
      </c>
      <c r="C88" s="2">
        <v>0.86586805555555557</v>
      </c>
      <c r="D88" t="s">
        <v>25</v>
      </c>
      <c r="E88" s="10" t="s">
        <v>33</v>
      </c>
      <c r="F88" s="11">
        <v>85.354949485999995</v>
      </c>
      <c r="G88" s="4">
        <v>2070.1296400000001</v>
      </c>
      <c r="H88" s="20">
        <v>1</v>
      </c>
      <c r="I88" s="17" t="s">
        <v>38</v>
      </c>
      <c r="J88" t="s">
        <v>29</v>
      </c>
      <c r="K88" s="11"/>
      <c r="L88" s="11"/>
      <c r="M88" s="11"/>
      <c r="N88" s="11">
        <v>62.879372158999999</v>
      </c>
      <c r="O88" s="11"/>
      <c r="P88" s="33"/>
      <c r="R88" s="10" t="s">
        <v>35</v>
      </c>
      <c r="S88" s="20">
        <v>1</v>
      </c>
      <c r="T88" s="17" t="s">
        <v>40</v>
      </c>
    </row>
    <row r="89" spans="1:20" x14ac:dyDescent="0.2">
      <c r="A89">
        <v>153</v>
      </c>
      <c r="B89" s="1">
        <v>46193</v>
      </c>
      <c r="C89" s="2">
        <v>0.86631944444444442</v>
      </c>
      <c r="D89" t="s">
        <v>25</v>
      </c>
      <c r="E89" s="10" t="s">
        <v>33</v>
      </c>
      <c r="F89" s="11">
        <v>85.624915449</v>
      </c>
      <c r="G89" s="4">
        <v>1917.01025</v>
      </c>
      <c r="H89" s="20">
        <v>1</v>
      </c>
      <c r="I89" s="17"/>
      <c r="J89" t="s">
        <v>29</v>
      </c>
      <c r="K89" s="11"/>
      <c r="L89" s="11"/>
      <c r="M89" s="11"/>
      <c r="N89" s="11"/>
      <c r="O89" s="11"/>
      <c r="P89" s="33"/>
      <c r="R89" s="10" t="s">
        <v>33</v>
      </c>
      <c r="S89" s="20">
        <v>0</v>
      </c>
      <c r="T89" s="17"/>
    </row>
    <row r="90" spans="1:20" x14ac:dyDescent="0.2">
      <c r="A90">
        <v>154</v>
      </c>
      <c r="B90" s="1">
        <v>46193</v>
      </c>
      <c r="C90" s="2">
        <v>0.86693287037037037</v>
      </c>
      <c r="D90" t="s">
        <v>25</v>
      </c>
      <c r="E90" s="10" t="s">
        <v>33</v>
      </c>
      <c r="F90" s="11">
        <v>86.006035209999993</v>
      </c>
      <c r="G90" s="4">
        <v>1999.40381</v>
      </c>
      <c r="H90" s="20">
        <v>1</v>
      </c>
      <c r="I90" s="17" t="s">
        <v>38</v>
      </c>
      <c r="J90" t="s">
        <v>29</v>
      </c>
      <c r="K90" s="11"/>
      <c r="L90" s="11"/>
      <c r="M90" s="11"/>
      <c r="N90" s="11">
        <v>68.217656403000007</v>
      </c>
      <c r="O90" s="11"/>
      <c r="P90" s="33"/>
      <c r="R90" s="10" t="s">
        <v>33</v>
      </c>
      <c r="S90" s="20">
        <v>0</v>
      </c>
      <c r="T90" s="17"/>
    </row>
    <row r="91" spans="1:20" x14ac:dyDescent="0.2">
      <c r="A91">
        <v>155</v>
      </c>
      <c r="B91" s="1">
        <v>46193</v>
      </c>
      <c r="C91" s="2">
        <v>0.86730324074074072</v>
      </c>
      <c r="D91" t="s">
        <v>25</v>
      </c>
      <c r="E91" s="10" t="s">
        <v>33</v>
      </c>
      <c r="F91" s="11">
        <v>84.783274094999996</v>
      </c>
      <c r="G91" s="4">
        <v>2073.71875</v>
      </c>
      <c r="H91" s="20">
        <v>0</v>
      </c>
      <c r="I91" s="17"/>
      <c r="J91" t="s">
        <v>21</v>
      </c>
      <c r="K91" s="11"/>
      <c r="L91" s="11"/>
      <c r="M91" s="11"/>
      <c r="N91" s="11"/>
      <c r="O91" s="11"/>
      <c r="P91" s="33"/>
      <c r="R91" s="10" t="s">
        <v>33</v>
      </c>
      <c r="S91" s="20">
        <v>1</v>
      </c>
      <c r="T91" s="17" t="s">
        <v>38</v>
      </c>
    </row>
    <row r="92" spans="1:20" x14ac:dyDescent="0.2">
      <c r="A92">
        <v>156</v>
      </c>
      <c r="B92" s="1">
        <v>46193</v>
      </c>
      <c r="C92" s="2">
        <v>0.86767361111111108</v>
      </c>
      <c r="D92" t="s">
        <v>25</v>
      </c>
      <c r="E92" s="10" t="s">
        <v>37</v>
      </c>
      <c r="F92" s="11">
        <v>73.047961561999998</v>
      </c>
      <c r="G92" s="4">
        <v>2265.3325199999999</v>
      </c>
      <c r="H92" s="20">
        <v>1</v>
      </c>
      <c r="I92" s="17" t="s">
        <v>38</v>
      </c>
      <c r="J92" t="s">
        <v>21</v>
      </c>
      <c r="K92" s="11"/>
      <c r="L92" s="11"/>
      <c r="M92" s="11"/>
      <c r="N92" s="11">
        <v>61.109306400999998</v>
      </c>
      <c r="O92" s="11"/>
      <c r="P92" s="33"/>
      <c r="R92" s="10" t="s">
        <v>33</v>
      </c>
      <c r="S92" s="20">
        <v>1</v>
      </c>
      <c r="T92" s="17"/>
    </row>
    <row r="93" spans="1:20" x14ac:dyDescent="0.2">
      <c r="A93">
        <v>157</v>
      </c>
      <c r="B93" s="1">
        <v>46193</v>
      </c>
      <c r="C93" s="2">
        <v>0.86804398148148143</v>
      </c>
      <c r="D93" t="s">
        <v>25</v>
      </c>
      <c r="E93" s="10" t="s">
        <v>37</v>
      </c>
      <c r="F93" s="11">
        <v>72.095157685999993</v>
      </c>
      <c r="G93" s="4">
        <v>2234.31079</v>
      </c>
      <c r="H93" s="20">
        <v>0</v>
      </c>
      <c r="I93" s="17"/>
      <c r="J93" t="s">
        <v>21</v>
      </c>
      <c r="K93" s="11"/>
      <c r="L93" s="11"/>
      <c r="M93" s="11"/>
      <c r="N93" s="11"/>
      <c r="O93" s="11"/>
      <c r="P93" s="33"/>
      <c r="R93" s="10" t="s">
        <v>33</v>
      </c>
      <c r="S93" s="20">
        <v>1</v>
      </c>
      <c r="T93" s="17" t="s">
        <v>38</v>
      </c>
    </row>
    <row r="94" spans="1:20" x14ac:dyDescent="0.2">
      <c r="A94">
        <v>158</v>
      </c>
      <c r="B94" s="1">
        <v>46193</v>
      </c>
      <c r="C94" s="2">
        <v>0.8684143518518519</v>
      </c>
      <c r="D94" t="s">
        <v>25</v>
      </c>
      <c r="E94" s="10" t="s">
        <v>37</v>
      </c>
      <c r="F94" s="11">
        <v>73.302038569000004</v>
      </c>
      <c r="G94" s="4">
        <v>2280.42407</v>
      </c>
      <c r="H94" s="20">
        <v>1</v>
      </c>
      <c r="I94" s="17"/>
      <c r="J94" t="s">
        <v>21</v>
      </c>
      <c r="K94" s="11"/>
      <c r="L94" s="11"/>
      <c r="M94" s="11"/>
      <c r="N94" s="11"/>
      <c r="O94" s="11"/>
      <c r="P94" s="33"/>
      <c r="R94" s="10" t="s">
        <v>33</v>
      </c>
      <c r="S94" s="20">
        <v>0</v>
      </c>
      <c r="T94" s="17"/>
    </row>
    <row r="95" spans="1:20" x14ac:dyDescent="0.2">
      <c r="A95">
        <v>159</v>
      </c>
      <c r="B95" s="1">
        <v>46193</v>
      </c>
      <c r="C95" s="2">
        <v>0.86864583333333334</v>
      </c>
      <c r="D95" t="s">
        <v>25</v>
      </c>
      <c r="E95" s="10" t="s">
        <v>33</v>
      </c>
      <c r="F95" s="11">
        <v>84.862675705000001</v>
      </c>
      <c r="G95" s="4">
        <v>2113.72559</v>
      </c>
      <c r="H95" s="20">
        <v>1</v>
      </c>
      <c r="I95" s="17" t="s">
        <v>45</v>
      </c>
      <c r="J95" t="s">
        <v>21</v>
      </c>
      <c r="K95" s="11"/>
      <c r="L95" s="11">
        <v>-60.3873672</v>
      </c>
      <c r="M95" s="11"/>
      <c r="N95" s="11">
        <v>63.104141724999998</v>
      </c>
      <c r="O95" s="11"/>
      <c r="P95" s="33"/>
      <c r="R95" s="10" t="s">
        <v>33</v>
      </c>
      <c r="S95" s="20">
        <v>1</v>
      </c>
      <c r="T95" s="17" t="s">
        <v>45</v>
      </c>
    </row>
    <row r="96" spans="1:20" x14ac:dyDescent="0.2">
      <c r="A96">
        <v>160</v>
      </c>
      <c r="B96" s="1">
        <v>46193</v>
      </c>
      <c r="C96" s="2">
        <v>0.86898148148148147</v>
      </c>
      <c r="D96" t="s">
        <v>25</v>
      </c>
      <c r="E96" s="10" t="s">
        <v>37</v>
      </c>
      <c r="F96" s="11">
        <v>73.794320850000005</v>
      </c>
      <c r="G96" s="4">
        <v>2344.8793900000001</v>
      </c>
      <c r="H96" s="20">
        <v>1</v>
      </c>
      <c r="I96" s="17" t="s">
        <v>39</v>
      </c>
      <c r="J96" t="s">
        <v>24</v>
      </c>
      <c r="K96" s="11"/>
      <c r="L96" s="11"/>
      <c r="M96" s="11"/>
      <c r="N96" s="11">
        <v>62.542215573</v>
      </c>
      <c r="O96" s="11"/>
      <c r="P96" s="33"/>
      <c r="R96" s="10" t="s">
        <v>33</v>
      </c>
      <c r="S96" s="20">
        <v>1</v>
      </c>
      <c r="T96" s="17" t="s">
        <v>38</v>
      </c>
    </row>
    <row r="97" spans="1:20" x14ac:dyDescent="0.2">
      <c r="A97">
        <v>161</v>
      </c>
      <c r="B97" s="1">
        <v>46193</v>
      </c>
      <c r="C97" s="2">
        <v>0.86934027777777778</v>
      </c>
      <c r="D97" t="s">
        <v>25</v>
      </c>
      <c r="E97" s="10" t="s">
        <v>37</v>
      </c>
      <c r="F97" s="11">
        <v>72.523918590999997</v>
      </c>
      <c r="G97" s="4">
        <v>2193.89795</v>
      </c>
      <c r="H97" s="20">
        <v>1</v>
      </c>
      <c r="I97" s="17" t="s">
        <v>39</v>
      </c>
      <c r="J97" t="s">
        <v>24</v>
      </c>
      <c r="K97" s="11"/>
      <c r="L97" s="11"/>
      <c r="M97" s="11"/>
      <c r="N97" s="11">
        <v>64.171798619</v>
      </c>
      <c r="O97" s="11"/>
      <c r="P97" s="33"/>
      <c r="R97" s="10" t="s">
        <v>33</v>
      </c>
      <c r="S97" s="20">
        <v>1</v>
      </c>
      <c r="T97" s="17" t="s">
        <v>39</v>
      </c>
    </row>
    <row r="98" spans="1:20" x14ac:dyDescent="0.2">
      <c r="A98">
        <v>162</v>
      </c>
      <c r="B98" s="1">
        <v>46193</v>
      </c>
      <c r="C98" s="2">
        <v>0.86962962962962964</v>
      </c>
      <c r="D98" t="s">
        <v>25</v>
      </c>
      <c r="E98" s="10" t="s">
        <v>33</v>
      </c>
      <c r="F98" s="11">
        <v>86.958830585000001</v>
      </c>
      <c r="G98" s="4">
        <v>2053.2587899999999</v>
      </c>
      <c r="H98" s="20">
        <v>1</v>
      </c>
      <c r="I98" s="17" t="s">
        <v>38</v>
      </c>
      <c r="J98" t="s">
        <v>24</v>
      </c>
      <c r="K98" s="11"/>
      <c r="L98" s="11"/>
      <c r="M98" s="11"/>
      <c r="N98" s="11">
        <v>66.840938616000003</v>
      </c>
      <c r="O98" s="11"/>
      <c r="P98" s="33"/>
      <c r="R98" s="10" t="s">
        <v>33</v>
      </c>
      <c r="S98" s="20">
        <v>0</v>
      </c>
      <c r="T98" s="17"/>
    </row>
    <row r="99" spans="1:20" x14ac:dyDescent="0.2">
      <c r="A99">
        <v>163</v>
      </c>
      <c r="B99" s="1">
        <v>46193</v>
      </c>
      <c r="C99" s="2">
        <v>0.87003472222222222</v>
      </c>
      <c r="D99" t="s">
        <v>25</v>
      </c>
      <c r="E99" s="10" t="s">
        <v>35</v>
      </c>
      <c r="F99" s="11">
        <v>76.462159622000001</v>
      </c>
      <c r="G99" s="4">
        <v>1811.2419400000001</v>
      </c>
      <c r="H99" s="20">
        <v>1</v>
      </c>
      <c r="I99" s="17" t="s">
        <v>40</v>
      </c>
      <c r="J99" t="s">
        <v>24</v>
      </c>
      <c r="K99" s="11">
        <v>83.928099055000004</v>
      </c>
      <c r="L99" s="11">
        <v>26.885356900000001</v>
      </c>
      <c r="M99" s="11">
        <v>-16.736764900000001</v>
      </c>
      <c r="N99" s="11">
        <v>66.39139926</v>
      </c>
      <c r="O99" s="11">
        <v>273</v>
      </c>
      <c r="P99" s="33">
        <v>0.857841721</v>
      </c>
      <c r="R99" s="10" t="s">
        <v>33</v>
      </c>
      <c r="S99" s="20">
        <v>0</v>
      </c>
      <c r="T99" s="17" t="s">
        <v>48</v>
      </c>
    </row>
    <row r="100" spans="1:20" x14ac:dyDescent="0.2">
      <c r="A100">
        <v>164</v>
      </c>
      <c r="B100" s="1">
        <v>46193</v>
      </c>
      <c r="C100" s="2">
        <v>0.87033564814814812</v>
      </c>
      <c r="D100" t="s">
        <v>25</v>
      </c>
      <c r="E100" s="10" t="s">
        <v>35</v>
      </c>
      <c r="F100" s="11">
        <v>76.017518261000006</v>
      </c>
      <c r="G100" s="4">
        <v>1737.5220899999999</v>
      </c>
      <c r="H100" s="20">
        <v>0</v>
      </c>
      <c r="I100" s="17"/>
      <c r="J100" t="s">
        <v>24</v>
      </c>
      <c r="K100" s="11"/>
      <c r="L100" s="11"/>
      <c r="M100" s="11"/>
      <c r="N100" s="11"/>
      <c r="O100" s="11"/>
      <c r="P100" s="33"/>
      <c r="R100" s="10" t="s">
        <v>33</v>
      </c>
      <c r="S100" s="20">
        <v>1</v>
      </c>
      <c r="T100" s="17" t="s">
        <v>38</v>
      </c>
    </row>
    <row r="101" spans="1:20" x14ac:dyDescent="0.2">
      <c r="A101">
        <v>165</v>
      </c>
      <c r="B101" s="1">
        <v>46193</v>
      </c>
      <c r="C101" s="2">
        <v>0.8706828703703704</v>
      </c>
      <c r="D101" t="s">
        <v>25</v>
      </c>
      <c r="E101" s="10" t="s">
        <v>35</v>
      </c>
      <c r="F101" s="11">
        <v>74.207201299000005</v>
      </c>
      <c r="G101" s="4">
        <v>1807.3370399999999</v>
      </c>
      <c r="H101" s="20">
        <v>1</v>
      </c>
      <c r="I101" s="17" t="s">
        <v>40</v>
      </c>
      <c r="J101" t="s">
        <v>24</v>
      </c>
      <c r="K101" s="11">
        <v>91.218526924000003</v>
      </c>
      <c r="L101" s="11">
        <v>14.4718132</v>
      </c>
      <c r="M101" s="11">
        <v>9.2985687299999995</v>
      </c>
      <c r="N101" s="11">
        <v>66.082342616000005</v>
      </c>
      <c r="O101" s="11">
        <v>217</v>
      </c>
      <c r="P101" s="33">
        <v>0.94143775899999904</v>
      </c>
      <c r="R101" s="10" t="s">
        <v>37</v>
      </c>
      <c r="S101" s="20">
        <v>1</v>
      </c>
      <c r="T101" s="17" t="s">
        <v>38</v>
      </c>
    </row>
    <row r="102" spans="1:20" x14ac:dyDescent="0.2">
      <c r="A102">
        <v>166</v>
      </c>
      <c r="B102" s="1">
        <v>46193</v>
      </c>
      <c r="C102" s="2">
        <v>0.87200231481481483</v>
      </c>
      <c r="D102" t="s">
        <v>25</v>
      </c>
      <c r="E102" s="10" t="s">
        <v>37</v>
      </c>
      <c r="F102" s="11">
        <v>73.111482937999995</v>
      </c>
      <c r="G102" s="4">
        <v>1108.8118899999999</v>
      </c>
      <c r="H102" s="20">
        <v>0</v>
      </c>
      <c r="I102" s="17"/>
      <c r="J102" t="s">
        <v>22</v>
      </c>
      <c r="K102" s="11"/>
      <c r="L102" s="11"/>
      <c r="M102" s="11"/>
      <c r="N102" s="11"/>
      <c r="O102" s="11"/>
      <c r="P102" s="33"/>
      <c r="R102" s="10" t="s">
        <v>37</v>
      </c>
      <c r="S102" s="20">
        <v>0</v>
      </c>
      <c r="T102" s="17"/>
    </row>
    <row r="103" spans="1:20" x14ac:dyDescent="0.2">
      <c r="A103">
        <v>167</v>
      </c>
      <c r="B103" s="1">
        <v>46193</v>
      </c>
      <c r="C103" s="2">
        <v>0.87222222222222223</v>
      </c>
      <c r="D103" t="s">
        <v>25</v>
      </c>
      <c r="E103" s="10" t="s">
        <v>37</v>
      </c>
      <c r="F103" s="11">
        <v>73.047961561999998</v>
      </c>
      <c r="G103" s="4">
        <v>2228.7060499999998</v>
      </c>
      <c r="H103" s="20">
        <v>1</v>
      </c>
      <c r="I103" s="17"/>
      <c r="J103" t="s">
        <v>22</v>
      </c>
      <c r="K103" s="11"/>
      <c r="L103" s="11"/>
      <c r="M103" s="11"/>
      <c r="N103" s="11"/>
      <c r="O103" s="11"/>
      <c r="P103" s="33"/>
      <c r="R103" s="10" t="s">
        <v>37</v>
      </c>
      <c r="S103" s="20">
        <v>1</v>
      </c>
      <c r="T103" s="17"/>
    </row>
    <row r="104" spans="1:20" x14ac:dyDescent="0.2">
      <c r="A104">
        <v>168</v>
      </c>
      <c r="B104" s="1">
        <v>46193</v>
      </c>
      <c r="C104" s="2">
        <v>0.87246527777777783</v>
      </c>
      <c r="D104" t="s">
        <v>25</v>
      </c>
      <c r="E104" s="10" t="s">
        <v>33</v>
      </c>
      <c r="F104" s="11">
        <v>87.085873337999999</v>
      </c>
      <c r="G104" s="4">
        <v>2158.2570799999999</v>
      </c>
      <c r="H104" s="20">
        <v>1</v>
      </c>
      <c r="I104" s="17" t="s">
        <v>39</v>
      </c>
      <c r="J104" t="s">
        <v>22</v>
      </c>
      <c r="K104" s="11"/>
      <c r="L104" s="11"/>
      <c r="M104" s="11"/>
      <c r="N104" s="11">
        <v>61.109306400999998</v>
      </c>
      <c r="O104" s="11"/>
      <c r="P104" s="33"/>
      <c r="R104" s="10" t="s">
        <v>37</v>
      </c>
      <c r="S104" s="20">
        <v>1</v>
      </c>
      <c r="T104" s="17" t="s">
        <v>39</v>
      </c>
    </row>
    <row r="105" spans="1:20" x14ac:dyDescent="0.2">
      <c r="A105">
        <v>169</v>
      </c>
      <c r="B105" s="1">
        <v>46193</v>
      </c>
      <c r="C105" s="2">
        <v>0.87275462962962957</v>
      </c>
      <c r="D105" t="s">
        <v>25</v>
      </c>
      <c r="E105" s="10" t="s">
        <v>37</v>
      </c>
      <c r="F105" s="11">
        <v>79.145878624999995</v>
      </c>
      <c r="G105" s="4">
        <v>2236.5910600000002</v>
      </c>
      <c r="H105" s="20">
        <v>0</v>
      </c>
      <c r="I105" s="17"/>
      <c r="J105" t="s">
        <v>22</v>
      </c>
      <c r="K105" s="11"/>
      <c r="L105" s="11"/>
      <c r="M105" s="11"/>
      <c r="N105" s="11"/>
      <c r="O105" s="11"/>
      <c r="P105" s="33"/>
      <c r="R105" s="10" t="s">
        <v>37</v>
      </c>
      <c r="S105" s="20">
        <v>1</v>
      </c>
      <c r="T105" s="17" t="s">
        <v>39</v>
      </c>
    </row>
    <row r="106" spans="1:20" x14ac:dyDescent="0.2">
      <c r="A106">
        <v>170</v>
      </c>
      <c r="B106" s="1">
        <v>46193</v>
      </c>
      <c r="C106" s="2">
        <v>0.87313657407407408</v>
      </c>
      <c r="D106" t="s">
        <v>25</v>
      </c>
      <c r="E106" s="10" t="s">
        <v>33</v>
      </c>
      <c r="F106" s="11">
        <v>87.149394715</v>
      </c>
      <c r="G106" s="4">
        <v>2280.0681199999999</v>
      </c>
      <c r="H106" s="20">
        <v>0</v>
      </c>
      <c r="I106" s="17"/>
      <c r="J106" t="s">
        <v>22</v>
      </c>
      <c r="K106" s="11"/>
      <c r="L106" s="11"/>
      <c r="M106" s="11"/>
      <c r="N106" s="11"/>
      <c r="O106" s="11"/>
      <c r="P106" s="33"/>
      <c r="R106" s="10" t="s">
        <v>37</v>
      </c>
      <c r="S106" s="20">
        <v>0</v>
      </c>
      <c r="T106" s="17"/>
    </row>
    <row r="107" spans="1:20" x14ac:dyDescent="0.2">
      <c r="A107">
        <v>171</v>
      </c>
      <c r="B107" s="1">
        <v>46193</v>
      </c>
      <c r="C107" s="2">
        <v>0.87344907407407413</v>
      </c>
      <c r="D107" t="s">
        <v>25</v>
      </c>
      <c r="E107" s="10" t="s">
        <v>33</v>
      </c>
      <c r="F107" s="11">
        <v>86.8</v>
      </c>
      <c r="G107" s="4">
        <v>1815.1731</v>
      </c>
      <c r="H107" s="20">
        <v>0</v>
      </c>
      <c r="I107" s="17" t="s">
        <v>48</v>
      </c>
      <c r="J107" t="s">
        <v>22</v>
      </c>
      <c r="K107" s="11"/>
      <c r="L107" s="11"/>
      <c r="M107" s="11"/>
      <c r="N107" s="11"/>
      <c r="O107" s="11"/>
      <c r="P107" s="33"/>
      <c r="R107" s="10" t="s">
        <v>37</v>
      </c>
      <c r="S107" s="20">
        <v>1</v>
      </c>
      <c r="T107" s="17"/>
    </row>
    <row r="108" spans="1:20" x14ac:dyDescent="0.2">
      <c r="A108">
        <v>172</v>
      </c>
      <c r="B108" s="1">
        <v>46193</v>
      </c>
      <c r="C108" s="2">
        <v>0.87372685185185184</v>
      </c>
      <c r="D108" t="s">
        <v>25</v>
      </c>
      <c r="E108" s="10" t="s">
        <v>33</v>
      </c>
      <c r="F108" s="11">
        <v>87.212916092</v>
      </c>
      <c r="G108" s="4">
        <v>2287.3913600000001</v>
      </c>
      <c r="H108" s="20">
        <v>1</v>
      </c>
      <c r="I108" s="17" t="s">
        <v>38</v>
      </c>
      <c r="J108" t="s">
        <v>22</v>
      </c>
      <c r="K108" s="11"/>
      <c r="L108" s="11"/>
      <c r="M108" s="11"/>
      <c r="N108" s="11">
        <v>61.249788889000001</v>
      </c>
      <c r="O108" s="11"/>
      <c r="P108" s="33"/>
      <c r="R108" s="10" t="s">
        <v>37</v>
      </c>
      <c r="S108" s="20">
        <v>0</v>
      </c>
      <c r="T108" s="17"/>
    </row>
    <row r="109" spans="1:20" s="114" customFormat="1" x14ac:dyDescent="0.2">
      <c r="A109" s="114">
        <v>189</v>
      </c>
      <c r="B109" s="203">
        <v>46197</v>
      </c>
      <c r="C109" s="204">
        <v>0.57649305555555552</v>
      </c>
      <c r="D109" s="114" t="s">
        <v>25</v>
      </c>
      <c r="E109" s="205" t="s">
        <v>33</v>
      </c>
      <c r="F109" s="206">
        <v>86.752394499000005</v>
      </c>
      <c r="G109" s="207">
        <v>1925.4068600000001</v>
      </c>
      <c r="H109" s="208">
        <v>0</v>
      </c>
      <c r="I109" s="209"/>
      <c r="J109" s="114" t="s">
        <v>22</v>
      </c>
      <c r="K109" s="206"/>
      <c r="L109" s="206"/>
      <c r="M109" s="206"/>
      <c r="N109" s="206"/>
      <c r="O109" s="206"/>
      <c r="P109" s="222"/>
      <c r="R109" s="205" t="s">
        <v>35</v>
      </c>
      <c r="S109" s="208">
        <v>1</v>
      </c>
      <c r="T109" s="209"/>
    </row>
    <row r="110" spans="1:20" x14ac:dyDescent="0.2">
      <c r="A110">
        <v>190</v>
      </c>
      <c r="B110" s="1">
        <v>46197</v>
      </c>
      <c r="C110" s="2">
        <v>0.57671296296296293</v>
      </c>
      <c r="D110" t="s">
        <v>25</v>
      </c>
      <c r="E110" s="10" t="s">
        <v>33</v>
      </c>
      <c r="F110" s="11">
        <v>86.831796331000007</v>
      </c>
      <c r="G110" s="4">
        <v>1986.79456</v>
      </c>
      <c r="H110" s="20">
        <v>1</v>
      </c>
      <c r="I110" s="17" t="s">
        <v>38</v>
      </c>
      <c r="J110" t="s">
        <v>22</v>
      </c>
      <c r="K110" s="11"/>
      <c r="L110" s="11"/>
      <c r="M110" s="11"/>
      <c r="N110" s="11">
        <v>60.575479967</v>
      </c>
      <c r="O110" s="11"/>
      <c r="P110" s="33"/>
      <c r="R110" s="10" t="s">
        <v>35</v>
      </c>
      <c r="S110" s="20">
        <v>0</v>
      </c>
      <c r="T110" s="17"/>
    </row>
    <row r="111" spans="1:20" x14ac:dyDescent="0.2">
      <c r="A111">
        <v>191</v>
      </c>
      <c r="B111" s="1">
        <v>46197</v>
      </c>
      <c r="C111" s="2">
        <v>0.57711805555555551</v>
      </c>
      <c r="D111" t="s">
        <v>25</v>
      </c>
      <c r="E111" s="10" t="s">
        <v>33</v>
      </c>
      <c r="F111" s="11">
        <v>85.497872696000002</v>
      </c>
      <c r="G111" s="4">
        <v>2158.6896999999999</v>
      </c>
      <c r="H111" s="20">
        <v>1</v>
      </c>
      <c r="I111" s="17" t="s">
        <v>38</v>
      </c>
      <c r="J111" t="s">
        <v>22</v>
      </c>
      <c r="K111" s="11">
        <v>69.712704525999996</v>
      </c>
      <c r="L111" s="11">
        <v>-22.112030000000001</v>
      </c>
      <c r="M111" s="11">
        <v>-1.0525072799999999</v>
      </c>
      <c r="N111" s="11">
        <v>63.666063628000003</v>
      </c>
      <c r="O111" s="11">
        <v>6</v>
      </c>
      <c r="P111" s="33">
        <v>0.71835227999999995</v>
      </c>
      <c r="R111" s="10" t="s">
        <v>33</v>
      </c>
      <c r="S111" s="20">
        <v>0</v>
      </c>
      <c r="T111" s="17"/>
    </row>
    <row r="112" spans="1:20" x14ac:dyDescent="0.2">
      <c r="A112">
        <v>192</v>
      </c>
      <c r="B112" s="1">
        <v>46197</v>
      </c>
      <c r="C112" s="2">
        <v>0.57759259259259255</v>
      </c>
      <c r="D112" t="s">
        <v>25</v>
      </c>
      <c r="E112" s="10" t="s">
        <v>37</v>
      </c>
      <c r="F112" s="11">
        <v>79.590519763000003</v>
      </c>
      <c r="G112" s="4">
        <v>2231.7343799999999</v>
      </c>
      <c r="H112" s="20">
        <v>0</v>
      </c>
      <c r="I112" s="17"/>
      <c r="J112" t="s">
        <v>22</v>
      </c>
      <c r="K112" s="11"/>
      <c r="L112" s="11"/>
      <c r="M112" s="11"/>
      <c r="N112" s="11"/>
      <c r="O112" s="11"/>
      <c r="P112" s="33"/>
      <c r="R112" s="10" t="s">
        <v>33</v>
      </c>
      <c r="S112" s="20">
        <v>1</v>
      </c>
      <c r="T112" s="17" t="s">
        <v>38</v>
      </c>
    </row>
    <row r="113" spans="1:20" x14ac:dyDescent="0.2">
      <c r="A113">
        <v>193</v>
      </c>
      <c r="B113" s="1">
        <v>46197</v>
      </c>
      <c r="C113" s="2">
        <v>0.57797453703703705</v>
      </c>
      <c r="D113" t="s">
        <v>25</v>
      </c>
      <c r="E113" s="10" t="s">
        <v>33</v>
      </c>
      <c r="F113" s="11">
        <v>87.085873337999999</v>
      </c>
      <c r="G113" s="4">
        <v>2132.0407700000001</v>
      </c>
      <c r="H113" s="20">
        <v>1</v>
      </c>
      <c r="I113" s="17" t="s">
        <v>38</v>
      </c>
      <c r="J113" t="s">
        <v>22</v>
      </c>
      <c r="K113" s="11"/>
      <c r="L113" s="11"/>
      <c r="M113" s="11"/>
      <c r="N113" s="11">
        <v>66.925229943000005</v>
      </c>
      <c r="O113" s="11"/>
      <c r="P113" s="33"/>
      <c r="R113" s="10" t="s">
        <v>33</v>
      </c>
      <c r="S113" s="20">
        <v>1</v>
      </c>
      <c r="T113" s="17" t="s">
        <v>38</v>
      </c>
    </row>
    <row r="114" spans="1:20" x14ac:dyDescent="0.2">
      <c r="A114">
        <v>194</v>
      </c>
      <c r="B114" s="1">
        <v>46197</v>
      </c>
      <c r="C114" s="2">
        <v>0.57844907407407409</v>
      </c>
      <c r="D114" t="s">
        <v>25</v>
      </c>
      <c r="E114" s="10" t="s">
        <v>37</v>
      </c>
      <c r="F114" s="11">
        <v>76.922680990999993</v>
      </c>
      <c r="G114" s="4">
        <v>2302.5622600000002</v>
      </c>
      <c r="H114" s="20">
        <v>0</v>
      </c>
      <c r="I114" s="17"/>
      <c r="J114" t="s">
        <v>22</v>
      </c>
      <c r="K114" s="11"/>
      <c r="L114" s="11"/>
      <c r="M114" s="11"/>
      <c r="N114" s="11"/>
      <c r="O114" s="11"/>
      <c r="P114" s="33"/>
      <c r="R114" s="10" t="s">
        <v>33</v>
      </c>
      <c r="S114" s="20">
        <v>1</v>
      </c>
      <c r="T114" s="17" t="s">
        <v>38</v>
      </c>
    </row>
    <row r="115" spans="1:20" x14ac:dyDescent="0.2">
      <c r="A115">
        <v>195</v>
      </c>
      <c r="B115" s="1">
        <v>46197</v>
      </c>
      <c r="C115" s="2">
        <v>0.57871527777777776</v>
      </c>
      <c r="D115" t="s">
        <v>25</v>
      </c>
      <c r="E115" s="10" t="s">
        <v>33</v>
      </c>
      <c r="F115" s="11">
        <v>86.641228846000004</v>
      </c>
      <c r="G115" s="4">
        <v>1973.80359</v>
      </c>
      <c r="H115" s="20">
        <v>1</v>
      </c>
      <c r="I115" s="17" t="s">
        <v>38</v>
      </c>
      <c r="J115" t="s">
        <v>22</v>
      </c>
      <c r="K115" s="11">
        <v>48.603882343999999</v>
      </c>
      <c r="L115" s="11">
        <v>36.3531494</v>
      </c>
      <c r="M115" s="11">
        <v>32.9054146</v>
      </c>
      <c r="N115" s="11">
        <v>66.026146980999997</v>
      </c>
      <c r="O115" s="11">
        <v>135</v>
      </c>
      <c r="P115" s="33">
        <v>0.48592876400000001</v>
      </c>
      <c r="R115" s="10" t="s">
        <v>33</v>
      </c>
      <c r="S115" s="20">
        <v>1</v>
      </c>
      <c r="T115" s="17" t="s">
        <v>38</v>
      </c>
    </row>
    <row r="116" spans="1:20" x14ac:dyDescent="0.2">
      <c r="A116">
        <v>196</v>
      </c>
      <c r="B116" s="1">
        <v>46197</v>
      </c>
      <c r="C116" s="2">
        <v>0.57912037037037034</v>
      </c>
      <c r="D116" t="s">
        <v>25</v>
      </c>
      <c r="E116" s="10" t="s">
        <v>33</v>
      </c>
      <c r="F116" s="11">
        <v>87.339950345000005</v>
      </c>
      <c r="G116" s="4">
        <v>1823.65588</v>
      </c>
      <c r="H116" s="20">
        <v>0</v>
      </c>
      <c r="I116" s="17" t="s">
        <v>48</v>
      </c>
      <c r="J116" t="s">
        <v>22</v>
      </c>
      <c r="K116" s="11"/>
      <c r="L116" s="11"/>
      <c r="M116" s="11"/>
      <c r="N116" s="11"/>
      <c r="O116" s="11"/>
      <c r="P116" s="33"/>
      <c r="R116" s="10" t="s">
        <v>33</v>
      </c>
      <c r="S116" s="20">
        <v>0</v>
      </c>
      <c r="T116" s="17" t="s">
        <v>48</v>
      </c>
    </row>
    <row r="117" spans="1:20" x14ac:dyDescent="0.2">
      <c r="A117">
        <v>197</v>
      </c>
      <c r="B117" s="1">
        <v>46197</v>
      </c>
      <c r="C117" s="2">
        <v>0.57938657407407412</v>
      </c>
      <c r="D117" t="s">
        <v>25</v>
      </c>
      <c r="E117" s="10" t="s">
        <v>33</v>
      </c>
      <c r="F117" s="11">
        <v>87.784591483</v>
      </c>
      <c r="G117" s="4">
        <v>2011.90723</v>
      </c>
      <c r="H117" s="20">
        <v>1</v>
      </c>
      <c r="I117" s="17" t="s">
        <v>38</v>
      </c>
      <c r="J117" t="s">
        <v>22</v>
      </c>
      <c r="K117" s="11"/>
      <c r="L117" s="11"/>
      <c r="M117" s="11"/>
      <c r="N117" s="11">
        <v>55.293387107999997</v>
      </c>
      <c r="O117" s="11"/>
      <c r="P117" s="33"/>
      <c r="R117" s="10" t="s">
        <v>33</v>
      </c>
      <c r="S117" s="20">
        <v>1</v>
      </c>
      <c r="T117" s="17" t="s">
        <v>38</v>
      </c>
    </row>
    <row r="118" spans="1:20" x14ac:dyDescent="0.2">
      <c r="A118">
        <v>198</v>
      </c>
      <c r="B118" s="1">
        <v>46197</v>
      </c>
      <c r="C118" s="2">
        <v>0.57978009259259256</v>
      </c>
      <c r="D118" t="s">
        <v>25</v>
      </c>
      <c r="E118" s="10" t="s">
        <v>33</v>
      </c>
      <c r="F118" s="11">
        <v>87.085873337999999</v>
      </c>
      <c r="G118" s="4">
        <v>1085.98486</v>
      </c>
      <c r="H118" s="20">
        <v>1</v>
      </c>
      <c r="I118" s="17" t="s">
        <v>38</v>
      </c>
      <c r="J118" t="s">
        <v>17</v>
      </c>
      <c r="K118" s="11">
        <v>80.177930431999997</v>
      </c>
      <c r="L118" s="11">
        <v>41.2450142</v>
      </c>
      <c r="M118" s="11">
        <v>42.189346299999997</v>
      </c>
      <c r="N118" s="11">
        <v>65.576607847999995</v>
      </c>
      <c r="O118" s="11">
        <v>291</v>
      </c>
      <c r="P118" s="33">
        <v>0.80830199999999996</v>
      </c>
      <c r="R118" s="10" t="s">
        <v>33</v>
      </c>
      <c r="S118" s="20">
        <v>1</v>
      </c>
      <c r="T118" s="17" t="s">
        <v>38</v>
      </c>
    </row>
    <row r="119" spans="1:20" x14ac:dyDescent="0.2">
      <c r="A119">
        <v>199</v>
      </c>
      <c r="B119" s="1">
        <v>46197</v>
      </c>
      <c r="C119" s="2">
        <v>0.58012731481481483</v>
      </c>
      <c r="D119" t="s">
        <v>25</v>
      </c>
      <c r="E119" s="10" t="s">
        <v>33</v>
      </c>
      <c r="F119" s="11">
        <v>86.768274954999995</v>
      </c>
      <c r="G119" s="4">
        <v>1793.8012699999999</v>
      </c>
      <c r="H119" s="20">
        <v>1</v>
      </c>
      <c r="I119" s="17"/>
      <c r="J119" t="s">
        <v>17</v>
      </c>
      <c r="K119" s="11"/>
      <c r="L119" s="11"/>
      <c r="M119" s="11"/>
      <c r="N119" s="11"/>
      <c r="O119" s="11"/>
      <c r="P119" s="33"/>
      <c r="R119" s="10" t="s">
        <v>33</v>
      </c>
      <c r="S119" s="20">
        <v>1</v>
      </c>
      <c r="T119" s="17"/>
    </row>
    <row r="120" spans="1:20" x14ac:dyDescent="0.2">
      <c r="A120">
        <v>200</v>
      </c>
      <c r="B120" s="1">
        <v>46197</v>
      </c>
      <c r="C120" s="2">
        <v>0.58037037037037043</v>
      </c>
      <c r="D120" t="s">
        <v>25</v>
      </c>
      <c r="E120" s="10" t="s">
        <v>37</v>
      </c>
      <c r="F120" s="11">
        <v>77.796074532999995</v>
      </c>
      <c r="G120" s="4">
        <v>2209.9841299999998</v>
      </c>
      <c r="H120" s="20">
        <v>0</v>
      </c>
      <c r="I120" s="17"/>
      <c r="J120" t="s">
        <v>17</v>
      </c>
      <c r="K120" s="11"/>
      <c r="L120" s="11"/>
      <c r="M120" s="11"/>
      <c r="N120" s="11"/>
      <c r="O120" s="11"/>
      <c r="P120" s="33"/>
      <c r="R120" s="10" t="s">
        <v>33</v>
      </c>
      <c r="S120" s="20">
        <v>1</v>
      </c>
      <c r="T120" s="17" t="s">
        <v>38</v>
      </c>
    </row>
    <row r="121" spans="1:20" x14ac:dyDescent="0.2">
      <c r="A121">
        <v>201</v>
      </c>
      <c r="B121" s="1">
        <v>46197</v>
      </c>
      <c r="C121" s="2">
        <v>0.5806365740740741</v>
      </c>
      <c r="D121" t="s">
        <v>25</v>
      </c>
      <c r="E121" s="10" t="s">
        <v>33</v>
      </c>
      <c r="F121" s="11">
        <v>84.910316848999997</v>
      </c>
      <c r="G121" s="4">
        <v>1925.6491699999999</v>
      </c>
      <c r="H121" s="20">
        <v>1</v>
      </c>
      <c r="I121" s="17" t="s">
        <v>38</v>
      </c>
      <c r="J121" t="s">
        <v>17</v>
      </c>
      <c r="K121" s="11"/>
      <c r="L121" s="11"/>
      <c r="M121" s="11"/>
      <c r="N121" s="11">
        <v>66.756651538</v>
      </c>
      <c r="O121" s="11"/>
      <c r="P121" s="33"/>
      <c r="R121" s="10" t="s">
        <v>33</v>
      </c>
      <c r="S121" s="20">
        <v>0</v>
      </c>
      <c r="T121" s="17"/>
    </row>
    <row r="122" spans="1:20" x14ac:dyDescent="0.2">
      <c r="A122">
        <v>202</v>
      </c>
      <c r="B122" s="1">
        <v>46197</v>
      </c>
      <c r="C122" s="2">
        <v>0.58096064814814818</v>
      </c>
      <c r="D122" t="s">
        <v>25</v>
      </c>
      <c r="E122" s="10" t="s">
        <v>37</v>
      </c>
      <c r="F122" s="11">
        <v>75.906355962999996</v>
      </c>
      <c r="G122" s="4">
        <v>2114.1</v>
      </c>
      <c r="H122" s="20">
        <v>1</v>
      </c>
      <c r="I122" s="17" t="s">
        <v>45</v>
      </c>
      <c r="J122" t="s">
        <v>17</v>
      </c>
      <c r="K122" s="11"/>
      <c r="L122" s="11"/>
      <c r="M122" s="11"/>
      <c r="N122" s="11">
        <v>37.143220364999998</v>
      </c>
      <c r="O122" s="11"/>
      <c r="P122" s="33"/>
      <c r="R122" s="10" t="s">
        <v>33</v>
      </c>
      <c r="S122" s="20">
        <v>0</v>
      </c>
      <c r="T122" s="17"/>
    </row>
    <row r="123" spans="1:20" x14ac:dyDescent="0.2">
      <c r="A123">
        <v>203</v>
      </c>
      <c r="B123" s="1">
        <v>46197</v>
      </c>
      <c r="C123" s="2">
        <v>0.58138888888888884</v>
      </c>
      <c r="D123" t="s">
        <v>25</v>
      </c>
      <c r="E123" s="10" t="s">
        <v>33</v>
      </c>
      <c r="F123" s="11">
        <v>84.100436182999999</v>
      </c>
      <c r="G123" s="4">
        <v>1768.45667</v>
      </c>
      <c r="H123" s="20">
        <v>0</v>
      </c>
      <c r="I123" s="17"/>
      <c r="J123" t="s">
        <v>20</v>
      </c>
      <c r="K123" s="11"/>
      <c r="L123" s="11"/>
      <c r="M123" s="11"/>
      <c r="N123" s="11"/>
      <c r="O123" s="11"/>
      <c r="P123" s="33"/>
      <c r="R123" s="10" t="s">
        <v>33</v>
      </c>
      <c r="S123" s="20">
        <v>0</v>
      </c>
      <c r="T123" s="17" t="s">
        <v>48</v>
      </c>
    </row>
    <row r="124" spans="1:20" x14ac:dyDescent="0.2">
      <c r="A124">
        <v>204</v>
      </c>
      <c r="B124" s="1">
        <v>46197</v>
      </c>
      <c r="C124" s="2">
        <v>0.58166666666666667</v>
      </c>
      <c r="D124" t="s">
        <v>25</v>
      </c>
      <c r="E124" s="10" t="s">
        <v>33</v>
      </c>
      <c r="F124" s="11">
        <v>84.354513190000006</v>
      </c>
      <c r="G124" s="4">
        <v>1861.48218</v>
      </c>
      <c r="H124" s="20">
        <v>0</v>
      </c>
      <c r="I124" s="17"/>
      <c r="J124" t="s">
        <v>20</v>
      </c>
      <c r="K124" s="11"/>
      <c r="L124" s="11"/>
      <c r="M124" s="11"/>
      <c r="N124" s="11"/>
      <c r="O124" s="11"/>
      <c r="P124" s="33"/>
      <c r="R124" s="10" t="s">
        <v>33</v>
      </c>
      <c r="S124" s="20">
        <v>1</v>
      </c>
      <c r="T124" s="17" t="s">
        <v>40</v>
      </c>
    </row>
    <row r="125" spans="1:20" x14ac:dyDescent="0.2">
      <c r="A125">
        <v>205</v>
      </c>
      <c r="B125" s="1">
        <v>46197</v>
      </c>
      <c r="C125" s="2">
        <v>0.58193287037037034</v>
      </c>
      <c r="D125" t="s">
        <v>25</v>
      </c>
      <c r="E125" s="10" t="s">
        <v>37</v>
      </c>
      <c r="F125" s="11">
        <v>72.031636309999996</v>
      </c>
      <c r="G125" s="4">
        <v>2133.8015099999998</v>
      </c>
      <c r="H125" s="20">
        <v>0</v>
      </c>
      <c r="I125" s="17"/>
      <c r="J125" t="s">
        <v>20</v>
      </c>
      <c r="K125" s="11"/>
      <c r="L125" s="11"/>
      <c r="M125" s="11"/>
      <c r="N125" s="11"/>
      <c r="O125" s="11"/>
      <c r="P125" s="33"/>
      <c r="R125" s="10" t="s">
        <v>33</v>
      </c>
      <c r="S125" s="20">
        <v>0</v>
      </c>
      <c r="T125" s="17"/>
    </row>
    <row r="126" spans="1:20" x14ac:dyDescent="0.2">
      <c r="A126">
        <v>206</v>
      </c>
      <c r="B126" s="1">
        <v>46197</v>
      </c>
      <c r="C126" s="2">
        <v>0.58215277777777774</v>
      </c>
      <c r="D126" t="s">
        <v>25</v>
      </c>
      <c r="E126" s="10" t="s">
        <v>33</v>
      </c>
      <c r="F126" s="11">
        <v>84.608590196999998</v>
      </c>
      <c r="G126" s="4">
        <v>1727.3607199999999</v>
      </c>
      <c r="H126" s="20">
        <v>0</v>
      </c>
      <c r="I126" s="17" t="s">
        <v>48</v>
      </c>
      <c r="J126" t="s">
        <v>20</v>
      </c>
      <c r="K126" s="11"/>
      <c r="L126" s="11"/>
      <c r="M126" s="11"/>
      <c r="N126" s="11"/>
      <c r="O126" s="11"/>
      <c r="P126" s="33"/>
      <c r="R126" s="10" t="s">
        <v>33</v>
      </c>
      <c r="S126" s="20">
        <v>1</v>
      </c>
      <c r="T126" s="17" t="s">
        <v>40</v>
      </c>
    </row>
    <row r="127" spans="1:20" x14ac:dyDescent="0.2">
      <c r="A127">
        <v>207</v>
      </c>
      <c r="B127" s="1">
        <v>46197</v>
      </c>
      <c r="C127" s="2">
        <v>0.58241898148148152</v>
      </c>
      <c r="D127" t="s">
        <v>25</v>
      </c>
      <c r="E127" s="10" t="s">
        <v>33</v>
      </c>
      <c r="F127" s="11">
        <v>86.387154969999997</v>
      </c>
      <c r="G127" s="4">
        <v>2073.0373500000001</v>
      </c>
      <c r="H127" s="20">
        <v>1</v>
      </c>
      <c r="I127" s="17" t="s">
        <v>255</v>
      </c>
      <c r="J127" t="s">
        <v>20</v>
      </c>
      <c r="K127" s="11">
        <v>71.341365953999997</v>
      </c>
      <c r="L127" s="11">
        <v>-15.3352518</v>
      </c>
      <c r="M127" s="11">
        <v>-44.702911399999998</v>
      </c>
      <c r="N127" s="11">
        <v>70.690122525999996</v>
      </c>
      <c r="O127" s="11">
        <v>10</v>
      </c>
      <c r="P127" s="33">
        <v>0.67592422499999905</v>
      </c>
      <c r="R127" s="10" t="s">
        <v>33</v>
      </c>
      <c r="S127" s="20">
        <v>1</v>
      </c>
      <c r="T127" s="17" t="s">
        <v>38</v>
      </c>
    </row>
    <row r="128" spans="1:20" x14ac:dyDescent="0.2">
      <c r="A128">
        <v>208</v>
      </c>
      <c r="B128" s="1">
        <v>46197</v>
      </c>
      <c r="C128" s="2">
        <v>0.58277777777777773</v>
      </c>
      <c r="D128" t="s">
        <v>25</v>
      </c>
      <c r="E128" s="10" t="s">
        <v>33</v>
      </c>
      <c r="F128" s="11">
        <v>84.211589981000003</v>
      </c>
      <c r="G128" s="4">
        <v>1726.60852</v>
      </c>
      <c r="H128" s="20">
        <v>0</v>
      </c>
      <c r="I128" s="17"/>
      <c r="J128" t="s">
        <v>21</v>
      </c>
      <c r="K128" s="11"/>
      <c r="L128" s="11"/>
      <c r="M128" s="11"/>
      <c r="N128" s="11"/>
      <c r="O128" s="11"/>
      <c r="P128" s="33"/>
      <c r="R128" s="10" t="s">
        <v>33</v>
      </c>
      <c r="S128" s="20">
        <v>1</v>
      </c>
      <c r="T128" s="17" t="s">
        <v>38</v>
      </c>
    </row>
    <row r="129" spans="1:20" x14ac:dyDescent="0.2">
      <c r="A129">
        <v>209</v>
      </c>
      <c r="B129" s="1">
        <v>46197</v>
      </c>
      <c r="C129" s="2">
        <v>0.58322916666666669</v>
      </c>
      <c r="D129" t="s">
        <v>25</v>
      </c>
      <c r="E129" s="10" t="s">
        <v>37</v>
      </c>
      <c r="F129" s="11">
        <v>76.541561231000003</v>
      </c>
      <c r="G129" s="4">
        <v>1748.12048</v>
      </c>
      <c r="H129" s="20">
        <v>1</v>
      </c>
      <c r="I129" s="17" t="s">
        <v>39</v>
      </c>
      <c r="J129" t="s">
        <v>21</v>
      </c>
      <c r="K129" s="11"/>
      <c r="L129" s="11"/>
      <c r="M129" s="11"/>
      <c r="N129" s="11">
        <v>65.632803260000003</v>
      </c>
      <c r="O129" s="11"/>
      <c r="P129" s="33"/>
      <c r="R129" s="10" t="s">
        <v>33</v>
      </c>
      <c r="S129" s="20">
        <v>1</v>
      </c>
      <c r="T129" s="17"/>
    </row>
    <row r="130" spans="1:20" x14ac:dyDescent="0.2">
      <c r="A130">
        <v>210</v>
      </c>
      <c r="B130" s="1">
        <v>46197</v>
      </c>
      <c r="C130" s="2">
        <v>0.5835069444444444</v>
      </c>
      <c r="D130" t="s">
        <v>25</v>
      </c>
      <c r="E130" s="10" t="s">
        <v>37</v>
      </c>
      <c r="F130" s="11">
        <v>75.811082397999996</v>
      </c>
      <c r="G130" s="4">
        <v>1839.2927199999999</v>
      </c>
      <c r="H130" s="20">
        <v>1</v>
      </c>
      <c r="I130" s="17"/>
      <c r="J130" t="s">
        <v>21</v>
      </c>
      <c r="K130" s="11"/>
      <c r="L130" s="11"/>
      <c r="M130" s="11"/>
      <c r="N130" s="11"/>
      <c r="O130" s="11"/>
      <c r="P130" s="33"/>
      <c r="R130" s="10" t="s">
        <v>33</v>
      </c>
      <c r="S130" s="20">
        <v>0</v>
      </c>
      <c r="T130" s="17"/>
    </row>
    <row r="131" spans="1:20" x14ac:dyDescent="0.2">
      <c r="A131">
        <v>211</v>
      </c>
      <c r="B131" s="1">
        <v>46197</v>
      </c>
      <c r="C131" s="2">
        <v>0.58380787037037041</v>
      </c>
      <c r="D131" t="s">
        <v>25</v>
      </c>
      <c r="E131" s="10" t="s">
        <v>33</v>
      </c>
      <c r="F131" s="11">
        <v>86.133069462999998</v>
      </c>
      <c r="G131" s="4">
        <v>1783.71631</v>
      </c>
      <c r="H131" s="20">
        <v>1</v>
      </c>
      <c r="I131" s="249" t="s">
        <v>254</v>
      </c>
      <c r="J131" t="s">
        <v>21</v>
      </c>
      <c r="K131" s="11">
        <v>87.954513839000001</v>
      </c>
      <c r="L131" s="11">
        <v>9.0455284099999993</v>
      </c>
      <c r="M131" s="11">
        <v>-1.51508164</v>
      </c>
      <c r="N131" s="11">
        <v>69.622465633000004</v>
      </c>
      <c r="O131" s="11">
        <v>153</v>
      </c>
      <c r="P131" s="33">
        <v>0.84546775799999996</v>
      </c>
      <c r="R131" s="10" t="s">
        <v>33</v>
      </c>
      <c r="S131" s="20">
        <v>0</v>
      </c>
      <c r="T131" s="17"/>
    </row>
    <row r="132" spans="1:20" x14ac:dyDescent="0.2">
      <c r="A132">
        <v>212</v>
      </c>
      <c r="B132" s="1">
        <v>46197</v>
      </c>
      <c r="C132" s="2">
        <v>0.58467592592592588</v>
      </c>
      <c r="D132" t="s">
        <v>25</v>
      </c>
      <c r="E132" s="10" t="s">
        <v>33</v>
      </c>
      <c r="F132" s="11">
        <v>83.719316422999995</v>
      </c>
      <c r="G132" s="4">
        <v>1858.03333</v>
      </c>
      <c r="H132" s="20">
        <v>1</v>
      </c>
      <c r="I132" s="17" t="s">
        <v>38</v>
      </c>
      <c r="J132" t="s">
        <v>27</v>
      </c>
      <c r="K132" s="11"/>
      <c r="L132" s="11"/>
      <c r="M132" s="11"/>
      <c r="N132" s="11">
        <v>72.656857908000006</v>
      </c>
      <c r="O132" s="11"/>
      <c r="P132" s="33"/>
      <c r="R132" s="10" t="s">
        <v>33</v>
      </c>
      <c r="S132" s="20">
        <v>1</v>
      </c>
      <c r="T132" s="17" t="s">
        <v>39</v>
      </c>
    </row>
    <row r="133" spans="1:20" x14ac:dyDescent="0.2">
      <c r="A133">
        <v>213</v>
      </c>
      <c r="B133" s="1">
        <v>46197</v>
      </c>
      <c r="C133" s="2">
        <v>0.58494212962962966</v>
      </c>
      <c r="D133" t="s">
        <v>25</v>
      </c>
      <c r="E133" s="10" t="s">
        <v>33</v>
      </c>
      <c r="F133" s="11">
        <v>82.750632092000004</v>
      </c>
      <c r="G133" s="4">
        <v>1930.85718</v>
      </c>
      <c r="H133" s="20">
        <v>1</v>
      </c>
      <c r="I133" s="17" t="s">
        <v>38</v>
      </c>
      <c r="J133" t="s">
        <v>27</v>
      </c>
      <c r="K133" s="11"/>
      <c r="L133" s="11"/>
      <c r="M133" s="11"/>
      <c r="N133" s="11">
        <v>70.268678863000005</v>
      </c>
      <c r="O133" s="11"/>
      <c r="P133" s="33"/>
      <c r="R133" s="10" t="s">
        <v>33</v>
      </c>
      <c r="S133" s="20">
        <v>0</v>
      </c>
      <c r="T133" s="17" t="s">
        <v>48</v>
      </c>
    </row>
    <row r="134" spans="1:20" x14ac:dyDescent="0.2">
      <c r="A134">
        <v>214</v>
      </c>
      <c r="B134" s="1">
        <v>46197</v>
      </c>
      <c r="C134" s="2">
        <v>0.58524305555555556</v>
      </c>
      <c r="D134" t="s">
        <v>25</v>
      </c>
      <c r="E134" s="10" t="s">
        <v>37</v>
      </c>
      <c r="F134" s="11">
        <v>75.318800116000006</v>
      </c>
      <c r="G134" s="4">
        <v>1881.4157700000001</v>
      </c>
      <c r="H134" s="161">
        <v>1</v>
      </c>
      <c r="I134" s="162" t="s">
        <v>255</v>
      </c>
      <c r="J134" s="155" t="s">
        <v>27</v>
      </c>
      <c r="K134" s="11"/>
      <c r="L134" s="11"/>
      <c r="M134" s="11"/>
      <c r="N134" s="11">
        <v>66.616169049999996</v>
      </c>
      <c r="O134" s="11"/>
      <c r="P134" s="33"/>
      <c r="R134" s="10" t="s">
        <v>33</v>
      </c>
      <c r="S134" s="161">
        <v>0</v>
      </c>
      <c r="T134" s="162"/>
    </row>
    <row r="135" spans="1:20" x14ac:dyDescent="0.2">
      <c r="A135">
        <v>236</v>
      </c>
      <c r="B135" s="1">
        <v>46197</v>
      </c>
      <c r="C135" s="2">
        <v>0.59570601851851857</v>
      </c>
      <c r="D135" t="s">
        <v>25</v>
      </c>
      <c r="E135" s="10" t="s">
        <v>33</v>
      </c>
      <c r="F135" s="11">
        <v>83.639914590000004</v>
      </c>
      <c r="G135" s="4">
        <v>1955.8720699999999</v>
      </c>
      <c r="H135" s="20">
        <v>1</v>
      </c>
      <c r="I135" s="17"/>
      <c r="J135" t="s">
        <v>17</v>
      </c>
      <c r="K135" s="11"/>
      <c r="L135" s="11"/>
      <c r="M135" s="11"/>
      <c r="N135" s="11"/>
      <c r="O135" s="11"/>
      <c r="P135" s="33"/>
      <c r="R135" s="10" t="s">
        <v>33</v>
      </c>
      <c r="S135" s="20">
        <v>1</v>
      </c>
      <c r="T135" s="17" t="s">
        <v>40</v>
      </c>
    </row>
    <row r="136" spans="1:20" x14ac:dyDescent="0.2">
      <c r="A136">
        <v>237</v>
      </c>
      <c r="B136" s="1">
        <v>46197</v>
      </c>
      <c r="C136" s="2">
        <v>0.59594907407407405</v>
      </c>
      <c r="D136" t="s">
        <v>25</v>
      </c>
      <c r="E136" s="10" t="s">
        <v>33</v>
      </c>
      <c r="F136" s="11">
        <v>83.465227112999997</v>
      </c>
      <c r="G136" s="4">
        <v>2013.8984399999999</v>
      </c>
      <c r="H136" s="20">
        <v>0</v>
      </c>
      <c r="I136" s="17"/>
      <c r="J136" t="s">
        <v>17</v>
      </c>
      <c r="K136" s="11"/>
      <c r="L136" s="11"/>
      <c r="M136" s="11"/>
      <c r="N136" s="11"/>
      <c r="O136" s="11"/>
      <c r="P136" s="33"/>
      <c r="R136" s="10" t="s">
        <v>33</v>
      </c>
      <c r="S136" s="20">
        <v>0</v>
      </c>
      <c r="T136" s="17"/>
    </row>
    <row r="137" spans="1:20" x14ac:dyDescent="0.2">
      <c r="A137">
        <v>238</v>
      </c>
      <c r="B137" s="1">
        <v>46197</v>
      </c>
      <c r="C137" s="2">
        <v>0.59616898148148145</v>
      </c>
      <c r="D137" t="s">
        <v>25</v>
      </c>
      <c r="E137" s="10" t="s">
        <v>37</v>
      </c>
      <c r="F137" s="11">
        <v>73.873722459999996</v>
      </c>
      <c r="G137" s="4">
        <v>1104.5194100000001</v>
      </c>
      <c r="H137" s="20">
        <v>0</v>
      </c>
      <c r="I137" s="17"/>
      <c r="J137" t="s">
        <v>17</v>
      </c>
      <c r="K137" s="11"/>
      <c r="L137" s="11"/>
      <c r="M137" s="11"/>
      <c r="N137" s="11"/>
      <c r="O137" s="11"/>
      <c r="P137" s="33"/>
      <c r="R137" s="10" t="s">
        <v>33</v>
      </c>
      <c r="S137" s="20">
        <v>0</v>
      </c>
      <c r="T137" s="17"/>
    </row>
    <row r="138" spans="1:20" x14ac:dyDescent="0.2">
      <c r="A138">
        <v>239</v>
      </c>
      <c r="B138" s="1">
        <v>46197</v>
      </c>
      <c r="C138" s="2">
        <v>0.59638888888888886</v>
      </c>
      <c r="D138" t="s">
        <v>25</v>
      </c>
      <c r="E138" s="10" t="s">
        <v>33</v>
      </c>
      <c r="F138" s="11">
        <v>83.576393213000003</v>
      </c>
      <c r="G138" s="4">
        <v>1928.0399199999999</v>
      </c>
      <c r="H138" s="20">
        <v>0</v>
      </c>
      <c r="I138" s="17"/>
      <c r="J138" t="s">
        <v>17</v>
      </c>
      <c r="K138" s="11"/>
      <c r="L138" s="11"/>
      <c r="M138" s="11"/>
      <c r="N138" s="11"/>
      <c r="O138" s="11"/>
      <c r="P138" s="33"/>
      <c r="R138" s="10" t="s">
        <v>33</v>
      </c>
      <c r="S138" s="20">
        <v>1</v>
      </c>
      <c r="T138" s="17"/>
    </row>
    <row r="139" spans="1:20" x14ac:dyDescent="0.2">
      <c r="A139">
        <v>240</v>
      </c>
      <c r="B139" s="1">
        <v>46197</v>
      </c>
      <c r="C139" s="2">
        <v>0.59659722222222222</v>
      </c>
      <c r="D139" t="s">
        <v>25</v>
      </c>
      <c r="E139" s="10" t="s">
        <v>33</v>
      </c>
      <c r="F139" s="11">
        <v>83.338196439000001</v>
      </c>
      <c r="G139" s="4">
        <v>1889.46326</v>
      </c>
      <c r="H139" s="20">
        <v>1</v>
      </c>
      <c r="I139" s="17" t="s">
        <v>39</v>
      </c>
      <c r="J139" t="s">
        <v>17</v>
      </c>
      <c r="K139" s="11"/>
      <c r="L139" s="11">
        <v>-59.8207436</v>
      </c>
      <c r="M139" s="11">
        <v>-6.48222685</v>
      </c>
      <c r="N139" s="11">
        <v>60.406901785999999</v>
      </c>
      <c r="O139" s="11">
        <v>7</v>
      </c>
      <c r="P139" s="33"/>
      <c r="R139" s="10" t="s">
        <v>33</v>
      </c>
      <c r="S139" s="20">
        <v>1</v>
      </c>
      <c r="T139" s="17" t="s">
        <v>39</v>
      </c>
    </row>
    <row r="140" spans="1:20" x14ac:dyDescent="0.2">
      <c r="A140">
        <v>241</v>
      </c>
      <c r="B140" s="1">
        <v>46197</v>
      </c>
      <c r="C140" s="2">
        <v>0.59688657407407408</v>
      </c>
      <c r="D140" t="s">
        <v>25</v>
      </c>
      <c r="E140" s="10" t="s">
        <v>33</v>
      </c>
      <c r="F140" s="11">
        <v>87.085873337999999</v>
      </c>
      <c r="G140" s="4">
        <v>1861.23621</v>
      </c>
      <c r="H140" s="20">
        <v>0</v>
      </c>
      <c r="I140" s="17" t="s">
        <v>48</v>
      </c>
      <c r="J140" t="s">
        <v>17</v>
      </c>
      <c r="K140" s="11"/>
      <c r="L140" s="11"/>
      <c r="M140" s="11"/>
      <c r="N140" s="11"/>
      <c r="O140" s="11"/>
      <c r="P140" s="33"/>
      <c r="R140" s="10" t="s">
        <v>33</v>
      </c>
      <c r="S140" s="20">
        <v>1</v>
      </c>
      <c r="T140" s="17" t="s">
        <v>39</v>
      </c>
    </row>
    <row r="141" spans="1:20" x14ac:dyDescent="0.2">
      <c r="A141">
        <v>242</v>
      </c>
      <c r="B141" s="1">
        <v>46197</v>
      </c>
      <c r="C141" s="2">
        <v>0.59706018518518522</v>
      </c>
      <c r="D141" t="s">
        <v>25</v>
      </c>
      <c r="E141" s="10" t="s">
        <v>33</v>
      </c>
      <c r="F141" s="11">
        <v>84.084555726999994</v>
      </c>
      <c r="G141" s="4">
        <v>2056.9067399999999</v>
      </c>
      <c r="H141" s="20">
        <v>0</v>
      </c>
      <c r="I141" s="17"/>
      <c r="J141" t="s">
        <v>17</v>
      </c>
      <c r="K141" s="11"/>
      <c r="L141" s="11"/>
      <c r="M141" s="11"/>
      <c r="N141" s="11"/>
      <c r="O141" s="11"/>
      <c r="P141" s="33"/>
      <c r="R141" s="10" t="s">
        <v>33</v>
      </c>
      <c r="S141" s="20">
        <v>1</v>
      </c>
      <c r="T141" s="17" t="s">
        <v>40</v>
      </c>
    </row>
    <row r="142" spans="1:20" x14ac:dyDescent="0.2">
      <c r="A142">
        <v>243</v>
      </c>
      <c r="B142" s="1">
        <v>46197</v>
      </c>
      <c r="C142" s="2">
        <v>0.59738425925925931</v>
      </c>
      <c r="D142" t="s">
        <v>25</v>
      </c>
      <c r="E142" s="10" t="s">
        <v>33</v>
      </c>
      <c r="F142" s="11">
        <v>84.068675494999994</v>
      </c>
      <c r="G142" s="4">
        <v>2008.2608600000001</v>
      </c>
      <c r="H142" s="20">
        <v>1</v>
      </c>
      <c r="I142" s="17" t="s">
        <v>255</v>
      </c>
      <c r="J142" t="s">
        <v>20</v>
      </c>
      <c r="K142" s="11">
        <v>99.389482146999995</v>
      </c>
      <c r="L142" s="11">
        <v>-12.0958519</v>
      </c>
      <c r="M142" s="11">
        <v>-30.305170100000002</v>
      </c>
      <c r="N142" s="11">
        <v>71.420626859999999</v>
      </c>
      <c r="O142" s="11"/>
      <c r="P142" s="33">
        <v>0.93933715799999995</v>
      </c>
      <c r="R142" s="10" t="s">
        <v>33</v>
      </c>
      <c r="S142" s="20">
        <v>1</v>
      </c>
      <c r="T142" s="17" t="s">
        <v>38</v>
      </c>
    </row>
    <row r="143" spans="1:20" x14ac:dyDescent="0.2">
      <c r="A143">
        <v>244</v>
      </c>
      <c r="B143" s="1">
        <v>46197</v>
      </c>
      <c r="C143" s="2">
        <v>0.59773148148148147</v>
      </c>
      <c r="D143" t="s">
        <v>25</v>
      </c>
      <c r="E143" s="10" t="s">
        <v>33</v>
      </c>
      <c r="F143" s="11">
        <v>85.370829942</v>
      </c>
      <c r="G143" s="4">
        <v>1901.70715</v>
      </c>
      <c r="H143" s="20">
        <v>0</v>
      </c>
      <c r="I143" s="17"/>
      <c r="J143" t="s">
        <v>21</v>
      </c>
      <c r="K143" s="11"/>
      <c r="L143" s="11"/>
      <c r="M143" s="11"/>
      <c r="N143" s="11"/>
      <c r="O143" s="11"/>
      <c r="P143" s="33"/>
      <c r="R143" s="10" t="s">
        <v>33</v>
      </c>
      <c r="S143" s="20">
        <v>0</v>
      </c>
      <c r="T143" s="17" t="s">
        <v>48</v>
      </c>
    </row>
    <row r="144" spans="1:20" x14ac:dyDescent="0.2">
      <c r="A144">
        <v>245</v>
      </c>
      <c r="B144" s="1">
        <v>46197</v>
      </c>
      <c r="C144" s="2">
        <v>0.59796296296296292</v>
      </c>
      <c r="D144" t="s">
        <v>25</v>
      </c>
      <c r="E144" s="10" t="s">
        <v>37</v>
      </c>
      <c r="F144" s="11">
        <v>75.652280746000002</v>
      </c>
      <c r="G144" s="4">
        <v>1655.1087600000001</v>
      </c>
      <c r="H144" s="20">
        <v>0</v>
      </c>
      <c r="I144" s="17"/>
      <c r="J144" t="s">
        <v>21</v>
      </c>
      <c r="K144" s="11"/>
      <c r="L144" s="11"/>
      <c r="M144" s="11"/>
      <c r="N144" s="11"/>
      <c r="O144" s="11"/>
      <c r="P144" s="33"/>
      <c r="R144" s="10" t="s">
        <v>33</v>
      </c>
      <c r="S144" s="20">
        <v>1</v>
      </c>
      <c r="T144" s="17" t="s">
        <v>39</v>
      </c>
    </row>
    <row r="145" spans="1:20" x14ac:dyDescent="0.2">
      <c r="A145">
        <v>246</v>
      </c>
      <c r="B145" s="1">
        <v>46197</v>
      </c>
      <c r="C145" s="2">
        <v>0.59827546296296297</v>
      </c>
      <c r="D145" t="s">
        <v>25</v>
      </c>
      <c r="E145" s="10" t="s">
        <v>33</v>
      </c>
      <c r="F145" s="11">
        <v>84.862675705000001</v>
      </c>
      <c r="G145" s="4">
        <v>2060.3676799999998</v>
      </c>
      <c r="H145" s="20">
        <v>0</v>
      </c>
      <c r="I145" s="17"/>
      <c r="J145" t="s">
        <v>21</v>
      </c>
      <c r="K145" s="11"/>
      <c r="L145" s="11"/>
      <c r="M145" s="11"/>
      <c r="N145" s="11"/>
      <c r="O145" s="11"/>
      <c r="P145" s="33"/>
      <c r="R145" s="10" t="s">
        <v>33</v>
      </c>
      <c r="S145" s="20">
        <v>0</v>
      </c>
      <c r="T145" s="17"/>
    </row>
    <row r="146" spans="1:20" x14ac:dyDescent="0.2">
      <c r="A146">
        <v>247</v>
      </c>
      <c r="B146" s="1">
        <v>46197</v>
      </c>
      <c r="C146" s="2">
        <v>0.59851851851851856</v>
      </c>
      <c r="D146" t="s">
        <v>25</v>
      </c>
      <c r="E146" s="10" t="s">
        <v>35</v>
      </c>
      <c r="F146" s="11">
        <v>76.033398716999997</v>
      </c>
      <c r="G146" s="4">
        <v>1761.5208700000001</v>
      </c>
      <c r="H146" s="20">
        <v>1</v>
      </c>
      <c r="I146" s="17"/>
      <c r="J146" t="s">
        <v>21</v>
      </c>
      <c r="K146" s="11"/>
      <c r="L146" s="11"/>
      <c r="M146" s="11"/>
      <c r="N146" s="11"/>
      <c r="O146" s="11"/>
      <c r="P146" s="33"/>
      <c r="R146" s="10" t="s">
        <v>33</v>
      </c>
      <c r="S146" s="20">
        <v>1</v>
      </c>
      <c r="T146" s="17" t="s">
        <v>40</v>
      </c>
    </row>
    <row r="147" spans="1:20" x14ac:dyDescent="0.2">
      <c r="A147">
        <v>248</v>
      </c>
      <c r="B147" s="1">
        <v>46197</v>
      </c>
      <c r="C147" s="2">
        <v>0.59876157407407404</v>
      </c>
      <c r="D147" t="s">
        <v>25</v>
      </c>
      <c r="E147" s="10" t="s">
        <v>33</v>
      </c>
      <c r="F147" s="11">
        <v>85.609034992999995</v>
      </c>
      <c r="G147" s="4">
        <v>2044.03162</v>
      </c>
      <c r="H147" s="20">
        <v>1</v>
      </c>
      <c r="I147" s="17"/>
      <c r="J147" t="s">
        <v>21</v>
      </c>
      <c r="K147" s="11"/>
      <c r="L147" s="11"/>
      <c r="M147" s="11"/>
      <c r="N147" s="11"/>
      <c r="O147" s="11"/>
      <c r="P147" s="33"/>
      <c r="R147" s="10" t="s">
        <v>37</v>
      </c>
      <c r="S147" s="20">
        <v>0</v>
      </c>
      <c r="T147" s="17"/>
    </row>
    <row r="148" spans="1:20" x14ac:dyDescent="0.2">
      <c r="A148">
        <v>249</v>
      </c>
      <c r="B148" s="1">
        <v>46197</v>
      </c>
      <c r="C148" s="2">
        <v>0.59915509259259259</v>
      </c>
      <c r="D148" t="s">
        <v>25</v>
      </c>
      <c r="E148" s="10" t="s">
        <v>37</v>
      </c>
      <c r="F148" s="11">
        <v>73.047961561999998</v>
      </c>
      <c r="G148" s="4">
        <v>2196.64111</v>
      </c>
      <c r="H148" s="20">
        <v>0</v>
      </c>
      <c r="I148" s="17" t="s">
        <v>48</v>
      </c>
      <c r="J148" t="s">
        <v>21</v>
      </c>
      <c r="K148" s="11"/>
      <c r="L148" s="11"/>
      <c r="M148" s="11"/>
      <c r="N148" s="11"/>
      <c r="O148" s="11"/>
      <c r="P148" s="33"/>
      <c r="R148" s="10" t="s">
        <v>37</v>
      </c>
      <c r="S148" s="20">
        <v>0</v>
      </c>
      <c r="T148" s="17"/>
    </row>
    <row r="149" spans="1:20" x14ac:dyDescent="0.2">
      <c r="A149">
        <v>250</v>
      </c>
      <c r="B149" s="1">
        <v>46197</v>
      </c>
      <c r="C149" s="2">
        <v>0.59936342592592595</v>
      </c>
      <c r="D149" t="s">
        <v>25</v>
      </c>
      <c r="E149" s="10" t="s">
        <v>33</v>
      </c>
      <c r="F149" s="11">
        <v>84.672111573999999</v>
      </c>
      <c r="G149" s="4">
        <v>1946.9091800000001</v>
      </c>
      <c r="H149" s="20">
        <v>1</v>
      </c>
      <c r="I149" s="17" t="s">
        <v>39</v>
      </c>
      <c r="J149" t="s">
        <v>21</v>
      </c>
      <c r="K149" s="11"/>
      <c r="L149" s="11"/>
      <c r="M149" s="11"/>
      <c r="N149" s="11">
        <v>50.292259450000003</v>
      </c>
      <c r="O149" s="11"/>
      <c r="P149" s="33"/>
      <c r="R149" s="10" t="s">
        <v>37</v>
      </c>
      <c r="S149" s="20">
        <v>0</v>
      </c>
      <c r="T149" s="17"/>
    </row>
    <row r="150" spans="1:20" x14ac:dyDescent="0.2">
      <c r="A150">
        <v>251</v>
      </c>
      <c r="B150" s="1">
        <v>46197</v>
      </c>
      <c r="C150" s="2">
        <v>0.6001157407407407</v>
      </c>
      <c r="D150" t="s">
        <v>25</v>
      </c>
      <c r="E150" s="10" t="s">
        <v>33</v>
      </c>
      <c r="F150" s="11">
        <v>83.592273445999993</v>
      </c>
      <c r="G150" s="4">
        <v>1865.7003199999999</v>
      </c>
      <c r="H150" s="20">
        <v>1</v>
      </c>
      <c r="I150" s="17" t="s">
        <v>39</v>
      </c>
      <c r="J150" t="s">
        <v>27</v>
      </c>
      <c r="K150" s="11"/>
      <c r="L150" s="11"/>
      <c r="M150" s="11"/>
      <c r="N150" s="11">
        <v>69.201021968999996</v>
      </c>
      <c r="O150" s="11"/>
      <c r="P150" s="33"/>
      <c r="R150" s="10" t="s">
        <v>37</v>
      </c>
      <c r="S150" s="20">
        <v>1</v>
      </c>
      <c r="T150" s="17" t="s">
        <v>45</v>
      </c>
    </row>
    <row r="151" spans="1:20" x14ac:dyDescent="0.2">
      <c r="A151">
        <v>252</v>
      </c>
      <c r="B151" s="1">
        <v>46197</v>
      </c>
      <c r="C151" s="2">
        <v>0.6003356481481481</v>
      </c>
      <c r="D151" t="s">
        <v>25</v>
      </c>
      <c r="E151" s="10" t="s">
        <v>33</v>
      </c>
      <c r="F151" s="11">
        <v>83.893991596999996</v>
      </c>
      <c r="G151" s="4">
        <v>1985.8601100000001</v>
      </c>
      <c r="H151" s="20">
        <v>1</v>
      </c>
      <c r="I151" s="17" t="s">
        <v>255</v>
      </c>
      <c r="J151" t="s">
        <v>27</v>
      </c>
      <c r="K151" s="11">
        <v>46.488041533000001</v>
      </c>
      <c r="L151" s="11">
        <v>27.685934100000001</v>
      </c>
      <c r="M151" s="11">
        <v>-41.338279700000001</v>
      </c>
      <c r="N151" s="11">
        <v>69.060543507000006</v>
      </c>
      <c r="O151" s="11"/>
      <c r="P151" s="33">
        <v>0.451823578</v>
      </c>
      <c r="R151" s="10" t="s">
        <v>37</v>
      </c>
      <c r="S151" s="20">
        <v>0</v>
      </c>
      <c r="T151" s="17"/>
    </row>
    <row r="152" spans="1:20" x14ac:dyDescent="0.2">
      <c r="A152">
        <v>253</v>
      </c>
      <c r="B152" s="1">
        <v>46197</v>
      </c>
      <c r="C152" s="2">
        <v>0.60071759259259261</v>
      </c>
      <c r="D152" t="s">
        <v>25</v>
      </c>
      <c r="E152" s="10" t="s">
        <v>37</v>
      </c>
      <c r="F152" s="11">
        <v>72.984440184999997</v>
      </c>
      <c r="G152" s="4">
        <v>991.35150099999998</v>
      </c>
      <c r="H152" s="20">
        <v>1</v>
      </c>
      <c r="I152" s="17"/>
      <c r="J152" t="s">
        <v>29</v>
      </c>
      <c r="K152" s="11"/>
      <c r="L152" s="11"/>
      <c r="M152" s="11"/>
      <c r="N152" s="11"/>
      <c r="O152" s="11"/>
      <c r="P152" s="33"/>
      <c r="R152" s="10" t="s">
        <v>37</v>
      </c>
      <c r="S152" s="20">
        <v>1</v>
      </c>
      <c r="T152" s="17" t="s">
        <v>39</v>
      </c>
    </row>
    <row r="153" spans="1:20" x14ac:dyDescent="0.2">
      <c r="A153">
        <v>254</v>
      </c>
      <c r="B153" s="1">
        <v>46197</v>
      </c>
      <c r="C153" s="2">
        <v>0.6009606481481482</v>
      </c>
      <c r="D153" t="s">
        <v>25</v>
      </c>
      <c r="E153" s="10" t="s">
        <v>35</v>
      </c>
      <c r="F153" s="11">
        <v>73.556115575000007</v>
      </c>
      <c r="G153" s="4">
        <v>1573.4252899999999</v>
      </c>
      <c r="H153" s="20">
        <v>0</v>
      </c>
      <c r="I153" s="17"/>
      <c r="J153" t="s">
        <v>29</v>
      </c>
      <c r="K153" s="11"/>
      <c r="L153" s="11"/>
      <c r="M153" s="11"/>
      <c r="N153" s="11"/>
      <c r="O153" s="11"/>
      <c r="P153" s="33"/>
      <c r="R153" s="10" t="s">
        <v>37</v>
      </c>
      <c r="S153" s="20">
        <v>1</v>
      </c>
      <c r="T153" s="17"/>
    </row>
    <row r="154" spans="1:20" x14ac:dyDescent="0.2">
      <c r="A154">
        <v>255</v>
      </c>
      <c r="B154" s="1">
        <v>46197</v>
      </c>
      <c r="C154" s="2">
        <v>0.60121527777777772</v>
      </c>
      <c r="D154" t="s">
        <v>25</v>
      </c>
      <c r="E154" s="10" t="s">
        <v>37</v>
      </c>
      <c r="F154" s="11">
        <v>72.539799047000002</v>
      </c>
      <c r="G154" s="4">
        <v>1078.2358400000001</v>
      </c>
      <c r="H154" s="20">
        <v>0</v>
      </c>
      <c r="I154" s="17"/>
      <c r="J154" t="s">
        <v>29</v>
      </c>
      <c r="K154" s="11"/>
      <c r="L154" s="11"/>
      <c r="M154" s="11"/>
      <c r="N154" s="11"/>
      <c r="O154" s="11"/>
      <c r="P154" s="33"/>
      <c r="R154" s="10" t="s">
        <v>37</v>
      </c>
      <c r="S154" s="20">
        <v>1</v>
      </c>
      <c r="T154" s="17" t="s">
        <v>40</v>
      </c>
    </row>
    <row r="155" spans="1:20" x14ac:dyDescent="0.2">
      <c r="A155">
        <v>256</v>
      </c>
      <c r="B155" s="1">
        <v>46197</v>
      </c>
      <c r="C155" s="2">
        <v>0.60143518518518524</v>
      </c>
      <c r="D155" t="s">
        <v>25</v>
      </c>
      <c r="E155" s="10" t="s">
        <v>33</v>
      </c>
      <c r="F155" s="11">
        <v>84.656231341999998</v>
      </c>
      <c r="G155" s="4">
        <v>1980.1801800000001</v>
      </c>
      <c r="H155" s="20">
        <v>1</v>
      </c>
      <c r="I155" s="17" t="s">
        <v>38</v>
      </c>
      <c r="J155" t="s">
        <v>29</v>
      </c>
      <c r="K155" s="11"/>
      <c r="L155" s="11"/>
      <c r="M155" s="11"/>
      <c r="N155" s="11">
        <v>65.913764435000004</v>
      </c>
      <c r="O155" s="11"/>
      <c r="P155" s="33"/>
      <c r="R155" s="10" t="s">
        <v>37</v>
      </c>
      <c r="S155" s="20">
        <v>0</v>
      </c>
      <c r="T155" s="17"/>
    </row>
    <row r="156" spans="1:20" x14ac:dyDescent="0.2">
      <c r="A156">
        <v>257</v>
      </c>
      <c r="B156" s="1">
        <v>46197</v>
      </c>
      <c r="C156" s="2">
        <v>0.60181712962962963</v>
      </c>
      <c r="D156" t="s">
        <v>25</v>
      </c>
      <c r="E156" s="10" t="s">
        <v>37</v>
      </c>
      <c r="F156" s="11">
        <v>76.986193868000001</v>
      </c>
      <c r="G156" s="4">
        <v>2019.60474</v>
      </c>
      <c r="H156" s="20">
        <v>0</v>
      </c>
      <c r="I156" s="17"/>
      <c r="J156" t="s">
        <v>29</v>
      </c>
      <c r="K156" s="11"/>
      <c r="L156" s="11"/>
      <c r="M156" s="11"/>
      <c r="N156" s="11"/>
      <c r="O156" s="11"/>
      <c r="P156" s="33"/>
      <c r="R156" s="10" t="s">
        <v>37</v>
      </c>
      <c r="S156" s="20">
        <v>0</v>
      </c>
      <c r="T156" s="17"/>
    </row>
    <row r="157" spans="1:20" x14ac:dyDescent="0.2">
      <c r="A157">
        <v>258</v>
      </c>
      <c r="B157" s="1">
        <v>46197</v>
      </c>
      <c r="C157" s="2">
        <v>0.6020833333333333</v>
      </c>
      <c r="D157" t="s">
        <v>25</v>
      </c>
      <c r="E157" s="10" t="s">
        <v>33</v>
      </c>
      <c r="F157" s="11">
        <v>85.100874716000007</v>
      </c>
      <c r="G157" s="4">
        <v>1010.51154</v>
      </c>
      <c r="H157" s="20">
        <v>0</v>
      </c>
      <c r="I157" s="17" t="s">
        <v>48</v>
      </c>
      <c r="J157" t="s">
        <v>29</v>
      </c>
      <c r="K157" s="11"/>
      <c r="L157" s="11"/>
      <c r="M157" s="11"/>
      <c r="N157" s="11"/>
      <c r="O157" s="11"/>
      <c r="P157" s="33"/>
      <c r="R157" s="10" t="s">
        <v>37</v>
      </c>
      <c r="S157" s="20">
        <v>0</v>
      </c>
      <c r="T157" s="17" t="s">
        <v>48</v>
      </c>
    </row>
    <row r="158" spans="1:20" x14ac:dyDescent="0.2">
      <c r="A158">
        <v>259</v>
      </c>
      <c r="B158" s="1">
        <v>46197</v>
      </c>
      <c r="C158" s="2">
        <v>0.60228009259259263</v>
      </c>
      <c r="D158" t="s">
        <v>25</v>
      </c>
      <c r="E158" s="10" t="s">
        <v>33</v>
      </c>
      <c r="F158" s="11">
        <v>84.719752718999999</v>
      </c>
      <c r="G158" s="4">
        <v>1888.41553</v>
      </c>
      <c r="H158" s="20">
        <v>1</v>
      </c>
      <c r="I158" s="17" t="s">
        <v>39</v>
      </c>
      <c r="J158" t="s">
        <v>29</v>
      </c>
      <c r="K158" s="11"/>
      <c r="L158" s="11"/>
      <c r="M158" s="11"/>
      <c r="N158" s="11">
        <v>63.947028828999997</v>
      </c>
      <c r="O158" s="11"/>
      <c r="P158" s="33"/>
      <c r="R158" s="10" t="s">
        <v>37</v>
      </c>
      <c r="S158" s="20">
        <v>1</v>
      </c>
      <c r="T158" s="17"/>
    </row>
    <row r="159" spans="1:20" x14ac:dyDescent="0.2">
      <c r="A159">
        <v>260</v>
      </c>
      <c r="B159" s="1">
        <v>46197</v>
      </c>
      <c r="C159" s="2">
        <v>0.60273148148148148</v>
      </c>
      <c r="D159" t="s">
        <v>25</v>
      </c>
      <c r="E159" s="10" t="s">
        <v>33</v>
      </c>
      <c r="F159" s="11">
        <v>84.672111573999999</v>
      </c>
      <c r="G159" s="4">
        <v>2076.7690400000001</v>
      </c>
      <c r="H159" s="20">
        <v>0</v>
      </c>
      <c r="I159" s="17"/>
      <c r="J159" t="s">
        <v>23</v>
      </c>
      <c r="K159" s="11"/>
      <c r="L159" s="11"/>
      <c r="M159" s="11"/>
      <c r="N159" s="11"/>
      <c r="O159" s="11"/>
      <c r="P159" s="33"/>
      <c r="R159" s="10" t="s">
        <v>37</v>
      </c>
      <c r="S159" s="20">
        <v>0</v>
      </c>
      <c r="T159" s="17"/>
    </row>
    <row r="160" spans="1:20" x14ac:dyDescent="0.2">
      <c r="A160">
        <v>261</v>
      </c>
      <c r="B160" s="1">
        <v>46197</v>
      </c>
      <c r="C160" s="2">
        <v>0.60293981481481485</v>
      </c>
      <c r="D160" t="s">
        <v>25</v>
      </c>
      <c r="E160" s="10" t="s">
        <v>33</v>
      </c>
      <c r="F160" s="11">
        <v>84.926197080999998</v>
      </c>
      <c r="G160" s="4">
        <v>2189.9245599999999</v>
      </c>
      <c r="H160" s="20">
        <v>1</v>
      </c>
      <c r="I160" s="17" t="s">
        <v>255</v>
      </c>
      <c r="J160" t="s">
        <v>23</v>
      </c>
      <c r="K160" s="11"/>
      <c r="L160" s="11"/>
      <c r="M160" s="11"/>
      <c r="N160" s="11">
        <v>63.947028828999997</v>
      </c>
      <c r="O160" s="11"/>
      <c r="P160" s="33"/>
      <c r="R160" s="10" t="s">
        <v>37</v>
      </c>
      <c r="S160" s="20">
        <v>0</v>
      </c>
      <c r="T160" s="17"/>
    </row>
    <row r="161" spans="1:20" s="114" customFormat="1" x14ac:dyDescent="0.2">
      <c r="A161" s="114">
        <v>427</v>
      </c>
      <c r="B161" s="108">
        <v>46200</v>
      </c>
      <c r="C161" s="109">
        <v>0.77947916666666661</v>
      </c>
      <c r="D161" s="107" t="s">
        <v>25</v>
      </c>
      <c r="E161" s="110" t="s">
        <v>33</v>
      </c>
      <c r="F161" s="111">
        <v>83.703435999999996</v>
      </c>
      <c r="G161" s="228">
        <v>2061.9462899999999</v>
      </c>
      <c r="H161" s="113">
        <v>0</v>
      </c>
      <c r="I161" s="112"/>
      <c r="J161" s="107" t="s">
        <v>21</v>
      </c>
      <c r="K161" s="111"/>
      <c r="L161" s="111"/>
      <c r="M161" s="111"/>
      <c r="N161" s="111"/>
      <c r="O161" s="111"/>
      <c r="P161" s="230"/>
      <c r="R161" s="110" t="s">
        <v>35</v>
      </c>
      <c r="S161" s="113">
        <v>1</v>
      </c>
      <c r="T161" s="112" t="s">
        <v>39</v>
      </c>
    </row>
    <row r="162" spans="1:20" x14ac:dyDescent="0.2">
      <c r="A162">
        <v>428</v>
      </c>
      <c r="B162" s="8">
        <v>46200</v>
      </c>
      <c r="C162" s="9">
        <v>0.77962962962962967</v>
      </c>
      <c r="D162" s="7" t="s">
        <v>25</v>
      </c>
      <c r="E162" s="13" t="s">
        <v>33</v>
      </c>
      <c r="F162" s="16">
        <v>83.084110899999999</v>
      </c>
      <c r="G162" s="129">
        <v>2079.98</v>
      </c>
      <c r="H162" s="22">
        <v>0</v>
      </c>
      <c r="I162" s="129"/>
      <c r="J162" s="7" t="s">
        <v>21</v>
      </c>
      <c r="K162" s="16"/>
      <c r="L162" s="16"/>
      <c r="M162" s="16"/>
      <c r="N162" s="16"/>
      <c r="O162" s="16"/>
      <c r="P162" s="177"/>
      <c r="R162" s="13" t="s">
        <v>35</v>
      </c>
      <c r="S162" s="22">
        <v>0</v>
      </c>
      <c r="T162" s="129"/>
    </row>
    <row r="163" spans="1:20" x14ac:dyDescent="0.2">
      <c r="A163">
        <v>429</v>
      </c>
      <c r="B163" s="8">
        <v>46200</v>
      </c>
      <c r="C163" s="9">
        <v>0.77982638888888889</v>
      </c>
      <c r="D163" s="7" t="s">
        <v>25</v>
      </c>
      <c r="E163" s="13" t="s">
        <v>33</v>
      </c>
      <c r="F163" s="16">
        <v>83.639914599999997</v>
      </c>
      <c r="G163" s="129">
        <v>2086.6882300000002</v>
      </c>
      <c r="H163" s="22">
        <v>1</v>
      </c>
      <c r="I163" s="19" t="s">
        <v>40</v>
      </c>
      <c r="J163" s="7" t="s">
        <v>21</v>
      </c>
      <c r="K163" s="16">
        <v>77.893208299999998</v>
      </c>
      <c r="L163" s="16">
        <v>-33.481323000000003</v>
      </c>
      <c r="M163" s="16">
        <v>11.472190899999999</v>
      </c>
      <c r="N163" s="16">
        <v>66.700460199999995</v>
      </c>
      <c r="O163" s="16">
        <v>5</v>
      </c>
      <c r="P163" s="175">
        <v>0.77785132999999995</v>
      </c>
      <c r="R163" s="13" t="s">
        <v>35</v>
      </c>
      <c r="S163" s="22">
        <v>1</v>
      </c>
      <c r="T163" s="19" t="s">
        <v>40</v>
      </c>
    </row>
    <row r="164" spans="1:20" x14ac:dyDescent="0.2">
      <c r="A164">
        <v>430</v>
      </c>
      <c r="B164" s="8">
        <v>46200</v>
      </c>
      <c r="C164" s="9">
        <v>0.78010416666666671</v>
      </c>
      <c r="D164" s="7" t="s">
        <v>25</v>
      </c>
      <c r="E164" s="13" t="s">
        <v>33</v>
      </c>
      <c r="F164" s="16">
        <v>84.402154300000007</v>
      </c>
      <c r="G164" s="129">
        <v>2120.8288600000001</v>
      </c>
      <c r="H164" s="22">
        <v>1</v>
      </c>
      <c r="I164" s="19" t="s">
        <v>38</v>
      </c>
      <c r="J164" s="7" t="s">
        <v>21</v>
      </c>
      <c r="K164" s="16"/>
      <c r="L164" s="16"/>
      <c r="M164" s="16"/>
      <c r="N164" s="16">
        <v>65.576607800000005</v>
      </c>
      <c r="O164" s="16"/>
      <c r="P164" s="175"/>
      <c r="R164" s="13" t="s">
        <v>35</v>
      </c>
      <c r="S164" s="22">
        <v>0</v>
      </c>
      <c r="T164" s="19"/>
    </row>
    <row r="165" spans="1:20" x14ac:dyDescent="0.2">
      <c r="A165">
        <v>431</v>
      </c>
      <c r="B165" s="8">
        <v>46200</v>
      </c>
      <c r="C165" s="9">
        <v>0.78034722222222219</v>
      </c>
      <c r="D165" s="7" t="s">
        <v>25</v>
      </c>
      <c r="E165" s="13" t="s">
        <v>33</v>
      </c>
      <c r="F165" s="16">
        <v>82.893555300000003</v>
      </c>
      <c r="G165" s="129">
        <v>1002.99329</v>
      </c>
      <c r="H165" s="22">
        <v>1</v>
      </c>
      <c r="I165" s="19" t="s">
        <v>38</v>
      </c>
      <c r="J165" s="7" t="s">
        <v>21</v>
      </c>
      <c r="K165" s="16">
        <v>78.751498100000006</v>
      </c>
      <c r="L165" s="16">
        <v>-22.440905000000001</v>
      </c>
      <c r="M165" s="16"/>
      <c r="N165" s="16">
        <v>66.222821100000004</v>
      </c>
      <c r="O165" s="16">
        <v>7</v>
      </c>
      <c r="P165" s="175">
        <v>0.79630318</v>
      </c>
      <c r="R165" s="13" t="s">
        <v>33</v>
      </c>
      <c r="S165" s="22">
        <v>0</v>
      </c>
      <c r="T165" s="19"/>
    </row>
    <row r="166" spans="1:20" x14ac:dyDescent="0.2">
      <c r="A166">
        <v>432</v>
      </c>
      <c r="B166" s="8">
        <v>46200</v>
      </c>
      <c r="C166" s="9">
        <v>0.78104166666666663</v>
      </c>
      <c r="D166" s="7" t="s">
        <v>25</v>
      </c>
      <c r="E166" s="13" t="s">
        <v>37</v>
      </c>
      <c r="F166" s="16">
        <v>69.983122600000002</v>
      </c>
      <c r="G166" s="129">
        <v>2044.03235</v>
      </c>
      <c r="H166" s="22">
        <v>0</v>
      </c>
      <c r="I166" s="19"/>
      <c r="J166" s="7" t="s">
        <v>22</v>
      </c>
      <c r="K166" s="16"/>
      <c r="L166" s="16"/>
      <c r="M166" s="16"/>
      <c r="N166" s="16"/>
      <c r="O166" s="16"/>
      <c r="P166" s="175"/>
      <c r="R166" s="13" t="s">
        <v>33</v>
      </c>
      <c r="S166" s="22">
        <v>0</v>
      </c>
      <c r="T166" s="19"/>
    </row>
    <row r="167" spans="1:20" x14ac:dyDescent="0.2">
      <c r="A167">
        <v>433</v>
      </c>
      <c r="B167" s="8">
        <v>46200</v>
      </c>
      <c r="C167" s="9">
        <v>0.78121527777777777</v>
      </c>
      <c r="D167" s="7" t="s">
        <v>25</v>
      </c>
      <c r="E167" s="13" t="s">
        <v>37</v>
      </c>
      <c r="F167" s="16">
        <v>70.761242600000003</v>
      </c>
      <c r="G167" s="129">
        <v>2092.2873500000001</v>
      </c>
      <c r="H167" s="22">
        <v>1</v>
      </c>
      <c r="I167" s="19" t="s">
        <v>40</v>
      </c>
      <c r="J167" s="7" t="s">
        <v>22</v>
      </c>
      <c r="K167" s="16">
        <v>70.344262000000001</v>
      </c>
      <c r="L167" s="16">
        <v>23.3094</v>
      </c>
      <c r="M167" s="16">
        <v>-28.553661000000002</v>
      </c>
      <c r="N167" s="16">
        <v>59.957362400000001</v>
      </c>
      <c r="O167" s="16">
        <v>193</v>
      </c>
      <c r="P167" s="175">
        <v>0.79150986000000001</v>
      </c>
      <c r="R167" s="13" t="s">
        <v>33</v>
      </c>
      <c r="S167" s="22">
        <v>1</v>
      </c>
      <c r="T167" s="19" t="s">
        <v>40</v>
      </c>
    </row>
    <row r="168" spans="1:20" x14ac:dyDescent="0.2">
      <c r="A168">
        <v>434</v>
      </c>
      <c r="B168" s="8">
        <v>46200</v>
      </c>
      <c r="C168" s="9">
        <v>0.78148148148148144</v>
      </c>
      <c r="D168" s="7" t="s">
        <v>25</v>
      </c>
      <c r="E168" s="13" t="s">
        <v>33</v>
      </c>
      <c r="F168" s="16">
        <v>84.624470700000003</v>
      </c>
      <c r="G168" s="129">
        <v>1955.8625500000001</v>
      </c>
      <c r="H168" s="22">
        <v>0</v>
      </c>
      <c r="I168" s="19"/>
      <c r="J168" s="7" t="s">
        <v>22</v>
      </c>
      <c r="K168" s="16"/>
      <c r="L168" s="16"/>
      <c r="M168" s="16"/>
      <c r="N168" s="16"/>
      <c r="O168" s="16"/>
      <c r="P168" s="175"/>
      <c r="R168" s="13" t="s">
        <v>33</v>
      </c>
      <c r="S168" s="22">
        <v>1</v>
      </c>
      <c r="T168" s="19" t="s">
        <v>38</v>
      </c>
    </row>
    <row r="169" spans="1:20" x14ac:dyDescent="0.2">
      <c r="A169">
        <v>435</v>
      </c>
      <c r="B169" s="8">
        <v>46200</v>
      </c>
      <c r="C169" s="9">
        <v>0.78167824074074077</v>
      </c>
      <c r="D169" s="7" t="s">
        <v>25</v>
      </c>
      <c r="E169" s="13" t="s">
        <v>37</v>
      </c>
      <c r="F169" s="16">
        <v>75.4934753</v>
      </c>
      <c r="G169" s="129">
        <v>1112.0201400000001</v>
      </c>
      <c r="H169" s="22">
        <v>0</v>
      </c>
      <c r="I169" s="19"/>
      <c r="J169" s="7" t="s">
        <v>22</v>
      </c>
      <c r="K169" s="16"/>
      <c r="L169" s="16"/>
      <c r="M169" s="16"/>
      <c r="N169" s="16"/>
      <c r="O169" s="16"/>
      <c r="P169" s="175"/>
      <c r="R169" s="13" t="s">
        <v>33</v>
      </c>
      <c r="S169" s="22">
        <v>1</v>
      </c>
      <c r="T169" s="19" t="s">
        <v>38</v>
      </c>
    </row>
    <row r="170" spans="1:20" x14ac:dyDescent="0.2">
      <c r="A170">
        <v>436</v>
      </c>
      <c r="B170" s="8">
        <v>46200</v>
      </c>
      <c r="C170" s="9">
        <v>0.78228009259259257</v>
      </c>
      <c r="D170" s="7" t="s">
        <v>25</v>
      </c>
      <c r="E170" s="13" t="s">
        <v>37</v>
      </c>
      <c r="F170" s="16">
        <v>74.985321299999995</v>
      </c>
      <c r="G170" s="129">
        <v>2132.0322299999998</v>
      </c>
      <c r="H170" s="22">
        <v>1</v>
      </c>
      <c r="I170" s="19" t="s">
        <v>38</v>
      </c>
      <c r="J170" s="7" t="s">
        <v>22</v>
      </c>
      <c r="K170" s="16">
        <v>71.708218299999999</v>
      </c>
      <c r="L170" s="16">
        <v>58.625300000000003</v>
      </c>
      <c r="M170" s="16">
        <v>32.086788200000001</v>
      </c>
      <c r="N170" s="16">
        <v>64.143702899999994</v>
      </c>
      <c r="O170" s="16">
        <v>215</v>
      </c>
      <c r="P170" s="175">
        <v>0.7556678</v>
      </c>
      <c r="R170" s="13" t="s">
        <v>33</v>
      </c>
      <c r="S170" s="22">
        <v>0</v>
      </c>
      <c r="T170" s="19"/>
    </row>
    <row r="171" spans="1:20" x14ac:dyDescent="0.2">
      <c r="A171">
        <v>437</v>
      </c>
      <c r="B171" s="8">
        <v>46200</v>
      </c>
      <c r="C171" s="9">
        <v>0.78277777777777779</v>
      </c>
      <c r="D171" s="7" t="s">
        <v>25</v>
      </c>
      <c r="E171" s="13" t="s">
        <v>35</v>
      </c>
      <c r="F171" s="16">
        <v>72.333363000000006</v>
      </c>
      <c r="G171" s="129">
        <v>1914.3663300000001</v>
      </c>
      <c r="H171" s="22">
        <v>1</v>
      </c>
      <c r="I171" s="19" t="s">
        <v>39</v>
      </c>
      <c r="J171" s="7" t="s">
        <v>24</v>
      </c>
      <c r="K171" s="16"/>
      <c r="L171" s="16"/>
      <c r="M171" s="16"/>
      <c r="N171" s="16">
        <v>65.857573099999996</v>
      </c>
      <c r="O171" s="16"/>
      <c r="P171" s="175"/>
      <c r="R171" s="13" t="s">
        <v>33</v>
      </c>
      <c r="S171" s="22">
        <v>1</v>
      </c>
      <c r="T171" s="19" t="s">
        <v>40</v>
      </c>
    </row>
    <row r="172" spans="1:20" x14ac:dyDescent="0.2">
      <c r="A172">
        <v>438</v>
      </c>
      <c r="B172" s="8">
        <v>46200</v>
      </c>
      <c r="C172" s="9">
        <v>0.78304398148148147</v>
      </c>
      <c r="D172" s="7" t="s">
        <v>25</v>
      </c>
      <c r="E172" s="13" t="s">
        <v>35</v>
      </c>
      <c r="F172" s="16">
        <v>74.064279900000002</v>
      </c>
      <c r="G172" s="129">
        <v>1667.22974</v>
      </c>
      <c r="H172" s="22">
        <v>0</v>
      </c>
      <c r="I172" s="19"/>
      <c r="J172" s="7" t="s">
        <v>24</v>
      </c>
      <c r="K172" s="16"/>
      <c r="L172" s="16"/>
      <c r="M172" s="16"/>
      <c r="N172" s="16"/>
      <c r="O172" s="16"/>
      <c r="P172" s="175"/>
      <c r="R172" s="13" t="s">
        <v>33</v>
      </c>
      <c r="S172" s="22">
        <v>0</v>
      </c>
      <c r="T172" s="19"/>
    </row>
    <row r="173" spans="1:20" x14ac:dyDescent="0.2">
      <c r="A173">
        <v>439</v>
      </c>
      <c r="B173" s="8">
        <v>46200</v>
      </c>
      <c r="C173" s="9">
        <v>0.78334490740740736</v>
      </c>
      <c r="D173" s="7" t="s">
        <v>25</v>
      </c>
      <c r="E173" s="13" t="s">
        <v>33</v>
      </c>
      <c r="F173" s="16">
        <v>85.354949500000004</v>
      </c>
      <c r="G173" s="129">
        <v>1085.4005099999999</v>
      </c>
      <c r="H173" s="22">
        <v>1</v>
      </c>
      <c r="I173" s="19" t="s">
        <v>40</v>
      </c>
      <c r="J173" s="7" t="s">
        <v>24</v>
      </c>
      <c r="K173" s="16"/>
      <c r="L173" s="16"/>
      <c r="M173" s="16"/>
      <c r="N173" s="16">
        <v>68.751482600000003</v>
      </c>
      <c r="O173" s="16"/>
      <c r="P173" s="175"/>
      <c r="R173" s="13" t="s">
        <v>33</v>
      </c>
      <c r="S173" s="22">
        <v>1</v>
      </c>
      <c r="T173" s="19" t="s">
        <v>38</v>
      </c>
    </row>
    <row r="174" spans="1:20" x14ac:dyDescent="0.2">
      <c r="A174">
        <v>440</v>
      </c>
      <c r="B174" s="8">
        <v>46200</v>
      </c>
      <c r="C174" s="9">
        <v>0.78358796296296296</v>
      </c>
      <c r="D174" s="7" t="s">
        <v>25</v>
      </c>
      <c r="E174" s="13" t="s">
        <v>35</v>
      </c>
      <c r="F174" s="16">
        <v>72.031636300000002</v>
      </c>
      <c r="G174" s="129">
        <v>1971.2415800000001</v>
      </c>
      <c r="H174" s="22">
        <v>1</v>
      </c>
      <c r="I174" s="19" t="s">
        <v>40</v>
      </c>
      <c r="J174" s="7" t="s">
        <v>24</v>
      </c>
      <c r="K174" s="16">
        <v>69.017433699999998</v>
      </c>
      <c r="L174" s="16">
        <v>57.261707299999998</v>
      </c>
      <c r="M174" s="16">
        <v>11.875368099999999</v>
      </c>
      <c r="N174" s="16">
        <v>67.262382299999999</v>
      </c>
      <c r="O174" s="16">
        <v>208</v>
      </c>
      <c r="P174" s="175">
        <v>0.70625435000000003</v>
      </c>
      <c r="R174" s="13" t="s">
        <v>33</v>
      </c>
      <c r="S174" s="22">
        <v>1</v>
      </c>
      <c r="T174" s="19" t="s">
        <v>38</v>
      </c>
    </row>
    <row r="175" spans="1:20" x14ac:dyDescent="0.2">
      <c r="A175">
        <v>441</v>
      </c>
      <c r="B175" s="8">
        <v>46200</v>
      </c>
      <c r="C175" s="9">
        <v>0.7838194444444444</v>
      </c>
      <c r="D175" s="7" t="s">
        <v>25</v>
      </c>
      <c r="E175" s="13" t="s">
        <v>35</v>
      </c>
      <c r="F175" s="16">
        <v>72.412756099999996</v>
      </c>
      <c r="G175" s="129">
        <v>1565.43066</v>
      </c>
      <c r="H175" s="22">
        <v>0</v>
      </c>
      <c r="I175" s="19"/>
      <c r="J175" s="7" t="s">
        <v>24</v>
      </c>
      <c r="K175" s="16"/>
      <c r="L175" s="16"/>
      <c r="M175" s="16"/>
      <c r="N175" s="16"/>
      <c r="O175" s="16"/>
      <c r="P175" s="175"/>
      <c r="R175" s="13" t="s">
        <v>33</v>
      </c>
      <c r="S175" s="22">
        <v>1</v>
      </c>
      <c r="T175" s="19" t="s">
        <v>39</v>
      </c>
    </row>
    <row r="176" spans="1:20" x14ac:dyDescent="0.2">
      <c r="A176">
        <v>442</v>
      </c>
      <c r="B176" s="8">
        <v>46200</v>
      </c>
      <c r="C176" s="9">
        <v>0.78429398148148144</v>
      </c>
      <c r="D176" s="7" t="s">
        <v>25</v>
      </c>
      <c r="E176" s="13" t="s">
        <v>33</v>
      </c>
      <c r="F176" s="16">
        <v>84.973829699999996</v>
      </c>
      <c r="G176" s="129">
        <v>2078.0414999999998</v>
      </c>
      <c r="H176" s="22">
        <v>0</v>
      </c>
      <c r="I176" s="19"/>
      <c r="J176" s="7" t="s">
        <v>20</v>
      </c>
      <c r="K176" s="16"/>
      <c r="L176" s="16"/>
      <c r="M176" s="16"/>
      <c r="N176" s="16"/>
      <c r="O176" s="16"/>
      <c r="P176" s="175"/>
      <c r="R176" s="13" t="s">
        <v>33</v>
      </c>
      <c r="S176" s="22">
        <v>1</v>
      </c>
      <c r="T176" s="19" t="s">
        <v>38</v>
      </c>
    </row>
    <row r="177" spans="1:20" x14ac:dyDescent="0.2">
      <c r="A177">
        <v>443</v>
      </c>
      <c r="B177" s="8">
        <v>46200</v>
      </c>
      <c r="C177" s="9">
        <v>0.78446759259259258</v>
      </c>
      <c r="D177" s="7" t="s">
        <v>25</v>
      </c>
      <c r="E177" s="13" t="s">
        <v>33</v>
      </c>
      <c r="F177" s="16">
        <v>84.942069000000004</v>
      </c>
      <c r="G177" s="129">
        <v>2022.5732399999999</v>
      </c>
      <c r="H177" s="22">
        <v>1</v>
      </c>
      <c r="I177" s="19" t="s">
        <v>38</v>
      </c>
      <c r="J177" s="7" t="s">
        <v>20</v>
      </c>
      <c r="K177" s="16"/>
      <c r="L177" s="16"/>
      <c r="M177" s="16"/>
      <c r="N177" s="16">
        <v>69.285313299999999</v>
      </c>
      <c r="O177" s="16"/>
      <c r="P177" s="175"/>
      <c r="R177" s="13" t="s">
        <v>37</v>
      </c>
      <c r="S177" s="22">
        <v>0</v>
      </c>
      <c r="T177" s="19"/>
    </row>
    <row r="178" spans="1:20" x14ac:dyDescent="0.2">
      <c r="A178">
        <v>444</v>
      </c>
      <c r="B178" s="8">
        <v>46200</v>
      </c>
      <c r="C178" s="9">
        <v>0.7846643518518519</v>
      </c>
      <c r="D178" s="7" t="s">
        <v>25</v>
      </c>
      <c r="E178" s="13" t="s">
        <v>37</v>
      </c>
      <c r="F178" s="16">
        <v>71.523482299999998</v>
      </c>
      <c r="G178" s="129">
        <v>2138.4189500000002</v>
      </c>
      <c r="H178" s="22">
        <v>0</v>
      </c>
      <c r="I178" s="19"/>
      <c r="J178" s="7" t="s">
        <v>20</v>
      </c>
      <c r="K178" s="16"/>
      <c r="L178" s="16"/>
      <c r="M178" s="16"/>
      <c r="N178" s="16"/>
      <c r="O178" s="16"/>
      <c r="P178" s="175"/>
      <c r="R178" s="13" t="s">
        <v>37</v>
      </c>
      <c r="S178" s="22">
        <v>1</v>
      </c>
      <c r="T178" s="19" t="s">
        <v>40</v>
      </c>
    </row>
    <row r="179" spans="1:20" x14ac:dyDescent="0.2">
      <c r="A179">
        <v>445</v>
      </c>
      <c r="B179" s="8">
        <v>46200</v>
      </c>
      <c r="C179" s="9">
        <v>0.78508101851851853</v>
      </c>
      <c r="D179" s="7" t="s">
        <v>25</v>
      </c>
      <c r="E179" s="13" t="s">
        <v>33</v>
      </c>
      <c r="F179" s="16">
        <v>84.211590000000001</v>
      </c>
      <c r="G179" s="129">
        <v>1930.5188000000001</v>
      </c>
      <c r="H179" s="22">
        <v>1</v>
      </c>
      <c r="I179" s="19" t="s">
        <v>38</v>
      </c>
      <c r="J179" s="7" t="s">
        <v>20</v>
      </c>
      <c r="K179" s="16"/>
      <c r="L179" s="16"/>
      <c r="M179" s="16"/>
      <c r="N179" s="16">
        <v>66.925229900000005</v>
      </c>
      <c r="O179" s="16"/>
      <c r="P179" s="175"/>
      <c r="R179" s="13" t="s">
        <v>37</v>
      </c>
      <c r="S179" s="22">
        <v>0</v>
      </c>
      <c r="T179" s="19"/>
    </row>
    <row r="180" spans="1:20" x14ac:dyDescent="0.2">
      <c r="A180">
        <v>446</v>
      </c>
      <c r="B180" s="8">
        <v>46200</v>
      </c>
      <c r="C180" s="9">
        <v>0.78548611111111111</v>
      </c>
      <c r="D180" s="7" t="s">
        <v>25</v>
      </c>
      <c r="E180" s="13" t="s">
        <v>37</v>
      </c>
      <c r="F180" s="16">
        <v>74.381876700000007</v>
      </c>
      <c r="G180" s="129">
        <v>2173.4853499999999</v>
      </c>
      <c r="H180" s="22">
        <v>1</v>
      </c>
      <c r="I180" s="19" t="s">
        <v>39</v>
      </c>
      <c r="J180" s="7" t="s">
        <v>20</v>
      </c>
      <c r="K180" s="16"/>
      <c r="L180" s="16"/>
      <c r="M180" s="16"/>
      <c r="N180" s="16">
        <v>63.1041417</v>
      </c>
      <c r="O180" s="16"/>
      <c r="P180" s="175"/>
      <c r="R180" s="13" t="s">
        <v>37</v>
      </c>
      <c r="S180" s="22">
        <v>1</v>
      </c>
      <c r="T180" s="19" t="s">
        <v>38</v>
      </c>
    </row>
    <row r="181" spans="1:20" x14ac:dyDescent="0.2">
      <c r="A181">
        <v>447</v>
      </c>
      <c r="B181" s="8">
        <v>46200</v>
      </c>
      <c r="C181" s="9">
        <v>0.78636574074074073</v>
      </c>
      <c r="D181" s="7" t="s">
        <v>25</v>
      </c>
      <c r="E181" s="13" t="s">
        <v>37</v>
      </c>
      <c r="F181" s="16">
        <v>72.031636300000002</v>
      </c>
      <c r="G181" s="129">
        <v>2086.29126</v>
      </c>
      <c r="H181" s="22">
        <v>1</v>
      </c>
      <c r="I181" s="19"/>
      <c r="J181" s="7" t="s">
        <v>27</v>
      </c>
      <c r="K181" s="16"/>
      <c r="L181" s="16"/>
      <c r="M181" s="16"/>
      <c r="N181" s="16"/>
      <c r="O181" s="16"/>
      <c r="P181" s="175"/>
      <c r="R181" s="13" t="s">
        <v>37</v>
      </c>
      <c r="S181" s="22">
        <v>0</v>
      </c>
      <c r="T181" s="19"/>
    </row>
    <row r="182" spans="1:20" x14ac:dyDescent="0.2">
      <c r="A182">
        <v>448</v>
      </c>
      <c r="B182" s="8">
        <v>46200</v>
      </c>
      <c r="C182" s="9">
        <v>0.7866319444444444</v>
      </c>
      <c r="D182" s="7" t="s">
        <v>25</v>
      </c>
      <c r="E182" s="13" t="s">
        <v>37</v>
      </c>
      <c r="F182" s="16">
        <v>73.047961599999994</v>
      </c>
      <c r="G182" s="129">
        <v>1599.4782700000001</v>
      </c>
      <c r="H182" s="22">
        <v>0</v>
      </c>
      <c r="I182" s="19"/>
      <c r="J182" s="7" t="s">
        <v>27</v>
      </c>
      <c r="K182" s="16"/>
      <c r="L182" s="16"/>
      <c r="M182" s="16"/>
      <c r="N182" s="16"/>
      <c r="O182" s="16"/>
      <c r="P182" s="175"/>
      <c r="R182" s="13" t="s">
        <v>37</v>
      </c>
      <c r="S182" s="22">
        <v>1</v>
      </c>
      <c r="T182" s="19" t="s">
        <v>39</v>
      </c>
    </row>
    <row r="183" spans="1:20" x14ac:dyDescent="0.2">
      <c r="A183">
        <v>449</v>
      </c>
      <c r="B183" s="8">
        <v>46200</v>
      </c>
      <c r="C183" s="9">
        <v>0.78687499999999999</v>
      </c>
      <c r="D183" s="7" t="s">
        <v>25</v>
      </c>
      <c r="E183" s="13" t="s">
        <v>37</v>
      </c>
      <c r="F183" s="16">
        <v>70.808879399999995</v>
      </c>
      <c r="G183" s="129">
        <v>2152.10034</v>
      </c>
      <c r="H183" s="22">
        <v>0</v>
      </c>
      <c r="I183" s="19"/>
      <c r="J183" s="7" t="s">
        <v>27</v>
      </c>
      <c r="K183" s="16"/>
      <c r="L183" s="16"/>
      <c r="M183" s="16"/>
      <c r="N183" s="16"/>
      <c r="O183" s="16"/>
      <c r="P183" s="175"/>
      <c r="R183" s="13" t="s">
        <v>37</v>
      </c>
      <c r="S183" s="22">
        <v>1</v>
      </c>
      <c r="T183" s="19"/>
    </row>
    <row r="184" spans="1:20" x14ac:dyDescent="0.2">
      <c r="A184">
        <v>450</v>
      </c>
      <c r="B184" s="8">
        <v>46200</v>
      </c>
      <c r="C184" s="9">
        <v>0.78712962962962962</v>
      </c>
      <c r="D184" s="7" t="s">
        <v>25</v>
      </c>
      <c r="E184" s="13" t="s">
        <v>33</v>
      </c>
      <c r="F184" s="16">
        <v>84.672111599999994</v>
      </c>
      <c r="G184" s="129">
        <v>2059.2810100000002</v>
      </c>
      <c r="H184" s="22">
        <v>1</v>
      </c>
      <c r="I184" s="19" t="s">
        <v>39</v>
      </c>
      <c r="J184" s="7" t="s">
        <v>27</v>
      </c>
      <c r="K184" s="16"/>
      <c r="L184" s="16"/>
      <c r="M184" s="16"/>
      <c r="N184" s="16">
        <v>71.252048700000003</v>
      </c>
      <c r="O184" s="16"/>
      <c r="P184" s="175"/>
      <c r="R184" s="13" t="s">
        <v>37</v>
      </c>
      <c r="S184" s="22">
        <v>0</v>
      </c>
      <c r="T184" s="19"/>
    </row>
    <row r="185" spans="1:20" x14ac:dyDescent="0.2">
      <c r="A185">
        <v>451</v>
      </c>
      <c r="B185" s="8">
        <v>46200</v>
      </c>
      <c r="C185" s="9">
        <v>0.78753472222222221</v>
      </c>
      <c r="D185" s="7" t="s">
        <v>25</v>
      </c>
      <c r="E185" s="13" t="s">
        <v>33</v>
      </c>
      <c r="F185" s="16">
        <v>88.991472400000006</v>
      </c>
      <c r="G185" s="129">
        <v>2068.3466800000001</v>
      </c>
      <c r="H185" s="22">
        <v>1</v>
      </c>
      <c r="I185" s="129" t="s">
        <v>38</v>
      </c>
      <c r="J185" s="7" t="s">
        <v>27</v>
      </c>
      <c r="K185" s="16"/>
      <c r="L185" s="16"/>
      <c r="M185" s="16"/>
      <c r="N185" s="16">
        <v>63.722259299999997</v>
      </c>
      <c r="O185" s="16"/>
      <c r="P185" s="177"/>
      <c r="R185" s="13" t="s">
        <v>37</v>
      </c>
      <c r="S185" s="22">
        <v>0</v>
      </c>
      <c r="T185" s="129"/>
    </row>
    <row r="186" spans="1:20" x14ac:dyDescent="0.2">
      <c r="A186">
        <v>452</v>
      </c>
      <c r="B186" s="8">
        <v>46200</v>
      </c>
      <c r="C186" s="9">
        <v>0.78788194444444448</v>
      </c>
      <c r="D186" s="7" t="s">
        <v>25</v>
      </c>
      <c r="E186" s="13" t="s">
        <v>37</v>
      </c>
      <c r="F186" s="16">
        <v>76.144560999999996</v>
      </c>
      <c r="G186" s="129">
        <v>2283.49487</v>
      </c>
      <c r="H186" s="22">
        <v>1</v>
      </c>
      <c r="I186" s="19" t="s">
        <v>40</v>
      </c>
      <c r="J186" s="7" t="s">
        <v>27</v>
      </c>
      <c r="K186" s="16"/>
      <c r="L186" s="16"/>
      <c r="M186" s="16"/>
      <c r="N186" s="16">
        <v>61.896002099999997</v>
      </c>
      <c r="O186" s="16"/>
      <c r="P186" s="175"/>
      <c r="R186" s="13" t="s">
        <v>37</v>
      </c>
      <c r="S186" s="22">
        <v>1</v>
      </c>
      <c r="T186" s="19" t="s">
        <v>40</v>
      </c>
    </row>
    <row r="187" spans="1:20" s="114" customFormat="1" x14ac:dyDescent="0.2">
      <c r="A187" s="114">
        <v>557</v>
      </c>
      <c r="B187" s="108">
        <v>46203</v>
      </c>
      <c r="C187" s="109">
        <v>0.81010416666666663</v>
      </c>
      <c r="D187" s="107" t="s">
        <v>25</v>
      </c>
      <c r="E187" s="110" t="s">
        <v>33</v>
      </c>
      <c r="F187" s="111">
        <v>83.274675099999996</v>
      </c>
      <c r="G187" s="228">
        <v>1921.75928</v>
      </c>
      <c r="H187" s="113">
        <v>0</v>
      </c>
      <c r="I187" s="112"/>
      <c r="J187" s="107" t="s">
        <v>24</v>
      </c>
      <c r="K187" s="111"/>
      <c r="L187" s="111"/>
      <c r="M187" s="111"/>
      <c r="N187" s="111"/>
      <c r="O187" s="111"/>
      <c r="P187" s="230"/>
      <c r="R187" s="110" t="s">
        <v>35</v>
      </c>
      <c r="S187" s="113">
        <v>1</v>
      </c>
      <c r="T187" s="112" t="s">
        <v>38</v>
      </c>
    </row>
    <row r="188" spans="1:20" x14ac:dyDescent="0.2">
      <c r="A188">
        <v>558</v>
      </c>
      <c r="B188" s="8">
        <v>46203</v>
      </c>
      <c r="C188" s="9">
        <v>0.81027777777777776</v>
      </c>
      <c r="D188" s="7" t="s">
        <v>25</v>
      </c>
      <c r="E188" s="13" t="s">
        <v>33</v>
      </c>
      <c r="F188" s="16">
        <v>81.861358300000006</v>
      </c>
      <c r="G188" s="129">
        <v>2054.3483900000001</v>
      </c>
      <c r="H188" s="22">
        <v>0</v>
      </c>
      <c r="I188" s="19"/>
      <c r="J188" s="7" t="s">
        <v>24</v>
      </c>
      <c r="K188" s="16"/>
      <c r="L188" s="16"/>
      <c r="M188" s="16"/>
      <c r="N188" s="16"/>
      <c r="O188" s="16"/>
      <c r="P188" s="175"/>
      <c r="R188" s="13" t="s">
        <v>35</v>
      </c>
      <c r="S188" s="22">
        <v>0</v>
      </c>
      <c r="T188" s="19"/>
    </row>
    <row r="189" spans="1:20" x14ac:dyDescent="0.2">
      <c r="A189">
        <v>559</v>
      </c>
      <c r="B189" s="8">
        <v>46203</v>
      </c>
      <c r="C189" s="9">
        <v>0.81048611111111113</v>
      </c>
      <c r="D189" s="7" t="s">
        <v>25</v>
      </c>
      <c r="E189" s="13" t="s">
        <v>37</v>
      </c>
      <c r="F189" s="16">
        <v>68.919160700000006</v>
      </c>
      <c r="G189" s="129">
        <v>2072.84204</v>
      </c>
      <c r="H189" s="22">
        <v>1</v>
      </c>
      <c r="I189" s="19" t="s">
        <v>39</v>
      </c>
      <c r="J189" s="7" t="s">
        <v>24</v>
      </c>
      <c r="K189" s="16"/>
      <c r="L189" s="16"/>
      <c r="M189" s="16"/>
      <c r="N189" s="16">
        <v>60.575479999999999</v>
      </c>
      <c r="O189" s="16"/>
      <c r="P189" s="175"/>
      <c r="R189" s="13" t="s">
        <v>35</v>
      </c>
      <c r="S189" s="22">
        <v>0</v>
      </c>
      <c r="T189" s="19"/>
    </row>
    <row r="190" spans="1:20" x14ac:dyDescent="0.2">
      <c r="A190">
        <v>560</v>
      </c>
      <c r="B190" s="8">
        <v>46203</v>
      </c>
      <c r="C190" s="9">
        <v>0.81072916666666661</v>
      </c>
      <c r="D190" s="7" t="s">
        <v>25</v>
      </c>
      <c r="E190" s="13" t="s">
        <v>35</v>
      </c>
      <c r="F190" s="16">
        <v>72.841516999999996</v>
      </c>
      <c r="G190" s="129">
        <v>1567.9846199999999</v>
      </c>
      <c r="H190" s="22">
        <v>1</v>
      </c>
      <c r="I190" s="19" t="s">
        <v>38</v>
      </c>
      <c r="J190" s="7" t="s">
        <v>24</v>
      </c>
      <c r="K190" s="16"/>
      <c r="L190" s="16"/>
      <c r="M190" s="16"/>
      <c r="N190" s="16">
        <v>67.206190899999996</v>
      </c>
      <c r="O190" s="16"/>
      <c r="P190" s="175"/>
      <c r="R190" s="13" t="s">
        <v>35</v>
      </c>
      <c r="S190" s="22">
        <v>1</v>
      </c>
      <c r="T190" s="19" t="s">
        <v>38</v>
      </c>
    </row>
    <row r="191" spans="1:20" x14ac:dyDescent="0.2">
      <c r="A191">
        <v>561</v>
      </c>
      <c r="B191" s="8">
        <v>46203</v>
      </c>
      <c r="C191" s="9">
        <v>0.81107638888888889</v>
      </c>
      <c r="D191" s="7" t="s">
        <v>25</v>
      </c>
      <c r="E191" s="13" t="s">
        <v>33</v>
      </c>
      <c r="F191" s="16">
        <v>86.133069500000005</v>
      </c>
      <c r="G191" s="129">
        <v>1901.55432</v>
      </c>
      <c r="H191" s="22">
        <v>1</v>
      </c>
      <c r="I191" s="19" t="s">
        <v>38</v>
      </c>
      <c r="J191" s="7" t="s">
        <v>24</v>
      </c>
      <c r="K191" s="16"/>
      <c r="L191" s="16"/>
      <c r="M191" s="16"/>
      <c r="N191" s="16">
        <v>61.305980300000002</v>
      </c>
      <c r="O191" s="16"/>
      <c r="P191" s="175"/>
      <c r="R191" s="13" t="s">
        <v>35</v>
      </c>
      <c r="S191" s="22">
        <v>1</v>
      </c>
      <c r="T191" s="19" t="s">
        <v>40</v>
      </c>
    </row>
    <row r="192" spans="1:20" x14ac:dyDescent="0.2">
      <c r="A192">
        <v>562</v>
      </c>
      <c r="B192" s="8">
        <v>46203</v>
      </c>
      <c r="C192" s="9">
        <v>0.81135416666666671</v>
      </c>
      <c r="D192" s="7" t="s">
        <v>25</v>
      </c>
      <c r="E192" s="13" t="s">
        <v>37</v>
      </c>
      <c r="F192" s="16">
        <v>71.459960899999999</v>
      </c>
      <c r="G192" s="129">
        <v>1073.2896699999999</v>
      </c>
      <c r="H192" s="22">
        <v>1</v>
      </c>
      <c r="I192" s="19" t="s">
        <v>255</v>
      </c>
      <c r="J192" s="7" t="s">
        <v>24</v>
      </c>
      <c r="K192" s="16">
        <v>86.220637499999995</v>
      </c>
      <c r="L192" s="16">
        <v>19.473520300000001</v>
      </c>
      <c r="M192" s="16">
        <v>-21.925294999999998</v>
      </c>
      <c r="N192" s="16">
        <v>58.496357600000003</v>
      </c>
      <c r="O192" s="16">
        <v>243</v>
      </c>
      <c r="P192" s="175">
        <v>0.99203125000000003</v>
      </c>
      <c r="R192" s="13" t="s">
        <v>35</v>
      </c>
      <c r="S192" s="22">
        <v>1</v>
      </c>
      <c r="T192" s="19" t="s">
        <v>40</v>
      </c>
    </row>
    <row r="193" spans="1:20" x14ac:dyDescent="0.2">
      <c r="A193">
        <v>563</v>
      </c>
      <c r="B193" s="8">
        <v>46203</v>
      </c>
      <c r="C193" s="9">
        <v>0.81184027777777779</v>
      </c>
      <c r="D193" s="7" t="s">
        <v>25</v>
      </c>
      <c r="E193" s="13" t="s">
        <v>33</v>
      </c>
      <c r="F193" s="16">
        <v>83.020598100000001</v>
      </c>
      <c r="G193" s="129">
        <v>1900.9222400000001</v>
      </c>
      <c r="H193" s="22">
        <v>1</v>
      </c>
      <c r="I193" s="19"/>
      <c r="J193" s="7" t="s">
        <v>20</v>
      </c>
      <c r="K193" s="16"/>
      <c r="L193" s="16"/>
      <c r="M193" s="16"/>
      <c r="N193" s="16"/>
      <c r="O193" s="16"/>
      <c r="P193" s="175"/>
      <c r="R193" s="13" t="s">
        <v>33</v>
      </c>
      <c r="S193" s="22">
        <v>0</v>
      </c>
      <c r="T193" s="19"/>
    </row>
    <row r="194" spans="1:20" x14ac:dyDescent="0.2">
      <c r="A194">
        <v>564</v>
      </c>
      <c r="B194" s="8">
        <v>46203</v>
      </c>
      <c r="C194" s="9">
        <v>0.812037037037037</v>
      </c>
      <c r="D194" s="7" t="s">
        <v>25</v>
      </c>
      <c r="E194" s="13" t="s">
        <v>33</v>
      </c>
      <c r="F194" s="16">
        <v>84.481555900000004</v>
      </c>
      <c r="G194" s="129">
        <v>2069.5578599999999</v>
      </c>
      <c r="H194" s="22">
        <v>0</v>
      </c>
      <c r="I194" s="19"/>
      <c r="J194" s="7" t="s">
        <v>20</v>
      </c>
      <c r="K194" s="16"/>
      <c r="L194" s="16"/>
      <c r="M194" s="16"/>
      <c r="N194" s="16"/>
      <c r="O194" s="16"/>
      <c r="P194" s="175"/>
      <c r="R194" s="13" t="s">
        <v>33</v>
      </c>
      <c r="S194" s="22">
        <v>0</v>
      </c>
      <c r="T194" s="19"/>
    </row>
    <row r="195" spans="1:20" x14ac:dyDescent="0.2">
      <c r="A195">
        <v>565</v>
      </c>
      <c r="B195" s="8">
        <v>46203</v>
      </c>
      <c r="C195" s="9">
        <v>0.81222222222222218</v>
      </c>
      <c r="D195" s="7" t="s">
        <v>25</v>
      </c>
      <c r="E195" s="13" t="s">
        <v>33</v>
      </c>
      <c r="F195" s="16">
        <v>85.545513600000007</v>
      </c>
      <c r="G195" s="129">
        <v>2241.4892599999998</v>
      </c>
      <c r="H195" s="22">
        <v>0</v>
      </c>
      <c r="I195" s="19"/>
      <c r="J195" s="7" t="s">
        <v>20</v>
      </c>
      <c r="K195" s="16"/>
      <c r="L195" s="16"/>
      <c r="M195" s="16"/>
      <c r="N195" s="16"/>
      <c r="O195" s="16"/>
      <c r="P195" s="175"/>
      <c r="R195" s="13" t="s">
        <v>33</v>
      </c>
      <c r="S195" s="22">
        <v>1</v>
      </c>
      <c r="T195" s="19" t="s">
        <v>38</v>
      </c>
    </row>
    <row r="196" spans="1:20" x14ac:dyDescent="0.2">
      <c r="A196">
        <v>566</v>
      </c>
      <c r="B196" s="8">
        <v>46203</v>
      </c>
      <c r="C196" s="9">
        <v>0.81259259259259264</v>
      </c>
      <c r="D196" s="7" t="s">
        <v>25</v>
      </c>
      <c r="E196" s="13" t="s">
        <v>37</v>
      </c>
      <c r="F196" s="16">
        <v>72.396884299999996</v>
      </c>
      <c r="G196" s="129">
        <v>2210.92407</v>
      </c>
      <c r="H196" s="22">
        <v>0</v>
      </c>
      <c r="I196" s="19"/>
      <c r="J196" s="7" t="s">
        <v>20</v>
      </c>
      <c r="K196" s="16"/>
      <c r="L196" s="16"/>
      <c r="M196" s="16"/>
      <c r="N196" s="16"/>
      <c r="O196" s="16"/>
      <c r="P196" s="175"/>
      <c r="R196" s="13" t="s">
        <v>33</v>
      </c>
      <c r="S196" s="22">
        <v>1</v>
      </c>
      <c r="T196" s="19"/>
    </row>
    <row r="197" spans="1:20" x14ac:dyDescent="0.2">
      <c r="A197">
        <v>567</v>
      </c>
      <c r="B197" s="8">
        <v>46203</v>
      </c>
      <c r="C197" s="9">
        <v>0.81282407407407409</v>
      </c>
      <c r="D197" s="7" t="s">
        <v>25</v>
      </c>
      <c r="E197" s="13" t="s">
        <v>33</v>
      </c>
      <c r="F197" s="16">
        <v>83.1317521</v>
      </c>
      <c r="G197" s="129">
        <v>2059.31763</v>
      </c>
      <c r="H197" s="22">
        <v>1</v>
      </c>
      <c r="I197" s="19" t="s">
        <v>39</v>
      </c>
      <c r="J197" s="7" t="s">
        <v>20</v>
      </c>
      <c r="K197" s="16"/>
      <c r="L197" s="16"/>
      <c r="M197" s="16"/>
      <c r="N197" s="16">
        <v>67.655730000000005</v>
      </c>
      <c r="O197" s="16"/>
      <c r="P197" s="175"/>
      <c r="R197" s="13" t="s">
        <v>33</v>
      </c>
      <c r="S197" s="22">
        <v>0</v>
      </c>
      <c r="T197" s="19"/>
    </row>
    <row r="198" spans="1:20" x14ac:dyDescent="0.2">
      <c r="A198">
        <v>568</v>
      </c>
      <c r="B198" s="8">
        <v>46203</v>
      </c>
      <c r="C198" s="9">
        <v>0.81307870370370372</v>
      </c>
      <c r="D198" s="7" t="s">
        <v>25</v>
      </c>
      <c r="E198" s="13" t="s">
        <v>37</v>
      </c>
      <c r="F198" s="16">
        <v>74.937680400000005</v>
      </c>
      <c r="G198" s="129">
        <v>2212.18091</v>
      </c>
      <c r="H198" s="22">
        <v>1</v>
      </c>
      <c r="I198" s="19" t="s">
        <v>45</v>
      </c>
      <c r="J198" s="7" t="s">
        <v>20</v>
      </c>
      <c r="K198" s="16"/>
      <c r="L198" s="16"/>
      <c r="M198" s="16"/>
      <c r="N198" s="16">
        <v>60.7440584</v>
      </c>
      <c r="O198" s="16"/>
      <c r="P198" s="175"/>
      <c r="R198" s="13" t="s">
        <v>33</v>
      </c>
      <c r="S198" s="22">
        <v>0</v>
      </c>
      <c r="T198" s="19"/>
    </row>
    <row r="199" spans="1:20" x14ac:dyDescent="0.2">
      <c r="A199">
        <v>569</v>
      </c>
      <c r="B199" s="8">
        <v>46203</v>
      </c>
      <c r="C199" s="9">
        <v>0.81351851851851853</v>
      </c>
      <c r="D199" s="7" t="s">
        <v>25</v>
      </c>
      <c r="E199" s="13" t="s">
        <v>35</v>
      </c>
      <c r="F199" s="16">
        <v>71.0153198</v>
      </c>
      <c r="G199" s="129">
        <v>1626.31104</v>
      </c>
      <c r="H199" s="22">
        <v>0</v>
      </c>
      <c r="I199" s="19"/>
      <c r="J199" s="7" t="s">
        <v>21</v>
      </c>
      <c r="K199" s="16"/>
      <c r="L199" s="16"/>
      <c r="M199" s="16"/>
      <c r="N199" s="16"/>
      <c r="O199" s="16"/>
      <c r="P199" s="175"/>
      <c r="R199" s="13" t="s">
        <v>33</v>
      </c>
      <c r="S199" s="22">
        <v>1</v>
      </c>
      <c r="T199" s="19" t="s">
        <v>39</v>
      </c>
    </row>
    <row r="200" spans="1:20" x14ac:dyDescent="0.2">
      <c r="A200">
        <v>570</v>
      </c>
      <c r="B200" s="8">
        <v>46203</v>
      </c>
      <c r="C200" s="9">
        <v>0.8137268518518519</v>
      </c>
      <c r="D200" s="7" t="s">
        <v>25</v>
      </c>
      <c r="E200" s="13" t="s">
        <v>33</v>
      </c>
      <c r="F200" s="16">
        <v>84.862675699999997</v>
      </c>
      <c r="G200" s="129">
        <v>2144.15967</v>
      </c>
      <c r="H200" s="22">
        <v>0</v>
      </c>
      <c r="I200" s="19"/>
      <c r="J200" s="7" t="s">
        <v>21</v>
      </c>
      <c r="K200" s="16"/>
      <c r="L200" s="16"/>
      <c r="M200" s="16"/>
      <c r="N200" s="16"/>
      <c r="O200" s="16"/>
      <c r="P200" s="175"/>
      <c r="R200" s="13" t="s">
        <v>33</v>
      </c>
      <c r="S200" s="22">
        <v>0</v>
      </c>
      <c r="T200" s="19"/>
    </row>
    <row r="201" spans="1:20" x14ac:dyDescent="0.2">
      <c r="A201">
        <v>571</v>
      </c>
      <c r="B201" s="8">
        <v>46203</v>
      </c>
      <c r="C201" s="9">
        <v>0.81395833333333334</v>
      </c>
      <c r="D201" s="7" t="s">
        <v>25</v>
      </c>
      <c r="E201" s="13" t="s">
        <v>33</v>
      </c>
      <c r="F201" s="16">
        <v>83.465227100000007</v>
      </c>
      <c r="G201" s="129">
        <v>2085.0402800000002</v>
      </c>
      <c r="H201" s="22">
        <v>1</v>
      </c>
      <c r="I201" s="19" t="s">
        <v>254</v>
      </c>
      <c r="J201" s="7" t="s">
        <v>21</v>
      </c>
      <c r="K201" s="16">
        <v>87.944717600000004</v>
      </c>
      <c r="L201" s="16">
        <v>1.7080053100000001</v>
      </c>
      <c r="M201" s="16">
        <v>4.2708220499999996</v>
      </c>
      <c r="N201" s="16">
        <v>68.667195800000002</v>
      </c>
      <c r="O201" s="16">
        <v>74</v>
      </c>
      <c r="P201" s="175">
        <v>0.85875237000000004</v>
      </c>
      <c r="R201" s="13" t="s">
        <v>33</v>
      </c>
      <c r="S201" s="22">
        <v>1</v>
      </c>
      <c r="T201" s="19" t="s">
        <v>40</v>
      </c>
    </row>
    <row r="202" spans="1:20" x14ac:dyDescent="0.2">
      <c r="A202">
        <v>572</v>
      </c>
      <c r="B202" s="8">
        <v>46203</v>
      </c>
      <c r="C202" s="9">
        <v>0.81473379629629628</v>
      </c>
      <c r="D202" s="7" t="s">
        <v>25</v>
      </c>
      <c r="E202" s="13" t="s">
        <v>33</v>
      </c>
      <c r="F202" s="16">
        <v>81.924873000000005</v>
      </c>
      <c r="G202" s="129">
        <v>1921.7962600000001</v>
      </c>
      <c r="H202" s="22">
        <v>1</v>
      </c>
      <c r="I202" s="19" t="s">
        <v>254</v>
      </c>
      <c r="J202" s="7" t="s">
        <v>27</v>
      </c>
      <c r="K202" s="16">
        <v>96.433075099999996</v>
      </c>
      <c r="L202" s="16">
        <v>-2.9676689999999999</v>
      </c>
      <c r="M202" s="16">
        <v>1.6481438900000001</v>
      </c>
      <c r="N202" s="16">
        <v>66.110438299999998</v>
      </c>
      <c r="O202" s="16">
        <v>31</v>
      </c>
      <c r="P202" s="175">
        <v>0.97496154999999995</v>
      </c>
      <c r="R202" s="13" t="s">
        <v>33</v>
      </c>
      <c r="S202" s="22">
        <v>1</v>
      </c>
      <c r="T202" s="19" t="s">
        <v>40</v>
      </c>
    </row>
    <row r="203" spans="1:20" x14ac:dyDescent="0.2">
      <c r="A203">
        <v>573</v>
      </c>
      <c r="B203" s="8">
        <v>46203</v>
      </c>
      <c r="C203" s="9">
        <v>0.81549768518518517</v>
      </c>
      <c r="D203" s="7" t="s">
        <v>25</v>
      </c>
      <c r="E203" s="13" t="s">
        <v>35</v>
      </c>
      <c r="F203" s="16">
        <v>70.507161300000007</v>
      </c>
      <c r="G203" s="129">
        <v>1677.71399</v>
      </c>
      <c r="H203" s="22">
        <v>0</v>
      </c>
      <c r="I203" s="19"/>
      <c r="J203" s="7" t="s">
        <v>29</v>
      </c>
      <c r="K203" s="16"/>
      <c r="L203" s="16"/>
      <c r="M203" s="16"/>
      <c r="N203" s="16"/>
      <c r="O203" s="16"/>
      <c r="P203" s="175"/>
      <c r="R203" s="13" t="s">
        <v>33</v>
      </c>
      <c r="S203" s="22">
        <v>0</v>
      </c>
      <c r="T203" s="19"/>
    </row>
    <row r="204" spans="1:20" x14ac:dyDescent="0.2">
      <c r="A204">
        <v>574</v>
      </c>
      <c r="B204" s="8">
        <v>46203</v>
      </c>
      <c r="C204" s="9">
        <v>0.81581018518518522</v>
      </c>
      <c r="D204" s="7" t="s">
        <v>25</v>
      </c>
      <c r="E204" s="13" t="s">
        <v>33</v>
      </c>
      <c r="F204" s="16">
        <v>82.575956899999994</v>
      </c>
      <c r="G204" s="129">
        <v>1850.34619</v>
      </c>
      <c r="H204" s="22">
        <v>0</v>
      </c>
      <c r="I204" s="19"/>
      <c r="J204" s="7" t="s">
        <v>29</v>
      </c>
      <c r="K204" s="16"/>
      <c r="L204" s="16"/>
      <c r="M204" s="16"/>
      <c r="N204" s="16"/>
      <c r="O204" s="16"/>
      <c r="P204" s="175"/>
      <c r="R204" s="13" t="s">
        <v>33</v>
      </c>
      <c r="S204" s="22">
        <v>0</v>
      </c>
      <c r="T204" s="19"/>
    </row>
    <row r="205" spans="1:20" x14ac:dyDescent="0.2">
      <c r="A205">
        <v>575</v>
      </c>
      <c r="B205" s="8">
        <v>46203</v>
      </c>
      <c r="C205" s="9">
        <v>0.8160532407407407</v>
      </c>
      <c r="D205" s="7" t="s">
        <v>25</v>
      </c>
      <c r="E205" s="13" t="s">
        <v>33</v>
      </c>
      <c r="F205" s="16">
        <v>83.909872100000001</v>
      </c>
      <c r="G205" s="129">
        <v>1046.72864</v>
      </c>
      <c r="H205" s="22">
        <v>0</v>
      </c>
      <c r="I205" s="19"/>
      <c r="J205" s="7" t="s">
        <v>29</v>
      </c>
      <c r="K205" s="16"/>
      <c r="L205" s="16"/>
      <c r="M205" s="16"/>
      <c r="N205" s="16"/>
      <c r="O205" s="16"/>
      <c r="P205" s="175"/>
      <c r="R205" s="13" t="s">
        <v>33</v>
      </c>
      <c r="S205" s="22">
        <v>1</v>
      </c>
      <c r="T205" s="19" t="s">
        <v>39</v>
      </c>
    </row>
    <row r="206" spans="1:20" x14ac:dyDescent="0.2">
      <c r="A206">
        <v>576</v>
      </c>
      <c r="B206" s="8">
        <v>46203</v>
      </c>
      <c r="C206" s="9">
        <v>0.81630787037037034</v>
      </c>
      <c r="D206" s="7" t="s">
        <v>25</v>
      </c>
      <c r="E206" s="13" t="s">
        <v>37</v>
      </c>
      <c r="F206" s="16">
        <v>70.126041499999999</v>
      </c>
      <c r="G206" s="129">
        <v>1089.3875700000001</v>
      </c>
      <c r="H206" s="22">
        <v>1</v>
      </c>
      <c r="I206" s="19" t="s">
        <v>38</v>
      </c>
      <c r="J206" s="7" t="s">
        <v>29</v>
      </c>
      <c r="K206" s="16">
        <v>71.629430999999997</v>
      </c>
      <c r="L206" s="16">
        <v>49.215469400000003</v>
      </c>
      <c r="M206" s="16">
        <v>41.464122799999998</v>
      </c>
      <c r="N206" s="16">
        <v>60.041649499999998</v>
      </c>
      <c r="O206" s="16">
        <v>239</v>
      </c>
      <c r="P206" s="175">
        <v>0.81032028</v>
      </c>
      <c r="R206" s="13" t="s">
        <v>33</v>
      </c>
      <c r="S206" s="22">
        <v>0</v>
      </c>
      <c r="T206" s="19"/>
    </row>
    <row r="207" spans="1:20" x14ac:dyDescent="0.2">
      <c r="A207">
        <v>577</v>
      </c>
      <c r="B207" s="8">
        <v>46203</v>
      </c>
      <c r="C207" s="9">
        <v>0.81663194444444442</v>
      </c>
      <c r="D207" s="7" t="s">
        <v>25</v>
      </c>
      <c r="E207" s="13" t="s">
        <v>37</v>
      </c>
      <c r="F207" s="16">
        <v>71.0153198</v>
      </c>
      <c r="G207" s="129">
        <v>1974.88318</v>
      </c>
      <c r="H207" s="22">
        <v>1</v>
      </c>
      <c r="I207" s="19" t="s">
        <v>38</v>
      </c>
      <c r="J207" s="7" t="s">
        <v>29</v>
      </c>
      <c r="K207" s="16"/>
      <c r="L207" s="16"/>
      <c r="M207" s="16"/>
      <c r="N207" s="16">
        <v>64.902298900000005</v>
      </c>
      <c r="O207" s="16"/>
      <c r="P207" s="175"/>
      <c r="R207" s="13" t="s">
        <v>33</v>
      </c>
      <c r="S207" s="22">
        <v>0</v>
      </c>
      <c r="T207" s="19"/>
    </row>
    <row r="208" spans="1:20" x14ac:dyDescent="0.2">
      <c r="A208">
        <v>578</v>
      </c>
      <c r="B208" s="8">
        <v>46203</v>
      </c>
      <c r="C208" s="9">
        <v>0.81708333333333338</v>
      </c>
      <c r="D208" s="7" t="s">
        <v>25</v>
      </c>
      <c r="E208" s="13" t="s">
        <v>35</v>
      </c>
      <c r="F208" s="16">
        <v>73.413201099999995</v>
      </c>
      <c r="G208" s="129">
        <v>1682.6293900000001</v>
      </c>
      <c r="H208" s="22">
        <v>1</v>
      </c>
      <c r="I208" s="19" t="s">
        <v>38</v>
      </c>
      <c r="J208" s="7" t="s">
        <v>29</v>
      </c>
      <c r="K208" s="16"/>
      <c r="L208" s="16"/>
      <c r="M208" s="16"/>
      <c r="N208" s="16">
        <v>63.441294499999998</v>
      </c>
      <c r="O208" s="16"/>
      <c r="P208" s="175"/>
      <c r="R208" s="13" t="s">
        <v>33</v>
      </c>
      <c r="S208" s="22">
        <v>1</v>
      </c>
      <c r="T208" s="19" t="s">
        <v>38</v>
      </c>
    </row>
    <row r="209" spans="1:20" x14ac:dyDescent="0.2">
      <c r="A209">
        <v>579</v>
      </c>
      <c r="B209" s="8">
        <v>46203</v>
      </c>
      <c r="C209" s="9">
        <v>0.81759259259259254</v>
      </c>
      <c r="D209" s="7" t="s">
        <v>25</v>
      </c>
      <c r="E209" s="13" t="s">
        <v>37</v>
      </c>
      <c r="F209" s="16">
        <v>73.8102011</v>
      </c>
      <c r="G209" s="129">
        <v>2259.9777800000002</v>
      </c>
      <c r="H209" s="22">
        <v>0</v>
      </c>
      <c r="I209" s="19" t="s">
        <v>48</v>
      </c>
      <c r="J209" s="7" t="s">
        <v>29</v>
      </c>
      <c r="K209" s="16"/>
      <c r="L209" s="16"/>
      <c r="M209" s="16"/>
      <c r="N209" s="16"/>
      <c r="O209" s="16"/>
      <c r="P209" s="175"/>
      <c r="R209" s="13" t="s">
        <v>33</v>
      </c>
      <c r="S209" s="22">
        <v>1</v>
      </c>
      <c r="T209" s="19"/>
    </row>
    <row r="210" spans="1:20" x14ac:dyDescent="0.2">
      <c r="A210">
        <v>580</v>
      </c>
      <c r="B210" s="8">
        <v>46203</v>
      </c>
      <c r="C210" s="9">
        <v>0.81792824074074078</v>
      </c>
      <c r="D210" s="7" t="s">
        <v>25</v>
      </c>
      <c r="E210" s="13" t="s">
        <v>33</v>
      </c>
      <c r="F210" s="16">
        <v>83.211153699999997</v>
      </c>
      <c r="G210" s="129">
        <v>1971.1876199999999</v>
      </c>
      <c r="H210" s="169">
        <v>1</v>
      </c>
      <c r="I210" s="170" t="s">
        <v>39</v>
      </c>
      <c r="J210" s="165" t="s">
        <v>29</v>
      </c>
      <c r="K210" s="16"/>
      <c r="L210" s="16"/>
      <c r="M210" s="16"/>
      <c r="N210" s="16">
        <v>68.723386899999994</v>
      </c>
      <c r="O210" s="16"/>
      <c r="P210" s="175"/>
      <c r="R210" s="13" t="s">
        <v>33</v>
      </c>
      <c r="S210" s="169">
        <v>1</v>
      </c>
      <c r="T210" s="170" t="s">
        <v>39</v>
      </c>
    </row>
    <row r="211" spans="1:20" x14ac:dyDescent="0.2">
      <c r="A211">
        <v>581</v>
      </c>
      <c r="B211" s="8">
        <v>46203</v>
      </c>
      <c r="C211" s="9">
        <v>0.82247685185185182</v>
      </c>
      <c r="D211" s="7" t="s">
        <v>25</v>
      </c>
      <c r="E211" s="13" t="s">
        <v>33</v>
      </c>
      <c r="F211" s="16">
        <v>84.989710000000002</v>
      </c>
      <c r="G211" s="129">
        <v>2203.4814500000002</v>
      </c>
      <c r="H211" s="22">
        <v>0</v>
      </c>
      <c r="I211" s="19"/>
      <c r="J211" s="7" t="s">
        <v>19</v>
      </c>
      <c r="K211" s="16"/>
      <c r="L211" s="16"/>
      <c r="M211" s="16"/>
      <c r="N211" s="16"/>
      <c r="O211" s="16"/>
      <c r="P211" s="175"/>
      <c r="R211" s="13" t="s">
        <v>37</v>
      </c>
      <c r="S211" s="22">
        <v>1</v>
      </c>
      <c r="T211" s="19" t="s">
        <v>39</v>
      </c>
    </row>
    <row r="212" spans="1:20" x14ac:dyDescent="0.2">
      <c r="A212">
        <v>582</v>
      </c>
      <c r="B212" s="8">
        <v>46203</v>
      </c>
      <c r="C212" s="9">
        <v>0.822662037037037</v>
      </c>
      <c r="D212" s="7" t="s">
        <v>25</v>
      </c>
      <c r="E212" s="13" t="s">
        <v>33</v>
      </c>
      <c r="F212" s="16">
        <v>83.766957300000001</v>
      </c>
      <c r="G212" s="129">
        <v>2070.9247999999998</v>
      </c>
      <c r="H212" s="22">
        <v>0</v>
      </c>
      <c r="I212" s="19"/>
      <c r="J212" s="7" t="s">
        <v>19</v>
      </c>
      <c r="K212" s="16"/>
      <c r="L212" s="16"/>
      <c r="M212" s="16"/>
      <c r="N212" s="16"/>
      <c r="O212" s="16"/>
      <c r="P212" s="175"/>
      <c r="R212" s="13" t="s">
        <v>37</v>
      </c>
      <c r="S212" s="22">
        <v>1</v>
      </c>
      <c r="T212" s="19" t="s">
        <v>40</v>
      </c>
    </row>
    <row r="213" spans="1:20" x14ac:dyDescent="0.2">
      <c r="A213">
        <v>583</v>
      </c>
      <c r="B213" s="8">
        <v>46203</v>
      </c>
      <c r="C213" s="9">
        <v>0.82285879629629632</v>
      </c>
      <c r="D213" s="7" t="s">
        <v>25</v>
      </c>
      <c r="E213" s="13" t="s">
        <v>37</v>
      </c>
      <c r="F213" s="16">
        <v>71.936362700000004</v>
      </c>
      <c r="G213" s="129">
        <v>1098.65356</v>
      </c>
      <c r="H213" s="22">
        <v>0</v>
      </c>
      <c r="I213" s="19"/>
      <c r="J213" s="7" t="s">
        <v>19</v>
      </c>
      <c r="K213" s="16"/>
      <c r="L213" s="16"/>
      <c r="M213" s="16"/>
      <c r="N213" s="16"/>
      <c r="O213" s="16"/>
      <c r="P213" s="175"/>
      <c r="R213" s="13" t="s">
        <v>37</v>
      </c>
      <c r="S213" s="22">
        <v>0</v>
      </c>
      <c r="T213" s="19"/>
    </row>
    <row r="214" spans="1:20" x14ac:dyDescent="0.2">
      <c r="A214">
        <v>584</v>
      </c>
      <c r="B214" s="8">
        <v>46203</v>
      </c>
      <c r="C214" s="9">
        <v>0.82306712962962958</v>
      </c>
      <c r="D214" s="7" t="s">
        <v>25</v>
      </c>
      <c r="E214" s="13" t="s">
        <v>33</v>
      </c>
      <c r="F214" s="16">
        <v>84.846795499999999</v>
      </c>
      <c r="G214" s="129">
        <v>2106.3186000000001</v>
      </c>
      <c r="H214" s="22">
        <v>1</v>
      </c>
      <c r="I214" s="19" t="s">
        <v>38</v>
      </c>
      <c r="J214" s="7" t="s">
        <v>19</v>
      </c>
      <c r="K214" s="16"/>
      <c r="L214" s="16"/>
      <c r="M214" s="16"/>
      <c r="N214" s="16">
        <v>65.183264100000002</v>
      </c>
      <c r="O214" s="16"/>
      <c r="P214" s="175"/>
      <c r="R214" s="13" t="s">
        <v>37</v>
      </c>
      <c r="S214" s="22">
        <v>1</v>
      </c>
      <c r="T214" s="19" t="s">
        <v>45</v>
      </c>
    </row>
    <row r="215" spans="1:20" x14ac:dyDescent="0.2">
      <c r="A215">
        <v>585</v>
      </c>
      <c r="B215" s="8">
        <v>46203</v>
      </c>
      <c r="C215" s="9">
        <v>0.82343750000000004</v>
      </c>
      <c r="D215" s="7" t="s">
        <v>25</v>
      </c>
      <c r="E215" s="13" t="s">
        <v>35</v>
      </c>
      <c r="F215" s="16">
        <v>74.556560399999995</v>
      </c>
      <c r="G215" s="129">
        <v>2130.9709499999999</v>
      </c>
      <c r="H215" s="22">
        <v>1</v>
      </c>
      <c r="I215" s="19" t="s">
        <v>255</v>
      </c>
      <c r="J215" s="7" t="s">
        <v>19</v>
      </c>
      <c r="K215" s="16">
        <v>68.990152899999998</v>
      </c>
      <c r="L215" s="16">
        <v>2.9773340199999998</v>
      </c>
      <c r="M215" s="16">
        <v>-34.243118000000003</v>
      </c>
      <c r="N215" s="16">
        <v>60.294519000000001</v>
      </c>
      <c r="O215" s="16">
        <v>62</v>
      </c>
      <c r="P215" s="175">
        <v>0.76443092000000001</v>
      </c>
      <c r="R215" s="13" t="s">
        <v>37</v>
      </c>
      <c r="S215" s="22">
        <v>1</v>
      </c>
      <c r="T215" s="19" t="s">
        <v>38</v>
      </c>
    </row>
    <row r="216" spans="1:20" x14ac:dyDescent="0.2">
      <c r="A216">
        <v>586</v>
      </c>
      <c r="B216" s="8">
        <v>46203</v>
      </c>
      <c r="C216" s="9">
        <v>0.82387731481481485</v>
      </c>
      <c r="D216" s="7" t="s">
        <v>25</v>
      </c>
      <c r="E216" s="13" t="s">
        <v>37</v>
      </c>
      <c r="F216" s="16">
        <v>71.205879699999997</v>
      </c>
      <c r="G216" s="129">
        <v>2188.6169399999999</v>
      </c>
      <c r="H216" s="22">
        <v>0</v>
      </c>
      <c r="I216" s="19"/>
      <c r="J216" s="7" t="s">
        <v>17</v>
      </c>
      <c r="K216" s="16"/>
      <c r="L216" s="16"/>
      <c r="M216" s="16"/>
      <c r="N216" s="16"/>
      <c r="O216" s="16"/>
      <c r="P216" s="175"/>
      <c r="R216" s="13" t="s">
        <v>37</v>
      </c>
      <c r="S216" s="22">
        <v>1</v>
      </c>
      <c r="T216" s="19" t="s">
        <v>38</v>
      </c>
    </row>
    <row r="217" spans="1:20" x14ac:dyDescent="0.2">
      <c r="A217">
        <v>587</v>
      </c>
      <c r="B217" s="8">
        <v>46203</v>
      </c>
      <c r="C217" s="9">
        <v>0.82412037037037034</v>
      </c>
      <c r="D217" s="7" t="s">
        <v>25</v>
      </c>
      <c r="E217" s="13" t="s">
        <v>33</v>
      </c>
      <c r="F217" s="16">
        <v>82.178956700000001</v>
      </c>
      <c r="G217" s="129">
        <v>2052.1660200000001</v>
      </c>
      <c r="H217" s="22">
        <v>1</v>
      </c>
      <c r="I217" s="19"/>
      <c r="J217" s="7" t="s">
        <v>17</v>
      </c>
      <c r="K217" s="16"/>
      <c r="L217" s="16"/>
      <c r="M217" s="16"/>
      <c r="N217" s="16"/>
      <c r="O217" s="16"/>
      <c r="P217" s="175"/>
      <c r="R217" s="13" t="s">
        <v>37</v>
      </c>
      <c r="S217" s="22">
        <v>0</v>
      </c>
      <c r="T217" s="19" t="s">
        <v>48</v>
      </c>
    </row>
    <row r="218" spans="1:20" x14ac:dyDescent="0.2">
      <c r="A218">
        <v>588</v>
      </c>
      <c r="B218" s="8">
        <v>46203</v>
      </c>
      <c r="C218" s="9">
        <v>0.82443287037037039</v>
      </c>
      <c r="D218" s="7" t="s">
        <v>25</v>
      </c>
      <c r="E218" s="13" t="s">
        <v>35</v>
      </c>
      <c r="F218" s="16">
        <v>72.222200400000006</v>
      </c>
      <c r="G218" s="129">
        <v>1512.57007</v>
      </c>
      <c r="H218" s="22">
        <v>1</v>
      </c>
      <c r="I218" s="19" t="s">
        <v>255</v>
      </c>
      <c r="J218" s="7" t="s">
        <v>17</v>
      </c>
      <c r="K218" s="16">
        <v>88.520847399999994</v>
      </c>
      <c r="L218" s="16">
        <v>24.796432500000002</v>
      </c>
      <c r="M218" s="16">
        <v>-2.6977571999999999</v>
      </c>
      <c r="N218" s="16">
        <v>61.193597699999998</v>
      </c>
      <c r="O218" s="16">
        <v>281</v>
      </c>
      <c r="P218" s="175">
        <v>0.97852234000000005</v>
      </c>
      <c r="R218" s="13" t="s">
        <v>37</v>
      </c>
      <c r="S218" s="22">
        <v>0</v>
      </c>
      <c r="T218" s="19"/>
    </row>
    <row r="219" spans="1:20" x14ac:dyDescent="0.2">
      <c r="A219">
        <v>589</v>
      </c>
      <c r="B219" s="8">
        <v>46203</v>
      </c>
      <c r="C219" s="9">
        <v>0.82505787037037037</v>
      </c>
      <c r="D219" s="7" t="s">
        <v>25</v>
      </c>
      <c r="E219" s="13" t="s">
        <v>37</v>
      </c>
      <c r="F219" s="16">
        <v>72.841516999999996</v>
      </c>
      <c r="G219" s="129">
        <v>2227.0239299999998</v>
      </c>
      <c r="H219" s="22">
        <v>1</v>
      </c>
      <c r="I219" s="19" t="s">
        <v>39</v>
      </c>
      <c r="J219" s="7" t="s">
        <v>23</v>
      </c>
      <c r="K219" s="16"/>
      <c r="L219" s="16"/>
      <c r="M219" s="16"/>
      <c r="N219" s="16">
        <v>55.405773000000003</v>
      </c>
      <c r="O219" s="16"/>
      <c r="P219" s="175"/>
      <c r="R219" s="13" t="s">
        <v>37</v>
      </c>
      <c r="S219" s="22">
        <v>0</v>
      </c>
      <c r="T219" s="19"/>
    </row>
    <row r="220" spans="1:20" x14ac:dyDescent="0.2">
      <c r="A220">
        <v>590</v>
      </c>
      <c r="B220" s="8">
        <v>46203</v>
      </c>
      <c r="C220" s="9">
        <v>0.82540509259259254</v>
      </c>
      <c r="D220" s="7" t="s">
        <v>25</v>
      </c>
      <c r="E220" s="13" t="s">
        <v>33</v>
      </c>
      <c r="F220" s="16">
        <v>87.085873300000003</v>
      </c>
      <c r="G220" s="129">
        <v>2107.5517599999998</v>
      </c>
      <c r="H220" s="22">
        <v>1</v>
      </c>
      <c r="I220" s="19" t="s">
        <v>39</v>
      </c>
      <c r="J220" s="7" t="s">
        <v>23</v>
      </c>
      <c r="K220" s="16"/>
      <c r="L220" s="16"/>
      <c r="M220" s="16"/>
      <c r="N220" s="16">
        <v>57.428700900000003</v>
      </c>
      <c r="O220" s="16"/>
      <c r="P220" s="175"/>
      <c r="R220" s="13" t="s">
        <v>37</v>
      </c>
      <c r="S220" s="22">
        <v>1</v>
      </c>
      <c r="T220" s="19" t="s">
        <v>39</v>
      </c>
    </row>
    <row r="221" spans="1:20" x14ac:dyDescent="0.2">
      <c r="A221">
        <v>591</v>
      </c>
      <c r="B221" s="8">
        <v>46203</v>
      </c>
      <c r="C221" s="9">
        <v>0.82567129629629632</v>
      </c>
      <c r="D221" s="7" t="s">
        <v>25</v>
      </c>
      <c r="E221" s="13" t="s">
        <v>37</v>
      </c>
      <c r="F221" s="16">
        <v>74.064279900000002</v>
      </c>
      <c r="G221" s="129">
        <v>2330.9746100000002</v>
      </c>
      <c r="H221" s="22">
        <v>1</v>
      </c>
      <c r="I221" s="19" t="s">
        <v>45</v>
      </c>
      <c r="J221" s="7" t="s">
        <v>23</v>
      </c>
      <c r="K221" s="16"/>
      <c r="L221" s="16"/>
      <c r="M221" s="16"/>
      <c r="N221" s="16">
        <v>56.473430800000003</v>
      </c>
      <c r="O221" s="16"/>
      <c r="P221" s="177"/>
      <c r="R221" s="13" t="s">
        <v>37</v>
      </c>
      <c r="S221" s="22">
        <v>1</v>
      </c>
      <c r="T221" s="19" t="s">
        <v>45</v>
      </c>
    </row>
    <row r="222" spans="1:20" s="114" customFormat="1" x14ac:dyDescent="0.2">
      <c r="A222" s="114">
        <v>758</v>
      </c>
      <c r="B222" s="108">
        <v>46214</v>
      </c>
      <c r="C222" s="109">
        <v>0.52620370370370373</v>
      </c>
      <c r="D222" s="107" t="s">
        <v>25</v>
      </c>
      <c r="E222" s="110" t="s">
        <v>33</v>
      </c>
      <c r="F222" s="111">
        <v>82.941196399999995</v>
      </c>
      <c r="G222" s="228">
        <v>1990.0167200000001</v>
      </c>
      <c r="H222" s="113">
        <v>1</v>
      </c>
      <c r="I222" s="112" t="s">
        <v>254</v>
      </c>
      <c r="J222" s="107" t="s">
        <v>17</v>
      </c>
      <c r="K222" s="111">
        <v>90.441464999999994</v>
      </c>
      <c r="L222" s="111">
        <v>20.070630999999999</v>
      </c>
      <c r="M222" s="111">
        <v>15.449937800000001</v>
      </c>
      <c r="N222" s="111">
        <v>62.783940700000002</v>
      </c>
      <c r="O222" s="111">
        <v>265</v>
      </c>
      <c r="P222" s="230">
        <v>0.87927016999999996</v>
      </c>
      <c r="R222" s="110" t="s">
        <v>35</v>
      </c>
      <c r="S222" s="113">
        <v>0</v>
      </c>
      <c r="T222" s="112"/>
    </row>
    <row r="223" spans="1:20" x14ac:dyDescent="0.2">
      <c r="A223">
        <v>759</v>
      </c>
      <c r="B223" s="8">
        <v>46214</v>
      </c>
      <c r="C223" s="9">
        <v>0.52668981481481481</v>
      </c>
      <c r="D223" s="7" t="s">
        <v>25</v>
      </c>
      <c r="E223" s="13" t="s">
        <v>35</v>
      </c>
      <c r="F223" s="16">
        <v>70.681840899999997</v>
      </c>
      <c r="G223" s="129">
        <v>1714.37878</v>
      </c>
      <c r="H223" s="22">
        <v>0</v>
      </c>
      <c r="I223" s="19"/>
      <c r="J223" s="7" t="s">
        <v>21</v>
      </c>
      <c r="K223" s="16"/>
      <c r="L223" s="16"/>
      <c r="M223" s="16"/>
      <c r="N223" s="16"/>
      <c r="O223" s="16"/>
      <c r="P223" s="175"/>
      <c r="R223" s="13" t="s">
        <v>35</v>
      </c>
      <c r="S223" s="22">
        <v>1</v>
      </c>
      <c r="T223" s="19" t="s">
        <v>38</v>
      </c>
    </row>
    <row r="224" spans="1:20" x14ac:dyDescent="0.2">
      <c r="A224">
        <v>760</v>
      </c>
      <c r="B224" s="8">
        <v>46214</v>
      </c>
      <c r="C224" s="9">
        <v>0.52690972222222221</v>
      </c>
      <c r="D224" s="7" t="s">
        <v>25</v>
      </c>
      <c r="E224" s="13" t="s">
        <v>33</v>
      </c>
      <c r="F224" s="16">
        <v>83.766957300000001</v>
      </c>
      <c r="G224" s="129">
        <v>1918.4816900000001</v>
      </c>
      <c r="H224" s="22">
        <v>0</v>
      </c>
      <c r="I224" s="19"/>
      <c r="J224" s="7" t="s">
        <v>21</v>
      </c>
      <c r="K224" s="16"/>
      <c r="L224" s="16"/>
      <c r="M224" s="16"/>
      <c r="N224" s="16"/>
      <c r="O224" s="16"/>
      <c r="P224" s="175"/>
      <c r="R224" s="13" t="s">
        <v>33</v>
      </c>
      <c r="S224" s="22">
        <v>1</v>
      </c>
      <c r="T224" s="19" t="s">
        <v>40</v>
      </c>
    </row>
    <row r="225" spans="1:20" x14ac:dyDescent="0.2">
      <c r="A225">
        <v>761</v>
      </c>
      <c r="B225" s="8">
        <v>46214</v>
      </c>
      <c r="C225" s="9">
        <v>0.52724537037037034</v>
      </c>
      <c r="D225" s="7" t="s">
        <v>25</v>
      </c>
      <c r="E225" s="13" t="s">
        <v>33</v>
      </c>
      <c r="F225" s="16">
        <v>81.988392599999997</v>
      </c>
      <c r="G225" s="129">
        <v>1842.61438</v>
      </c>
      <c r="H225" s="22">
        <v>0</v>
      </c>
      <c r="I225" s="19"/>
      <c r="J225" s="7" t="s">
        <v>21</v>
      </c>
      <c r="K225" s="16"/>
      <c r="L225" s="16"/>
      <c r="M225" s="16"/>
      <c r="N225" s="16"/>
      <c r="O225" s="16"/>
      <c r="P225" s="175"/>
      <c r="R225" s="13" t="s">
        <v>33</v>
      </c>
      <c r="S225" s="22">
        <v>0</v>
      </c>
      <c r="T225" s="19"/>
    </row>
    <row r="226" spans="1:20" x14ac:dyDescent="0.2">
      <c r="A226">
        <v>762</v>
      </c>
      <c r="B226" s="8">
        <v>46214</v>
      </c>
      <c r="C226" s="9">
        <v>0.52743055555555551</v>
      </c>
      <c r="D226" s="7" t="s">
        <v>25</v>
      </c>
      <c r="E226" s="13" t="s">
        <v>37</v>
      </c>
      <c r="F226" s="16">
        <v>69.363802000000007</v>
      </c>
      <c r="G226" s="129">
        <v>2066.8046899999999</v>
      </c>
      <c r="H226" s="22">
        <v>1</v>
      </c>
      <c r="I226" s="19"/>
      <c r="J226" s="7" t="s">
        <v>21</v>
      </c>
      <c r="K226" s="16"/>
      <c r="L226" s="16"/>
      <c r="M226" s="16"/>
      <c r="N226" s="16"/>
      <c r="O226" s="16"/>
      <c r="P226" s="175"/>
      <c r="R226" s="13" t="s">
        <v>33</v>
      </c>
      <c r="S226" s="22">
        <v>0</v>
      </c>
      <c r="T226" s="19"/>
    </row>
    <row r="227" spans="1:20" x14ac:dyDescent="0.2">
      <c r="A227">
        <v>763</v>
      </c>
      <c r="B227" s="8">
        <v>46214</v>
      </c>
      <c r="C227" s="9">
        <v>0.52761574074074069</v>
      </c>
      <c r="D227" s="7" t="s">
        <v>25</v>
      </c>
      <c r="E227" s="13" t="s">
        <v>37</v>
      </c>
      <c r="F227" s="16">
        <v>71.999884100000003</v>
      </c>
      <c r="G227" s="129">
        <v>2141.1616199999999</v>
      </c>
      <c r="H227" s="22">
        <v>0</v>
      </c>
      <c r="I227" s="19" t="s">
        <v>48</v>
      </c>
      <c r="J227" s="7" t="s">
        <v>21</v>
      </c>
      <c r="K227" s="16"/>
      <c r="L227" s="16"/>
      <c r="M227" s="16"/>
      <c r="N227" s="16"/>
      <c r="O227" s="16"/>
      <c r="P227" s="175"/>
      <c r="R227" s="13" t="s">
        <v>33</v>
      </c>
      <c r="S227" s="22">
        <v>0</v>
      </c>
      <c r="T227" s="19"/>
    </row>
    <row r="228" spans="1:20" x14ac:dyDescent="0.2">
      <c r="A228">
        <v>764</v>
      </c>
      <c r="B228" s="8">
        <v>46214</v>
      </c>
      <c r="C228" s="9">
        <v>0.52785879629629628</v>
      </c>
      <c r="D228" s="7" t="s">
        <v>25</v>
      </c>
      <c r="E228" s="13" t="s">
        <v>33</v>
      </c>
      <c r="F228" s="16">
        <v>83.004717799999995</v>
      </c>
      <c r="G228" s="129">
        <v>1815.1254899999999</v>
      </c>
      <c r="H228" s="22">
        <v>0</v>
      </c>
      <c r="I228" s="19"/>
      <c r="J228" s="7" t="s">
        <v>21</v>
      </c>
      <c r="K228" s="16"/>
      <c r="L228" s="16"/>
      <c r="M228" s="16"/>
      <c r="N228" s="16"/>
      <c r="O228" s="16"/>
      <c r="P228" s="175"/>
      <c r="R228" s="13" t="s">
        <v>33</v>
      </c>
      <c r="S228" s="22">
        <v>1</v>
      </c>
      <c r="T228" s="19" t="s">
        <v>40</v>
      </c>
    </row>
    <row r="229" spans="1:20" x14ac:dyDescent="0.2">
      <c r="A229">
        <v>765</v>
      </c>
      <c r="B229" s="8">
        <v>46214</v>
      </c>
      <c r="C229" s="9">
        <v>0.52836805555555555</v>
      </c>
      <c r="D229" s="7" t="s">
        <v>25</v>
      </c>
      <c r="E229" s="13" t="s">
        <v>33</v>
      </c>
      <c r="F229" s="16">
        <v>84.227470400000001</v>
      </c>
      <c r="G229" s="129">
        <v>1885.98279</v>
      </c>
      <c r="H229" s="22">
        <v>1</v>
      </c>
      <c r="I229" s="19" t="s">
        <v>255</v>
      </c>
      <c r="J229" s="7" t="s">
        <v>27</v>
      </c>
      <c r="K229" s="16">
        <v>46.824439099999999</v>
      </c>
      <c r="L229" s="16">
        <v>20.058111199999999</v>
      </c>
      <c r="M229" s="16"/>
      <c r="N229" s="16">
        <v>69.079197300000004</v>
      </c>
      <c r="O229" s="16"/>
      <c r="P229" s="175">
        <v>0.42363335000000002</v>
      </c>
      <c r="R229" s="13" t="s">
        <v>33</v>
      </c>
      <c r="S229" s="22">
        <v>1</v>
      </c>
      <c r="T229" s="19"/>
    </row>
    <row r="230" spans="1:20" x14ac:dyDescent="0.2">
      <c r="A230">
        <v>766</v>
      </c>
      <c r="B230" s="8">
        <v>46214</v>
      </c>
      <c r="C230" s="9">
        <v>0.52888888888888885</v>
      </c>
      <c r="D230" s="7" t="s">
        <v>25</v>
      </c>
      <c r="E230" s="13" t="s">
        <v>33</v>
      </c>
      <c r="F230" s="16">
        <v>83.703435999999996</v>
      </c>
      <c r="G230" s="129">
        <v>1874.86572</v>
      </c>
      <c r="H230" s="22">
        <v>1</v>
      </c>
      <c r="I230" s="19"/>
      <c r="J230" s="7" t="s">
        <v>19</v>
      </c>
      <c r="K230" s="16"/>
      <c r="L230" s="16"/>
      <c r="M230" s="16"/>
      <c r="N230" s="16"/>
      <c r="O230" s="16"/>
      <c r="P230" s="175"/>
      <c r="R230" s="13" t="s">
        <v>33</v>
      </c>
      <c r="S230" s="22">
        <v>0</v>
      </c>
      <c r="T230" s="19"/>
    </row>
    <row r="231" spans="1:20" x14ac:dyDescent="0.2">
      <c r="A231">
        <v>767</v>
      </c>
      <c r="B231" s="8">
        <v>46214</v>
      </c>
      <c r="C231" s="9">
        <v>0.52918981481481486</v>
      </c>
      <c r="D231" s="7" t="s">
        <v>25</v>
      </c>
      <c r="E231" s="13" t="s">
        <v>33</v>
      </c>
      <c r="F231" s="16">
        <v>84.799154299999998</v>
      </c>
      <c r="G231" s="129">
        <v>1856.7346199999999</v>
      </c>
      <c r="H231" s="22">
        <v>0</v>
      </c>
      <c r="I231" s="19"/>
      <c r="J231" s="7" t="s">
        <v>19</v>
      </c>
      <c r="K231" s="16"/>
      <c r="L231" s="16"/>
      <c r="M231" s="16"/>
      <c r="N231" s="16"/>
      <c r="O231" s="16"/>
      <c r="P231" s="175"/>
      <c r="R231" s="13" t="s">
        <v>33</v>
      </c>
      <c r="S231" s="22">
        <v>1</v>
      </c>
      <c r="T231" s="19" t="s">
        <v>45</v>
      </c>
    </row>
    <row r="232" spans="1:20" x14ac:dyDescent="0.2">
      <c r="A232">
        <v>768</v>
      </c>
      <c r="B232" s="8">
        <v>46214</v>
      </c>
      <c r="C232" s="9">
        <v>0.52949074074074076</v>
      </c>
      <c r="D232" s="7" t="s">
        <v>25</v>
      </c>
      <c r="E232" s="13" t="s">
        <v>37</v>
      </c>
      <c r="F232" s="16">
        <v>73.746679700000001</v>
      </c>
      <c r="G232" s="129">
        <v>2240.2294900000002</v>
      </c>
      <c r="H232" s="22">
        <v>1</v>
      </c>
      <c r="I232" s="19" t="s">
        <v>39</v>
      </c>
      <c r="J232" s="7" t="s">
        <v>19</v>
      </c>
      <c r="K232" s="16"/>
      <c r="L232" s="16"/>
      <c r="M232" s="16"/>
      <c r="N232" s="16">
        <v>57.669043600000002</v>
      </c>
      <c r="O232" s="16"/>
      <c r="P232" s="175"/>
      <c r="R232" s="13" t="s">
        <v>33</v>
      </c>
      <c r="S232" s="22">
        <v>0</v>
      </c>
      <c r="T232" s="19"/>
    </row>
    <row r="233" spans="1:20" x14ac:dyDescent="0.2">
      <c r="A233">
        <v>769</v>
      </c>
      <c r="B233" s="8">
        <v>46214</v>
      </c>
      <c r="C233" s="9">
        <v>0.52995370370370365</v>
      </c>
      <c r="D233" s="7" t="s">
        <v>25</v>
      </c>
      <c r="E233" s="13" t="s">
        <v>37</v>
      </c>
      <c r="F233" s="16">
        <v>75.128236000000001</v>
      </c>
      <c r="G233" s="129">
        <v>2210.5061000000001</v>
      </c>
      <c r="H233" s="22">
        <v>0</v>
      </c>
      <c r="I233" s="19"/>
      <c r="J233" s="7" t="s">
        <v>19</v>
      </c>
      <c r="K233" s="16"/>
      <c r="L233" s="16"/>
      <c r="M233" s="16"/>
      <c r="N233" s="16"/>
      <c r="O233" s="16"/>
      <c r="P233" s="175"/>
      <c r="R233" s="13" t="s">
        <v>33</v>
      </c>
      <c r="S233" s="22">
        <v>1</v>
      </c>
      <c r="T233" s="19" t="s">
        <v>45</v>
      </c>
    </row>
    <row r="234" spans="1:20" x14ac:dyDescent="0.2">
      <c r="A234">
        <v>770</v>
      </c>
      <c r="B234" s="8">
        <v>46214</v>
      </c>
      <c r="C234" s="9">
        <v>0.53043981481481484</v>
      </c>
      <c r="D234" s="7" t="s">
        <v>25</v>
      </c>
      <c r="E234" s="13" t="s">
        <v>33</v>
      </c>
      <c r="F234" s="16">
        <v>84.608590199999995</v>
      </c>
      <c r="G234" s="129">
        <v>1924.0063500000001</v>
      </c>
      <c r="H234" s="22">
        <v>1</v>
      </c>
      <c r="I234" s="19" t="s">
        <v>45</v>
      </c>
      <c r="J234" s="7" t="s">
        <v>19</v>
      </c>
      <c r="K234" s="16"/>
      <c r="L234" s="16"/>
      <c r="M234" s="16"/>
      <c r="N234" s="16">
        <v>65.5943228</v>
      </c>
      <c r="O234" s="16"/>
      <c r="P234" s="175"/>
      <c r="R234" s="13" t="s">
        <v>33</v>
      </c>
      <c r="S234" s="22">
        <v>1</v>
      </c>
      <c r="T234" s="19" t="s">
        <v>40</v>
      </c>
    </row>
    <row r="235" spans="1:20" x14ac:dyDescent="0.2">
      <c r="A235">
        <v>771</v>
      </c>
      <c r="B235" s="8">
        <v>46214</v>
      </c>
      <c r="C235" s="9">
        <v>0.53081018518518519</v>
      </c>
      <c r="D235" s="7" t="s">
        <v>25</v>
      </c>
      <c r="E235" s="13" t="s">
        <v>37</v>
      </c>
      <c r="F235" s="16">
        <v>73.095602499999998</v>
      </c>
      <c r="G235" s="129">
        <v>1638.3606</v>
      </c>
      <c r="H235" s="22">
        <v>1</v>
      </c>
      <c r="I235" s="19" t="s">
        <v>39</v>
      </c>
      <c r="J235" s="7" t="s">
        <v>29</v>
      </c>
      <c r="K235" s="16"/>
      <c r="L235" s="16"/>
      <c r="M235" s="16"/>
      <c r="N235" s="16">
        <v>63.964300199999997</v>
      </c>
      <c r="O235" s="16"/>
      <c r="P235" s="175"/>
      <c r="R235" s="13" t="s">
        <v>33</v>
      </c>
      <c r="S235" s="22">
        <v>1</v>
      </c>
      <c r="T235" s="19"/>
    </row>
    <row r="236" spans="1:20" x14ac:dyDescent="0.2">
      <c r="A236">
        <v>772</v>
      </c>
      <c r="B236" s="8">
        <v>46214</v>
      </c>
      <c r="C236" s="9">
        <v>0.53104166666666663</v>
      </c>
      <c r="D236" s="7" t="s">
        <v>25</v>
      </c>
      <c r="E236" s="13" t="s">
        <v>37</v>
      </c>
      <c r="F236" s="16">
        <v>73.619636999999997</v>
      </c>
      <c r="G236" s="129">
        <v>1124.6063200000001</v>
      </c>
      <c r="H236" s="22">
        <v>1</v>
      </c>
      <c r="I236" s="19"/>
      <c r="J236" s="7" t="s">
        <v>29</v>
      </c>
      <c r="K236" s="16"/>
      <c r="L236" s="16"/>
      <c r="M236" s="16"/>
      <c r="N236" s="16"/>
      <c r="O236" s="16"/>
      <c r="P236" s="175"/>
      <c r="R236" s="13" t="s">
        <v>33</v>
      </c>
      <c r="S236" s="22">
        <v>1</v>
      </c>
      <c r="T236" s="19" t="s">
        <v>38</v>
      </c>
    </row>
    <row r="237" spans="1:20" x14ac:dyDescent="0.2">
      <c r="A237">
        <v>773</v>
      </c>
      <c r="B237" s="8">
        <v>46214</v>
      </c>
      <c r="C237" s="9">
        <v>0.53151620370370367</v>
      </c>
      <c r="D237" s="7" t="s">
        <v>25</v>
      </c>
      <c r="E237" s="13" t="s">
        <v>33</v>
      </c>
      <c r="F237" s="16">
        <v>86.196590799999996</v>
      </c>
      <c r="G237" s="129">
        <v>2101.3122600000002</v>
      </c>
      <c r="H237" s="22">
        <v>0</v>
      </c>
      <c r="I237" s="19"/>
      <c r="J237" s="7" t="s">
        <v>29</v>
      </c>
      <c r="K237" s="16"/>
      <c r="L237" s="16"/>
      <c r="M237" s="16"/>
      <c r="N237" s="16"/>
      <c r="O237" s="16"/>
      <c r="P237" s="175"/>
      <c r="R237" s="13" t="s">
        <v>33</v>
      </c>
      <c r="S237" s="22">
        <v>1</v>
      </c>
      <c r="T237" s="19" t="s">
        <v>45</v>
      </c>
    </row>
    <row r="238" spans="1:20" x14ac:dyDescent="0.2">
      <c r="A238">
        <v>774</v>
      </c>
      <c r="B238" s="8">
        <v>46214</v>
      </c>
      <c r="C238" s="9">
        <v>0.53180555555555553</v>
      </c>
      <c r="D238" s="7" t="s">
        <v>25</v>
      </c>
      <c r="E238" s="13" t="s">
        <v>37</v>
      </c>
      <c r="F238" s="16">
        <v>74.556560399999995</v>
      </c>
      <c r="G238" s="129">
        <v>2208.3037100000001</v>
      </c>
      <c r="H238" s="22">
        <v>0</v>
      </c>
      <c r="I238" s="19"/>
      <c r="J238" s="7" t="s">
        <v>29</v>
      </c>
      <c r="K238" s="16"/>
      <c r="L238" s="16"/>
      <c r="M238" s="16"/>
      <c r="N238" s="16"/>
      <c r="O238" s="16"/>
      <c r="P238" s="175"/>
      <c r="R238" s="13" t="s">
        <v>33</v>
      </c>
      <c r="S238" s="22">
        <v>1</v>
      </c>
      <c r="T238" s="19" t="s">
        <v>38</v>
      </c>
    </row>
    <row r="239" spans="1:20" x14ac:dyDescent="0.2">
      <c r="A239">
        <v>775</v>
      </c>
      <c r="B239" s="8">
        <v>46214</v>
      </c>
      <c r="C239" s="9">
        <v>0.53212962962962962</v>
      </c>
      <c r="D239" s="7" t="s">
        <v>25</v>
      </c>
      <c r="E239" s="13" t="s">
        <v>33</v>
      </c>
      <c r="F239" s="16">
        <v>86.958830599999999</v>
      </c>
      <c r="G239" s="129">
        <v>2032.6457499999999</v>
      </c>
      <c r="H239" s="169">
        <v>1</v>
      </c>
      <c r="I239" s="170" t="s">
        <v>45</v>
      </c>
      <c r="J239" s="165" t="s">
        <v>29</v>
      </c>
      <c r="K239" s="16"/>
      <c r="L239" s="16"/>
      <c r="M239" s="16"/>
      <c r="N239" s="16">
        <v>70.934049200000004</v>
      </c>
      <c r="O239" s="16"/>
      <c r="P239" s="175"/>
      <c r="R239" s="13" t="s">
        <v>33</v>
      </c>
      <c r="S239" s="169">
        <v>1</v>
      </c>
      <c r="T239" s="170" t="s">
        <v>38</v>
      </c>
    </row>
    <row r="240" spans="1:20" x14ac:dyDescent="0.2">
      <c r="A240">
        <v>776</v>
      </c>
      <c r="B240" s="8">
        <v>46214</v>
      </c>
      <c r="C240" s="9">
        <v>0.5364930555555556</v>
      </c>
      <c r="D240" s="7" t="s">
        <v>25</v>
      </c>
      <c r="E240" s="13" t="s">
        <v>33</v>
      </c>
      <c r="F240" s="16">
        <v>82.623597799999999</v>
      </c>
      <c r="G240" s="129">
        <v>1947.26917</v>
      </c>
      <c r="H240" s="22">
        <v>1</v>
      </c>
      <c r="I240" s="19" t="s">
        <v>254</v>
      </c>
      <c r="J240" s="7" t="s">
        <v>21</v>
      </c>
      <c r="K240" s="16">
        <v>88.172503699999993</v>
      </c>
      <c r="L240" s="16">
        <v>24.320169400000001</v>
      </c>
      <c r="M240" s="16">
        <v>-23.256710000000002</v>
      </c>
      <c r="N240" s="16">
        <v>68.741951</v>
      </c>
      <c r="O240" s="16">
        <v>282</v>
      </c>
      <c r="P240" s="175">
        <v>0.80327766</v>
      </c>
      <c r="R240" s="13" t="s">
        <v>33</v>
      </c>
      <c r="S240" s="22">
        <v>0</v>
      </c>
      <c r="T240" s="19"/>
    </row>
    <row r="241" spans="1:20" x14ac:dyDescent="0.2">
      <c r="A241">
        <v>777</v>
      </c>
      <c r="B241" s="8">
        <v>46214</v>
      </c>
      <c r="C241" s="9">
        <v>0.53738425925925926</v>
      </c>
      <c r="D241" s="7" t="s">
        <v>25</v>
      </c>
      <c r="E241" s="13" t="s">
        <v>33</v>
      </c>
      <c r="F241" s="16">
        <v>87.324069899999998</v>
      </c>
      <c r="G241" s="129">
        <v>1939.3167699999999</v>
      </c>
      <c r="H241" s="22">
        <v>1</v>
      </c>
      <c r="I241" s="19"/>
      <c r="J241" s="7" t="s">
        <v>22</v>
      </c>
      <c r="K241" s="16"/>
      <c r="L241" s="16"/>
      <c r="M241" s="16"/>
      <c r="N241" s="16"/>
      <c r="O241" s="16"/>
      <c r="P241" s="175"/>
      <c r="R241" s="13" t="s">
        <v>37</v>
      </c>
      <c r="S241" s="22">
        <v>1</v>
      </c>
      <c r="T241" s="19"/>
    </row>
    <row r="242" spans="1:20" x14ac:dyDescent="0.2">
      <c r="A242">
        <v>778</v>
      </c>
      <c r="B242" s="8">
        <v>46214</v>
      </c>
      <c r="C242" s="9">
        <v>0.53765046296296293</v>
      </c>
      <c r="D242" s="7" t="s">
        <v>25</v>
      </c>
      <c r="E242" s="13" t="s">
        <v>33</v>
      </c>
      <c r="F242" s="16">
        <v>85.878992499999995</v>
      </c>
      <c r="G242" s="129">
        <v>1771.18604</v>
      </c>
      <c r="H242" s="22">
        <v>1</v>
      </c>
      <c r="I242" s="19" t="s">
        <v>38</v>
      </c>
      <c r="J242" s="7" t="s">
        <v>22</v>
      </c>
      <c r="K242" s="16"/>
      <c r="L242" s="16"/>
      <c r="M242" s="16"/>
      <c r="N242" s="16">
        <v>56.488683999999999</v>
      </c>
      <c r="O242" s="16"/>
      <c r="P242" s="175"/>
      <c r="R242" s="13" t="s">
        <v>37</v>
      </c>
      <c r="S242" s="22">
        <v>0</v>
      </c>
      <c r="T242" s="19" t="s">
        <v>48</v>
      </c>
    </row>
    <row r="243" spans="1:20" x14ac:dyDescent="0.2">
      <c r="A243">
        <v>779</v>
      </c>
      <c r="B243" s="8">
        <v>46214</v>
      </c>
      <c r="C243" s="9">
        <v>0.53795138888888894</v>
      </c>
      <c r="D243" s="7" t="s">
        <v>25</v>
      </c>
      <c r="E243" s="13" t="s">
        <v>33</v>
      </c>
      <c r="F243" s="16">
        <v>88.721514900000003</v>
      </c>
      <c r="G243" s="129">
        <v>1921.08386</v>
      </c>
      <c r="H243" s="22">
        <v>1</v>
      </c>
      <c r="I243" s="19" t="s">
        <v>45</v>
      </c>
      <c r="J243" s="7" t="s">
        <v>22</v>
      </c>
      <c r="K243" s="16"/>
      <c r="L243" s="16"/>
      <c r="M243" s="16"/>
      <c r="N243" s="16">
        <v>48.900651099999997</v>
      </c>
      <c r="O243" s="16"/>
      <c r="P243" s="175"/>
      <c r="R243" s="13" t="s">
        <v>37</v>
      </c>
      <c r="S243" s="22">
        <v>1</v>
      </c>
      <c r="T243" s="19" t="s">
        <v>39</v>
      </c>
    </row>
    <row r="244" spans="1:20" x14ac:dyDescent="0.2">
      <c r="A244">
        <v>780</v>
      </c>
      <c r="B244" s="8">
        <v>46214</v>
      </c>
      <c r="C244" s="9">
        <v>0.53843750000000001</v>
      </c>
      <c r="D244" s="7" t="s">
        <v>25</v>
      </c>
      <c r="E244" s="13" t="s">
        <v>33</v>
      </c>
      <c r="F244" s="16">
        <v>85.481992199999993</v>
      </c>
      <c r="G244" s="129">
        <v>2065.9626499999999</v>
      </c>
      <c r="H244" s="22">
        <v>1</v>
      </c>
      <c r="I244" s="19" t="s">
        <v>38</v>
      </c>
      <c r="J244" s="7" t="s">
        <v>17</v>
      </c>
      <c r="K244" s="16"/>
      <c r="L244" s="16"/>
      <c r="M244" s="16"/>
      <c r="N244" s="16">
        <v>64.470171699999995</v>
      </c>
      <c r="O244" s="16"/>
      <c r="P244" s="175"/>
      <c r="R244" s="13" t="s">
        <v>37</v>
      </c>
      <c r="S244" s="22">
        <v>0</v>
      </c>
      <c r="T244" s="19"/>
    </row>
    <row r="245" spans="1:20" x14ac:dyDescent="0.2">
      <c r="A245">
        <v>781</v>
      </c>
      <c r="B245" s="8">
        <v>46214</v>
      </c>
      <c r="C245" s="9">
        <v>0.53880787037037037</v>
      </c>
      <c r="D245" s="7" t="s">
        <v>25</v>
      </c>
      <c r="E245" s="13" t="s">
        <v>35</v>
      </c>
      <c r="F245" s="16">
        <v>74.953560600000003</v>
      </c>
      <c r="G245" s="129">
        <v>1568.5101299999999</v>
      </c>
      <c r="H245" s="22">
        <v>1</v>
      </c>
      <c r="I245" s="19" t="s">
        <v>38</v>
      </c>
      <c r="J245" s="7" t="s">
        <v>17</v>
      </c>
      <c r="K245" s="16"/>
      <c r="L245" s="16"/>
      <c r="M245" s="16"/>
      <c r="N245" s="16">
        <v>62.446694399999998</v>
      </c>
      <c r="O245" s="16"/>
      <c r="P245" s="175"/>
      <c r="R245" s="13" t="s">
        <v>37</v>
      </c>
      <c r="S245" s="22">
        <v>1</v>
      </c>
      <c r="T245" s="19" t="s">
        <v>39</v>
      </c>
    </row>
    <row r="246" spans="1:20" x14ac:dyDescent="0.2">
      <c r="A246">
        <v>782</v>
      </c>
      <c r="B246" s="8">
        <v>46214</v>
      </c>
      <c r="C246" s="9">
        <v>0.53914351851851849</v>
      </c>
      <c r="D246" s="7" t="s">
        <v>25</v>
      </c>
      <c r="E246" s="13" t="s">
        <v>37</v>
      </c>
      <c r="F246" s="16">
        <v>75.001201699999996</v>
      </c>
      <c r="G246" s="129">
        <v>2163.7126499999999</v>
      </c>
      <c r="H246" s="22">
        <v>1</v>
      </c>
      <c r="I246" s="19" t="s">
        <v>42</v>
      </c>
      <c r="J246" s="7" t="s">
        <v>17</v>
      </c>
      <c r="K246" s="16"/>
      <c r="L246" s="16"/>
      <c r="M246" s="16"/>
      <c r="N246" s="16"/>
      <c r="O246" s="16"/>
      <c r="P246" s="175"/>
      <c r="R246" s="13" t="s">
        <v>37</v>
      </c>
      <c r="S246" s="22">
        <v>1</v>
      </c>
      <c r="T246" s="19"/>
    </row>
    <row r="247" spans="1:20" x14ac:dyDescent="0.2">
      <c r="A247">
        <v>783</v>
      </c>
      <c r="B247" s="8">
        <v>46214</v>
      </c>
      <c r="C247" s="9">
        <v>0.53946759259259258</v>
      </c>
      <c r="D247" s="7" t="s">
        <v>25</v>
      </c>
      <c r="E247" s="13" t="s">
        <v>37</v>
      </c>
      <c r="F247" s="16">
        <v>71.634644800000004</v>
      </c>
      <c r="G247" s="129">
        <v>2235.6945799999999</v>
      </c>
      <c r="H247" s="22">
        <v>1</v>
      </c>
      <c r="I247" s="19"/>
      <c r="J247" s="7" t="s">
        <v>27</v>
      </c>
      <c r="K247" s="16"/>
      <c r="L247" s="16"/>
      <c r="M247" s="16"/>
      <c r="N247" s="16"/>
      <c r="O247" s="16"/>
      <c r="P247" s="175"/>
      <c r="R247" s="13" t="s">
        <v>37</v>
      </c>
      <c r="S247" s="22">
        <v>0</v>
      </c>
      <c r="T247" s="19"/>
    </row>
    <row r="248" spans="1:20" x14ac:dyDescent="0.2">
      <c r="A248">
        <v>784</v>
      </c>
      <c r="B248" s="8">
        <v>46214</v>
      </c>
      <c r="C248" s="9">
        <v>0.5396643518518518</v>
      </c>
      <c r="D248" s="7" t="s">
        <v>25</v>
      </c>
      <c r="E248" s="13" t="s">
        <v>33</v>
      </c>
      <c r="F248" s="16">
        <v>84.084555699999996</v>
      </c>
      <c r="G248" s="129">
        <v>1977.8692599999999</v>
      </c>
      <c r="H248" s="22">
        <v>1</v>
      </c>
      <c r="I248" s="19" t="s">
        <v>38</v>
      </c>
      <c r="J248" s="7" t="s">
        <v>27</v>
      </c>
      <c r="K248" s="16"/>
      <c r="L248" s="16"/>
      <c r="M248" s="16"/>
      <c r="N248" s="16">
        <v>70.821636699999999</v>
      </c>
      <c r="O248" s="16"/>
      <c r="P248" s="175"/>
      <c r="R248" s="13" t="s">
        <v>37</v>
      </c>
      <c r="S248" s="22">
        <v>1</v>
      </c>
      <c r="T248" s="19" t="s">
        <v>42</v>
      </c>
    </row>
    <row r="249" spans="1:20" x14ac:dyDescent="0.2">
      <c r="A249">
        <v>785</v>
      </c>
      <c r="B249" s="8">
        <v>46214</v>
      </c>
      <c r="C249" s="9">
        <v>0.54</v>
      </c>
      <c r="D249" s="7" t="s">
        <v>25</v>
      </c>
      <c r="E249" s="13" t="s">
        <v>33</v>
      </c>
      <c r="F249" s="16">
        <v>86.8953092</v>
      </c>
      <c r="G249" s="129">
        <v>2024.1652799999999</v>
      </c>
      <c r="H249" s="22">
        <v>0</v>
      </c>
      <c r="I249" s="19"/>
      <c r="J249" s="7" t="s">
        <v>27</v>
      </c>
      <c r="K249" s="16"/>
      <c r="L249" s="16"/>
      <c r="M249" s="16"/>
      <c r="N249" s="16"/>
      <c r="O249" s="16"/>
      <c r="P249" s="175"/>
      <c r="R249" s="13" t="s">
        <v>37</v>
      </c>
      <c r="S249" s="22">
        <v>1</v>
      </c>
      <c r="T249" s="19"/>
    </row>
    <row r="250" spans="1:20" x14ac:dyDescent="0.2">
      <c r="A250">
        <v>786</v>
      </c>
      <c r="B250" s="8">
        <v>46214</v>
      </c>
      <c r="C250" s="9">
        <v>0.54018518518518521</v>
      </c>
      <c r="D250" s="7" t="s">
        <v>25</v>
      </c>
      <c r="E250" s="13" t="s">
        <v>37</v>
      </c>
      <c r="F250" s="16">
        <v>76.4145185</v>
      </c>
      <c r="G250" s="129">
        <v>2225.9868200000001</v>
      </c>
      <c r="H250" s="22">
        <v>1</v>
      </c>
      <c r="I250" s="19" t="s">
        <v>45</v>
      </c>
      <c r="J250" s="7" t="s">
        <v>27</v>
      </c>
      <c r="K250" s="16"/>
      <c r="L250" s="16"/>
      <c r="M250" s="16"/>
      <c r="N250" s="16">
        <v>68.011254500000007</v>
      </c>
      <c r="O250" s="16"/>
      <c r="P250" s="177"/>
      <c r="R250" s="13" t="s">
        <v>37</v>
      </c>
      <c r="S250" s="22">
        <v>1</v>
      </c>
      <c r="T250" s="19" t="s">
        <v>45</v>
      </c>
    </row>
    <row r="251" spans="1:20" s="114" customFormat="1" x14ac:dyDescent="0.2">
      <c r="A251" s="114">
        <v>809</v>
      </c>
      <c r="B251" s="108">
        <v>46218</v>
      </c>
      <c r="C251" s="109">
        <v>0.45343749999999999</v>
      </c>
      <c r="D251" s="107" t="s">
        <v>25</v>
      </c>
      <c r="E251" s="110" t="s">
        <v>35</v>
      </c>
      <c r="F251" s="111">
        <v>72.920918799999995</v>
      </c>
      <c r="G251" s="228">
        <v>1429.7625700000001</v>
      </c>
      <c r="H251" s="113">
        <v>0</v>
      </c>
      <c r="I251" s="112"/>
      <c r="J251" s="107" t="s">
        <v>27</v>
      </c>
      <c r="K251" s="111"/>
      <c r="L251" s="111"/>
      <c r="M251" s="111"/>
      <c r="N251" s="111"/>
      <c r="O251" s="111"/>
      <c r="P251" s="230"/>
      <c r="R251" s="110" t="s">
        <v>35</v>
      </c>
      <c r="S251" s="113">
        <v>0</v>
      </c>
      <c r="T251" s="112"/>
    </row>
    <row r="252" spans="1:20" x14ac:dyDescent="0.2">
      <c r="A252">
        <v>810</v>
      </c>
      <c r="B252" s="8">
        <v>46218</v>
      </c>
      <c r="C252" s="9">
        <v>0.45364583333333336</v>
      </c>
      <c r="D252" s="7" t="s">
        <v>25</v>
      </c>
      <c r="E252" s="13" t="s">
        <v>33</v>
      </c>
      <c r="F252" s="16">
        <v>84.418034599999999</v>
      </c>
      <c r="G252" s="129">
        <v>1901.76331</v>
      </c>
      <c r="H252" s="22">
        <v>0</v>
      </c>
      <c r="I252" s="19"/>
      <c r="J252" s="7" t="s">
        <v>27</v>
      </c>
      <c r="K252" s="16"/>
      <c r="L252" s="16"/>
      <c r="M252" s="16"/>
      <c r="N252" s="16"/>
      <c r="O252" s="16"/>
      <c r="P252" s="175"/>
      <c r="R252" s="13" t="s">
        <v>35</v>
      </c>
      <c r="S252" s="22">
        <v>1</v>
      </c>
      <c r="T252" s="19" t="s">
        <v>45</v>
      </c>
    </row>
    <row r="253" spans="1:20" x14ac:dyDescent="0.2">
      <c r="A253">
        <v>811</v>
      </c>
      <c r="B253" s="8">
        <v>46218</v>
      </c>
      <c r="C253" s="9">
        <v>0.45385416666666667</v>
      </c>
      <c r="D253" s="7" t="s">
        <v>25</v>
      </c>
      <c r="E253" s="13" t="s">
        <v>37</v>
      </c>
      <c r="F253" s="16">
        <v>73.492602700000006</v>
      </c>
      <c r="G253" s="129">
        <v>2268.5891099999999</v>
      </c>
      <c r="H253" s="22">
        <v>0</v>
      </c>
      <c r="I253" s="19"/>
      <c r="J253" s="7" t="s">
        <v>27</v>
      </c>
      <c r="K253" s="16"/>
      <c r="L253" s="16"/>
      <c r="M253" s="16"/>
      <c r="N253" s="16"/>
      <c r="O253" s="16"/>
      <c r="P253" s="175"/>
      <c r="R253" s="13" t="s">
        <v>35</v>
      </c>
      <c r="S253" s="22">
        <v>1</v>
      </c>
      <c r="T253" s="19" t="s">
        <v>38</v>
      </c>
    </row>
    <row r="254" spans="1:20" x14ac:dyDescent="0.2">
      <c r="A254">
        <v>812</v>
      </c>
      <c r="B254" s="8">
        <v>46218</v>
      </c>
      <c r="C254" s="9">
        <v>0.45405092592592594</v>
      </c>
      <c r="D254" s="7" t="s">
        <v>25</v>
      </c>
      <c r="E254" s="13" t="s">
        <v>33</v>
      </c>
      <c r="F254" s="16">
        <v>85.164393899999993</v>
      </c>
      <c r="G254" s="129">
        <v>1717.15894</v>
      </c>
      <c r="H254" s="22">
        <v>1</v>
      </c>
      <c r="I254" s="19" t="s">
        <v>255</v>
      </c>
      <c r="J254" s="7" t="s">
        <v>27</v>
      </c>
      <c r="K254" s="16">
        <v>97.314558000000005</v>
      </c>
      <c r="L254" s="16">
        <v>-10.350002999999999</v>
      </c>
      <c r="M254" s="16"/>
      <c r="N254" s="16">
        <v>71.500826599999996</v>
      </c>
      <c r="O254" s="16">
        <v>16</v>
      </c>
      <c r="P254" s="175">
        <v>0.85732750000000002</v>
      </c>
      <c r="R254" s="13" t="s">
        <v>35</v>
      </c>
      <c r="S254" s="22">
        <v>1</v>
      </c>
      <c r="T254" s="19" t="s">
        <v>38</v>
      </c>
    </row>
    <row r="255" spans="1:20" x14ac:dyDescent="0.2">
      <c r="A255">
        <v>813</v>
      </c>
      <c r="B255" s="8">
        <v>46218</v>
      </c>
      <c r="C255" s="9">
        <v>0.45438657407407407</v>
      </c>
      <c r="D255" s="7" t="s">
        <v>25</v>
      </c>
      <c r="E255" s="13" t="s">
        <v>33</v>
      </c>
      <c r="F255" s="16">
        <v>85.847231800000003</v>
      </c>
      <c r="G255" s="129">
        <v>2098.4846200000002</v>
      </c>
      <c r="H255" s="22">
        <v>1</v>
      </c>
      <c r="I255" s="19"/>
      <c r="J255" s="7" t="s">
        <v>29</v>
      </c>
      <c r="K255" s="16"/>
      <c r="L255" s="16"/>
      <c r="M255" s="16"/>
      <c r="N255" s="16"/>
      <c r="O255" s="16"/>
      <c r="P255" s="175"/>
      <c r="R255" s="13" t="s">
        <v>35</v>
      </c>
      <c r="S255" s="22">
        <v>0</v>
      </c>
      <c r="T255" s="19"/>
    </row>
    <row r="256" spans="1:20" x14ac:dyDescent="0.2">
      <c r="A256">
        <v>814</v>
      </c>
      <c r="B256" s="8">
        <v>46218</v>
      </c>
      <c r="C256" s="9">
        <v>0.45456018518518521</v>
      </c>
      <c r="D256" s="7" t="s">
        <v>25</v>
      </c>
      <c r="E256" s="13" t="s">
        <v>33</v>
      </c>
      <c r="F256" s="16">
        <v>85.878992499999995</v>
      </c>
      <c r="G256" s="129">
        <v>1995.07483</v>
      </c>
      <c r="H256" s="22">
        <v>1</v>
      </c>
      <c r="I256" s="19" t="s">
        <v>39</v>
      </c>
      <c r="J256" s="7" t="s">
        <v>29</v>
      </c>
      <c r="K256" s="16"/>
      <c r="L256" s="16"/>
      <c r="M256" s="16"/>
      <c r="N256" s="16">
        <v>67.377951999999993</v>
      </c>
      <c r="O256" s="16"/>
      <c r="P256" s="175"/>
      <c r="R256" s="13" t="s">
        <v>33</v>
      </c>
      <c r="S256" s="22">
        <v>0</v>
      </c>
      <c r="T256" s="19"/>
    </row>
    <row r="257" spans="1:20" x14ac:dyDescent="0.2">
      <c r="A257">
        <v>815</v>
      </c>
      <c r="B257" s="8">
        <v>46218</v>
      </c>
      <c r="C257" s="9">
        <v>0.45480324074074074</v>
      </c>
      <c r="D257" s="7" t="s">
        <v>25</v>
      </c>
      <c r="E257" s="13" t="s">
        <v>37</v>
      </c>
      <c r="F257" s="16">
        <v>77.605518900000007</v>
      </c>
      <c r="G257" s="129">
        <v>2163.19</v>
      </c>
      <c r="H257" s="22">
        <v>1</v>
      </c>
      <c r="I257" s="19" t="s">
        <v>38</v>
      </c>
      <c r="J257" s="7" t="s">
        <v>29</v>
      </c>
      <c r="K257" s="16"/>
      <c r="L257" s="16"/>
      <c r="M257" s="16"/>
      <c r="N257" s="16">
        <v>61.730175799999998</v>
      </c>
      <c r="O257" s="16"/>
      <c r="P257" s="175"/>
      <c r="R257" s="13" t="s">
        <v>33</v>
      </c>
      <c r="S257" s="22">
        <v>1</v>
      </c>
      <c r="T257" s="19" t="s">
        <v>40</v>
      </c>
    </row>
    <row r="258" spans="1:20" x14ac:dyDescent="0.2">
      <c r="A258">
        <v>816</v>
      </c>
      <c r="B258" s="8">
        <v>46218</v>
      </c>
      <c r="C258" s="9">
        <v>0.45511574074074074</v>
      </c>
      <c r="D258" s="7" t="s">
        <v>25</v>
      </c>
      <c r="E258" s="13" t="s">
        <v>37</v>
      </c>
      <c r="F258" s="16">
        <v>75.906356000000002</v>
      </c>
      <c r="G258" s="129">
        <v>2050.2370599999999</v>
      </c>
      <c r="H258" s="22">
        <v>1</v>
      </c>
      <c r="I258" s="19" t="s">
        <v>38</v>
      </c>
      <c r="J258" s="7" t="s">
        <v>29</v>
      </c>
      <c r="K258" s="16"/>
      <c r="L258" s="16"/>
      <c r="M258" s="16"/>
      <c r="N258" s="16">
        <v>62.012566200000002</v>
      </c>
      <c r="O258" s="16"/>
      <c r="P258" s="175"/>
      <c r="R258" s="13" t="s">
        <v>33</v>
      </c>
      <c r="S258" s="22">
        <v>1</v>
      </c>
      <c r="T258" s="19"/>
    </row>
    <row r="259" spans="1:20" x14ac:dyDescent="0.2">
      <c r="A259">
        <v>817</v>
      </c>
      <c r="B259" s="8">
        <v>46218</v>
      </c>
      <c r="C259" s="9">
        <v>0.45559027777777777</v>
      </c>
      <c r="D259" s="7" t="s">
        <v>25</v>
      </c>
      <c r="E259" s="13" t="s">
        <v>33</v>
      </c>
      <c r="F259" s="16">
        <v>88.403908000000001</v>
      </c>
      <c r="G259" s="129">
        <v>2047.8974599999999</v>
      </c>
      <c r="H259" s="22">
        <v>0</v>
      </c>
      <c r="I259" s="19"/>
      <c r="J259" s="7" t="s">
        <v>29</v>
      </c>
      <c r="K259" s="16"/>
      <c r="L259" s="16"/>
      <c r="M259" s="16"/>
      <c r="N259" s="16">
        <v>22.591098299999999</v>
      </c>
      <c r="O259" s="16"/>
      <c r="P259" s="175"/>
      <c r="R259" s="13" t="s">
        <v>33</v>
      </c>
      <c r="S259" s="22">
        <v>1</v>
      </c>
      <c r="T259" s="19" t="s">
        <v>39</v>
      </c>
    </row>
    <row r="260" spans="1:20" x14ac:dyDescent="0.2">
      <c r="A260">
        <v>818</v>
      </c>
      <c r="B260" s="8">
        <v>46218</v>
      </c>
      <c r="C260" s="9">
        <v>0.45582175925925927</v>
      </c>
      <c r="D260" s="7" t="s">
        <v>25</v>
      </c>
      <c r="E260" s="13" t="s">
        <v>35</v>
      </c>
      <c r="F260" s="16">
        <v>73.937235299999998</v>
      </c>
      <c r="G260" s="129">
        <v>1575.0324700000001</v>
      </c>
      <c r="H260" s="22">
        <v>1</v>
      </c>
      <c r="I260" s="19" t="s">
        <v>45</v>
      </c>
      <c r="J260" s="7" t="s">
        <v>29</v>
      </c>
      <c r="K260" s="16"/>
      <c r="L260" s="16"/>
      <c r="M260" s="16"/>
      <c r="N260" s="16">
        <v>62.577342600000001</v>
      </c>
      <c r="O260" s="16"/>
      <c r="P260" s="175"/>
      <c r="R260" s="13" t="s">
        <v>33</v>
      </c>
      <c r="S260" s="22">
        <v>0</v>
      </c>
      <c r="T260" s="19"/>
    </row>
    <row r="261" spans="1:20" x14ac:dyDescent="0.2">
      <c r="A261">
        <v>819</v>
      </c>
      <c r="B261" s="8">
        <v>46218</v>
      </c>
      <c r="C261" s="9">
        <v>0.45623842592592595</v>
      </c>
      <c r="D261" s="7" t="s">
        <v>25</v>
      </c>
      <c r="E261" s="13" t="s">
        <v>37</v>
      </c>
      <c r="F261" s="16">
        <v>75.906356000000002</v>
      </c>
      <c r="G261" s="129">
        <v>1105.4531199999999</v>
      </c>
      <c r="H261" s="22">
        <v>0</v>
      </c>
      <c r="I261" s="19"/>
      <c r="J261" s="7" t="s">
        <v>23</v>
      </c>
      <c r="K261" s="16"/>
      <c r="L261" s="16"/>
      <c r="M261" s="16"/>
      <c r="N261" s="16"/>
      <c r="O261" s="16"/>
      <c r="P261" s="177"/>
      <c r="R261" s="13" t="s">
        <v>33</v>
      </c>
      <c r="S261" s="22">
        <v>1</v>
      </c>
      <c r="T261" s="19" t="s">
        <v>42</v>
      </c>
    </row>
    <row r="262" spans="1:20" x14ac:dyDescent="0.2">
      <c r="A262">
        <v>820</v>
      </c>
      <c r="B262" s="8">
        <v>46218</v>
      </c>
      <c r="C262" s="9">
        <v>0.45642361111111113</v>
      </c>
      <c r="D262" s="7" t="s">
        <v>25</v>
      </c>
      <c r="E262" s="13" t="s">
        <v>37</v>
      </c>
      <c r="F262" s="16">
        <v>72.365123699999998</v>
      </c>
      <c r="G262" s="129">
        <v>2053.9765600000001</v>
      </c>
      <c r="H262" s="22">
        <v>1</v>
      </c>
      <c r="I262" s="19"/>
      <c r="J262" s="7" t="s">
        <v>23</v>
      </c>
      <c r="K262" s="16"/>
      <c r="L262" s="16"/>
      <c r="M262" s="16"/>
      <c r="N262" s="16"/>
      <c r="O262" s="16"/>
      <c r="P262" s="175"/>
      <c r="R262" s="13" t="s">
        <v>33</v>
      </c>
      <c r="S262" s="22">
        <v>1</v>
      </c>
      <c r="T262" s="19"/>
    </row>
    <row r="263" spans="1:20" x14ac:dyDescent="0.2">
      <c r="A263">
        <v>821</v>
      </c>
      <c r="B263" s="8">
        <v>46218</v>
      </c>
      <c r="C263" s="9">
        <v>0.4566087962962963</v>
      </c>
      <c r="D263" s="7" t="s">
        <v>25</v>
      </c>
      <c r="E263" s="13" t="s">
        <v>37</v>
      </c>
      <c r="F263" s="16">
        <v>74.953560600000003</v>
      </c>
      <c r="G263" s="129">
        <v>2156.2460900000001</v>
      </c>
      <c r="H263" s="22">
        <v>1</v>
      </c>
      <c r="I263" s="19" t="s">
        <v>39</v>
      </c>
      <c r="J263" s="7" t="s">
        <v>23</v>
      </c>
      <c r="K263" s="16"/>
      <c r="L263" s="16"/>
      <c r="M263" s="16"/>
      <c r="N263" s="16">
        <v>59.922888100000002</v>
      </c>
      <c r="O263" s="16"/>
      <c r="P263" s="175"/>
      <c r="R263" s="13" t="s">
        <v>33</v>
      </c>
      <c r="S263" s="22">
        <v>0</v>
      </c>
      <c r="T263" s="19"/>
    </row>
    <row r="264" spans="1:20" x14ac:dyDescent="0.2">
      <c r="A264">
        <v>822</v>
      </c>
      <c r="B264" s="8">
        <v>46218</v>
      </c>
      <c r="C264" s="9">
        <v>0.45682870370370371</v>
      </c>
      <c r="D264" s="7" t="s">
        <v>25</v>
      </c>
      <c r="E264" s="13" t="s">
        <v>35</v>
      </c>
      <c r="F264" s="16">
        <v>76.017518300000006</v>
      </c>
      <c r="G264" s="129">
        <v>1059.4057600000001</v>
      </c>
      <c r="H264" s="22">
        <v>1</v>
      </c>
      <c r="I264" s="19" t="s">
        <v>38</v>
      </c>
      <c r="J264" s="7" t="s">
        <v>23</v>
      </c>
      <c r="K264" s="16"/>
      <c r="L264" s="16"/>
      <c r="M264" s="16"/>
      <c r="N264" s="16">
        <v>59.0757215</v>
      </c>
      <c r="O264" s="16"/>
      <c r="P264" s="175"/>
      <c r="R264" s="13" t="s">
        <v>33</v>
      </c>
      <c r="S264" s="22">
        <v>1</v>
      </c>
      <c r="T264" s="19" t="s">
        <v>38</v>
      </c>
    </row>
    <row r="265" spans="1:20" x14ac:dyDescent="0.2">
      <c r="A265">
        <v>823</v>
      </c>
      <c r="B265" s="8">
        <v>46218</v>
      </c>
      <c r="C265" s="9">
        <v>0.45707175925925925</v>
      </c>
      <c r="D265" s="7" t="s">
        <v>25</v>
      </c>
      <c r="E265" s="13" t="s">
        <v>33</v>
      </c>
      <c r="F265" s="16">
        <v>87.339950299999998</v>
      </c>
      <c r="G265" s="129">
        <v>1809.37012</v>
      </c>
      <c r="H265" s="169">
        <v>1</v>
      </c>
      <c r="I265" s="170" t="s">
        <v>42</v>
      </c>
      <c r="J265" s="165" t="s">
        <v>23</v>
      </c>
      <c r="K265" s="16"/>
      <c r="L265" s="16"/>
      <c r="M265" s="16"/>
      <c r="N265" s="16"/>
      <c r="O265" s="16"/>
      <c r="P265" s="175"/>
      <c r="R265" s="13" t="s">
        <v>33</v>
      </c>
      <c r="S265" s="169">
        <v>1</v>
      </c>
      <c r="T265" s="170" t="s">
        <v>38</v>
      </c>
    </row>
    <row r="266" spans="1:20" x14ac:dyDescent="0.2">
      <c r="A266">
        <v>839</v>
      </c>
      <c r="B266" s="8">
        <v>46218</v>
      </c>
      <c r="C266" s="9">
        <v>0.46440972222222221</v>
      </c>
      <c r="D266" s="7" t="s">
        <v>25</v>
      </c>
      <c r="E266" s="13" t="s">
        <v>37</v>
      </c>
      <c r="F266" s="16">
        <v>73.492602700000006</v>
      </c>
      <c r="G266" s="129">
        <v>2138.2353499999999</v>
      </c>
      <c r="H266" s="22">
        <v>0</v>
      </c>
      <c r="I266" s="19"/>
      <c r="J266" s="7" t="s">
        <v>20</v>
      </c>
      <c r="K266" s="16"/>
      <c r="L266" s="16"/>
      <c r="M266" s="16"/>
      <c r="N266" s="16"/>
      <c r="O266" s="16"/>
      <c r="P266" s="175"/>
      <c r="R266" s="13" t="s">
        <v>33</v>
      </c>
      <c r="S266" s="22">
        <v>0</v>
      </c>
      <c r="T266" s="19"/>
    </row>
    <row r="267" spans="1:20" x14ac:dyDescent="0.2">
      <c r="A267">
        <v>840</v>
      </c>
      <c r="B267" s="8">
        <v>46218</v>
      </c>
      <c r="C267" s="9">
        <v>0.46457175925925925</v>
      </c>
      <c r="D267" s="7" t="s">
        <v>25</v>
      </c>
      <c r="E267" s="13" t="s">
        <v>33</v>
      </c>
      <c r="F267" s="16">
        <v>86.387155000000007</v>
      </c>
      <c r="G267" s="129">
        <v>989.86285399999997</v>
      </c>
      <c r="H267" s="22">
        <v>1</v>
      </c>
      <c r="I267" s="19"/>
      <c r="J267" s="7" t="s">
        <v>20</v>
      </c>
      <c r="K267" s="16"/>
      <c r="L267" s="16"/>
      <c r="M267" s="16"/>
      <c r="N267" s="16"/>
      <c r="O267" s="16"/>
      <c r="P267" s="175"/>
      <c r="R267" s="13" t="s">
        <v>33</v>
      </c>
      <c r="S267" s="22">
        <v>0</v>
      </c>
      <c r="T267" s="19"/>
    </row>
    <row r="268" spans="1:20" x14ac:dyDescent="0.2">
      <c r="A268">
        <v>841</v>
      </c>
      <c r="B268" s="8">
        <v>46218</v>
      </c>
      <c r="C268" s="9">
        <v>0.46474537037037039</v>
      </c>
      <c r="D268" s="7" t="s">
        <v>25</v>
      </c>
      <c r="E268" s="13" t="s">
        <v>35</v>
      </c>
      <c r="F268" s="16">
        <v>75.572877099999999</v>
      </c>
      <c r="G268" s="129">
        <v>1632.08484</v>
      </c>
      <c r="H268" s="22">
        <v>1</v>
      </c>
      <c r="I268" s="19" t="s">
        <v>38</v>
      </c>
      <c r="J268" s="7" t="s">
        <v>20</v>
      </c>
      <c r="K268" s="16">
        <v>84.814463000000003</v>
      </c>
      <c r="L268" s="16">
        <v>24.6304321</v>
      </c>
      <c r="M268" s="16">
        <v>-39.619788999999997</v>
      </c>
      <c r="N268" s="16">
        <v>63.255073400000001</v>
      </c>
      <c r="O268" s="16">
        <v>268</v>
      </c>
      <c r="P268" s="175">
        <v>0.83719078000000002</v>
      </c>
      <c r="R268" s="13" t="s">
        <v>33</v>
      </c>
      <c r="S268" s="22">
        <v>1</v>
      </c>
      <c r="T268" s="19" t="s">
        <v>40</v>
      </c>
    </row>
    <row r="269" spans="1:20" x14ac:dyDescent="0.2">
      <c r="A269">
        <v>842</v>
      </c>
      <c r="B269" s="8">
        <v>46218</v>
      </c>
      <c r="C269" s="9">
        <v>0.46498842592592593</v>
      </c>
      <c r="D269" s="7" t="s">
        <v>25</v>
      </c>
      <c r="E269" s="13" t="s">
        <v>37</v>
      </c>
      <c r="F269" s="16">
        <v>75.795201899999995</v>
      </c>
      <c r="G269" s="129">
        <v>2102.1191399999998</v>
      </c>
      <c r="H269" s="22">
        <v>0</v>
      </c>
      <c r="I269" s="19"/>
      <c r="J269" s="7" t="s">
        <v>20</v>
      </c>
      <c r="K269" s="16"/>
      <c r="L269" s="16"/>
      <c r="M269" s="16"/>
      <c r="N269" s="16"/>
      <c r="O269" s="16"/>
      <c r="P269" s="175"/>
      <c r="R269" s="13" t="s">
        <v>33</v>
      </c>
      <c r="S269" s="22">
        <v>1</v>
      </c>
      <c r="T269" s="19" t="s">
        <v>40</v>
      </c>
    </row>
    <row r="270" spans="1:20" x14ac:dyDescent="0.2">
      <c r="A270">
        <v>843</v>
      </c>
      <c r="B270" s="8">
        <v>46218</v>
      </c>
      <c r="C270" s="9">
        <v>0.46517361111111111</v>
      </c>
      <c r="D270" s="7" t="s">
        <v>25</v>
      </c>
      <c r="E270" s="13" t="s">
        <v>33</v>
      </c>
      <c r="F270" s="16">
        <v>88.292754000000002</v>
      </c>
      <c r="G270" s="129">
        <v>1936.30798</v>
      </c>
      <c r="H270" s="22">
        <v>0</v>
      </c>
      <c r="I270" s="19"/>
      <c r="J270" s="7" t="s">
        <v>20</v>
      </c>
      <c r="K270" s="16"/>
      <c r="L270" s="16"/>
      <c r="M270" s="16"/>
      <c r="N270" s="16"/>
      <c r="O270" s="16"/>
      <c r="P270" s="175"/>
      <c r="R270" s="13" t="s">
        <v>33</v>
      </c>
      <c r="S270" s="22">
        <v>1</v>
      </c>
      <c r="T270" s="19" t="s">
        <v>39</v>
      </c>
    </row>
    <row r="271" spans="1:20" x14ac:dyDescent="0.2">
      <c r="A271">
        <v>844</v>
      </c>
      <c r="B271" s="8">
        <v>46218</v>
      </c>
      <c r="C271" s="9">
        <v>0.46534722222222225</v>
      </c>
      <c r="D271" s="7" t="s">
        <v>25</v>
      </c>
      <c r="E271" s="13" t="s">
        <v>37</v>
      </c>
      <c r="F271" s="16">
        <v>73.238517200000004</v>
      </c>
      <c r="G271" s="129">
        <v>2097.6076699999999</v>
      </c>
      <c r="H271" s="22">
        <v>1</v>
      </c>
      <c r="I271" s="19" t="s">
        <v>42</v>
      </c>
      <c r="J271" s="7" t="s">
        <v>20</v>
      </c>
      <c r="K271" s="16"/>
      <c r="L271" s="16"/>
      <c r="M271" s="16"/>
      <c r="N271" s="16"/>
      <c r="O271" s="16"/>
      <c r="P271" s="175"/>
      <c r="R271" s="13" t="s">
        <v>33</v>
      </c>
      <c r="S271" s="22">
        <v>0</v>
      </c>
      <c r="T271" s="19"/>
    </row>
    <row r="272" spans="1:20" x14ac:dyDescent="0.2">
      <c r="A272">
        <v>845</v>
      </c>
      <c r="B272" s="8">
        <v>46218</v>
      </c>
      <c r="C272" s="9">
        <v>0.46718749999999998</v>
      </c>
      <c r="D272" s="7" t="s">
        <v>25</v>
      </c>
      <c r="E272" s="13" t="s">
        <v>37</v>
      </c>
      <c r="F272" s="16">
        <v>74.699475100000001</v>
      </c>
      <c r="G272" s="129">
        <v>2154.2546400000001</v>
      </c>
      <c r="H272" s="22">
        <v>1</v>
      </c>
      <c r="I272" s="19"/>
      <c r="J272" s="7" t="s">
        <v>23</v>
      </c>
      <c r="K272" s="16"/>
      <c r="L272" s="16"/>
      <c r="M272" s="16"/>
      <c r="N272" s="16"/>
      <c r="O272" s="16"/>
      <c r="P272" s="175"/>
      <c r="R272" s="13" t="s">
        <v>33</v>
      </c>
      <c r="S272" s="22">
        <v>0</v>
      </c>
      <c r="T272" s="19"/>
    </row>
    <row r="273" spans="1:20" x14ac:dyDescent="0.2">
      <c r="A273">
        <v>846</v>
      </c>
      <c r="B273" s="8">
        <v>46218</v>
      </c>
      <c r="C273" s="9">
        <v>0.46736111111111112</v>
      </c>
      <c r="D273" s="7" t="s">
        <v>25</v>
      </c>
      <c r="E273" s="13" t="s">
        <v>33</v>
      </c>
      <c r="F273" s="16">
        <v>85.561394100000001</v>
      </c>
      <c r="G273" s="129">
        <v>1920.9840099999999</v>
      </c>
      <c r="H273" s="22">
        <v>1</v>
      </c>
      <c r="I273" s="19" t="s">
        <v>38</v>
      </c>
      <c r="J273" s="7" t="s">
        <v>23</v>
      </c>
      <c r="K273" s="16"/>
      <c r="L273" s="16"/>
      <c r="M273" s="16"/>
      <c r="N273" s="16">
        <v>65.5141828</v>
      </c>
      <c r="O273" s="16"/>
      <c r="P273" s="175"/>
      <c r="R273" s="13" t="s">
        <v>33</v>
      </c>
      <c r="S273" s="22">
        <v>1</v>
      </c>
      <c r="T273" s="19" t="s">
        <v>38</v>
      </c>
    </row>
    <row r="274" spans="1:20" x14ac:dyDescent="0.2">
      <c r="A274">
        <v>847</v>
      </c>
      <c r="B274" s="8">
        <v>46218</v>
      </c>
      <c r="C274" s="9">
        <v>0.46766203703703701</v>
      </c>
      <c r="D274" s="7" t="s">
        <v>25</v>
      </c>
      <c r="E274" s="13" t="s">
        <v>37</v>
      </c>
      <c r="F274" s="16">
        <v>76.223954300000003</v>
      </c>
      <c r="G274" s="129">
        <v>2134.8146999999999</v>
      </c>
      <c r="H274" s="22">
        <v>1</v>
      </c>
      <c r="I274" s="19" t="s">
        <v>45</v>
      </c>
      <c r="J274" s="7" t="s">
        <v>23</v>
      </c>
      <c r="K274" s="16"/>
      <c r="L274" s="16"/>
      <c r="M274" s="16"/>
      <c r="N274" s="16">
        <v>43.883207900000002</v>
      </c>
      <c r="O274" s="16"/>
      <c r="P274" s="175"/>
      <c r="R274" s="13" t="s">
        <v>33</v>
      </c>
      <c r="S274" s="22">
        <v>1</v>
      </c>
      <c r="T274" s="19" t="s">
        <v>39</v>
      </c>
    </row>
    <row r="275" spans="1:20" x14ac:dyDescent="0.2">
      <c r="A275">
        <v>848</v>
      </c>
      <c r="B275" s="8">
        <v>46218</v>
      </c>
      <c r="C275" s="9">
        <v>0.46803240740740742</v>
      </c>
      <c r="D275" s="7" t="s">
        <v>25</v>
      </c>
      <c r="E275" s="13" t="s">
        <v>33</v>
      </c>
      <c r="F275" s="16">
        <v>86.260112199999995</v>
      </c>
      <c r="G275" s="129">
        <v>1929.97253</v>
      </c>
      <c r="H275" s="22">
        <v>1</v>
      </c>
      <c r="I275" s="19" t="s">
        <v>38</v>
      </c>
      <c r="J275" s="7" t="s">
        <v>29</v>
      </c>
      <c r="K275" s="16"/>
      <c r="L275" s="16"/>
      <c r="M275" s="16"/>
      <c r="N275" s="16">
        <v>61.447785699999997</v>
      </c>
      <c r="O275" s="16"/>
      <c r="P275" s="175"/>
      <c r="R275" s="13" t="s">
        <v>33</v>
      </c>
      <c r="S275" s="22">
        <v>0</v>
      </c>
      <c r="T275" s="19"/>
    </row>
    <row r="276" spans="1:20" x14ac:dyDescent="0.2">
      <c r="A276">
        <v>849</v>
      </c>
      <c r="B276" s="8">
        <v>46218</v>
      </c>
      <c r="C276" s="9">
        <v>0.46828703703703706</v>
      </c>
      <c r="D276" s="7" t="s">
        <v>25</v>
      </c>
      <c r="E276" s="13" t="s">
        <v>33</v>
      </c>
      <c r="F276" s="16">
        <v>84.481555900000004</v>
      </c>
      <c r="G276" s="129">
        <v>1900.73621</v>
      </c>
      <c r="H276" s="22">
        <v>0</v>
      </c>
      <c r="I276" s="19"/>
      <c r="J276" s="7" t="s">
        <v>29</v>
      </c>
      <c r="K276" s="16"/>
      <c r="L276" s="16"/>
      <c r="M276" s="16"/>
      <c r="N276" s="16"/>
      <c r="O276" s="16"/>
      <c r="P276" s="175"/>
      <c r="R276" s="13" t="s">
        <v>33</v>
      </c>
      <c r="S276" s="22">
        <v>0</v>
      </c>
      <c r="T276" s="19" t="s">
        <v>48</v>
      </c>
    </row>
    <row r="277" spans="1:20" x14ac:dyDescent="0.2">
      <c r="A277">
        <v>850</v>
      </c>
      <c r="B277" s="8">
        <v>46218</v>
      </c>
      <c r="C277" s="9">
        <v>0.46855324074074073</v>
      </c>
      <c r="D277" s="7" t="s">
        <v>25</v>
      </c>
      <c r="E277" s="13" t="s">
        <v>33</v>
      </c>
      <c r="F277" s="16">
        <v>86.704753400000001</v>
      </c>
      <c r="G277" s="129">
        <v>2031.75452</v>
      </c>
      <c r="H277" s="22">
        <v>0</v>
      </c>
      <c r="I277" s="19"/>
      <c r="J277" s="7" t="s">
        <v>29</v>
      </c>
      <c r="K277" s="16"/>
      <c r="L277" s="16"/>
      <c r="M277" s="16"/>
      <c r="N277" s="16"/>
      <c r="O277" s="16"/>
      <c r="P277" s="175"/>
      <c r="R277" s="13" t="s">
        <v>33</v>
      </c>
      <c r="S277" s="22">
        <v>0</v>
      </c>
      <c r="T277" s="19"/>
    </row>
    <row r="278" spans="1:20" x14ac:dyDescent="0.2">
      <c r="A278">
        <v>851</v>
      </c>
      <c r="B278" s="8">
        <v>46218</v>
      </c>
      <c r="C278" s="9">
        <v>0.46903935185185186</v>
      </c>
      <c r="D278" s="7" t="s">
        <v>25</v>
      </c>
      <c r="E278" s="13" t="s">
        <v>33</v>
      </c>
      <c r="F278" s="16">
        <v>85.878992499999995</v>
      </c>
      <c r="G278" s="129">
        <v>1984.9428700000001</v>
      </c>
      <c r="H278" s="22">
        <v>1</v>
      </c>
      <c r="I278" s="19" t="s">
        <v>254</v>
      </c>
      <c r="J278" s="7" t="s">
        <v>29</v>
      </c>
      <c r="K278" s="16">
        <v>61.075561800000003</v>
      </c>
      <c r="L278" s="16">
        <v>32.033481600000002</v>
      </c>
      <c r="M278" s="16">
        <v>7.0858335500000003</v>
      </c>
      <c r="N278" s="16">
        <v>66.756694300000007</v>
      </c>
      <c r="O278" s="16">
        <v>180</v>
      </c>
      <c r="P278" s="175">
        <v>0.56402649000000005</v>
      </c>
      <c r="R278" s="13" t="s">
        <v>33</v>
      </c>
      <c r="S278" s="22">
        <v>1</v>
      </c>
      <c r="T278" s="19" t="s">
        <v>40</v>
      </c>
    </row>
    <row r="279" spans="1:20" x14ac:dyDescent="0.2">
      <c r="A279">
        <v>852</v>
      </c>
      <c r="B279" s="8">
        <v>46218</v>
      </c>
      <c r="C279" s="9">
        <v>0.46944444444444444</v>
      </c>
      <c r="D279" s="7" t="s">
        <v>25</v>
      </c>
      <c r="E279" s="13" t="s">
        <v>33</v>
      </c>
      <c r="F279" s="16">
        <v>85.815471099999996</v>
      </c>
      <c r="G279" s="129">
        <v>1902.6010699999999</v>
      </c>
      <c r="H279" s="169">
        <v>1</v>
      </c>
      <c r="I279" s="170" t="s">
        <v>255</v>
      </c>
      <c r="J279" s="165" t="s">
        <v>24</v>
      </c>
      <c r="K279" s="16">
        <v>84.531176799999997</v>
      </c>
      <c r="L279" s="16">
        <v>-19.477619000000001</v>
      </c>
      <c r="M279" s="16">
        <v>14.683818799999999</v>
      </c>
      <c r="N279" s="16">
        <v>68.338073100000003</v>
      </c>
      <c r="O279" s="16">
        <v>10</v>
      </c>
      <c r="P279" s="175">
        <v>0.76793739000000005</v>
      </c>
      <c r="R279" s="13" t="s">
        <v>37</v>
      </c>
      <c r="S279" s="169">
        <v>0</v>
      </c>
      <c r="T279" s="170"/>
    </row>
    <row r="280" spans="1:20" x14ac:dyDescent="0.2">
      <c r="A280">
        <v>869</v>
      </c>
      <c r="B280" s="8">
        <v>46218</v>
      </c>
      <c r="C280" s="9">
        <v>0.47812500000000002</v>
      </c>
      <c r="D280" s="7" t="s">
        <v>25</v>
      </c>
      <c r="E280" s="13" t="s">
        <v>33</v>
      </c>
      <c r="F280" s="16">
        <v>85.227915199999998</v>
      </c>
      <c r="G280" s="129">
        <v>1821.2436499999999</v>
      </c>
      <c r="H280" s="22">
        <v>1</v>
      </c>
      <c r="I280" s="19" t="s">
        <v>39</v>
      </c>
      <c r="J280" s="7" t="s">
        <v>29</v>
      </c>
      <c r="K280" s="16"/>
      <c r="L280" s="16"/>
      <c r="M280" s="16"/>
      <c r="N280" s="16">
        <v>67.152038899999994</v>
      </c>
      <c r="O280" s="16"/>
      <c r="P280" s="175"/>
      <c r="R280" s="13" t="s">
        <v>37</v>
      </c>
      <c r="S280" s="22">
        <v>1</v>
      </c>
      <c r="T280" s="19" t="s">
        <v>38</v>
      </c>
    </row>
    <row r="281" spans="1:20" x14ac:dyDescent="0.2">
      <c r="A281">
        <v>870</v>
      </c>
      <c r="B281" s="8">
        <v>46218</v>
      </c>
      <c r="C281" s="9">
        <v>0.47832175925925924</v>
      </c>
      <c r="D281" s="7" t="s">
        <v>25</v>
      </c>
      <c r="E281" s="13" t="s">
        <v>37</v>
      </c>
      <c r="F281" s="16">
        <v>72.412756099999996</v>
      </c>
      <c r="G281" s="129">
        <v>2182.1904300000001</v>
      </c>
      <c r="H281" s="22">
        <v>1</v>
      </c>
      <c r="I281" s="19" t="s">
        <v>38</v>
      </c>
      <c r="J281" s="7" t="s">
        <v>29</v>
      </c>
      <c r="K281" s="16"/>
      <c r="L281" s="16"/>
      <c r="M281" s="16"/>
      <c r="N281" s="16">
        <v>65.570664300000004</v>
      </c>
      <c r="O281" s="16"/>
      <c r="P281" s="175"/>
      <c r="R281" s="13" t="s">
        <v>37</v>
      </c>
      <c r="S281" s="22">
        <v>1</v>
      </c>
      <c r="T281" s="19" t="s">
        <v>38</v>
      </c>
    </row>
    <row r="282" spans="1:20" x14ac:dyDescent="0.2">
      <c r="A282">
        <v>871</v>
      </c>
      <c r="B282" s="8">
        <v>46218</v>
      </c>
      <c r="C282" s="9">
        <v>0.47856481481481483</v>
      </c>
      <c r="D282" s="7" t="s">
        <v>25</v>
      </c>
      <c r="E282" s="13" t="s">
        <v>37</v>
      </c>
      <c r="F282" s="16">
        <v>77.351433400000005</v>
      </c>
      <c r="G282" s="129">
        <v>2263.4643599999999</v>
      </c>
      <c r="H282" s="22">
        <v>0</v>
      </c>
      <c r="I282" s="19"/>
      <c r="J282" s="7" t="s">
        <v>29</v>
      </c>
      <c r="K282" s="16"/>
      <c r="L282" s="16"/>
      <c r="M282" s="16"/>
      <c r="N282" s="16"/>
      <c r="O282" s="16"/>
      <c r="P282" s="175"/>
      <c r="R282" s="13" t="s">
        <v>37</v>
      </c>
      <c r="S282" s="22">
        <v>0</v>
      </c>
      <c r="T282" s="19"/>
    </row>
    <row r="283" spans="1:20" x14ac:dyDescent="0.2">
      <c r="A283">
        <v>872</v>
      </c>
      <c r="B283" s="8">
        <v>46218</v>
      </c>
      <c r="C283" s="9">
        <v>0.47876157407407405</v>
      </c>
      <c r="D283" s="7" t="s">
        <v>25</v>
      </c>
      <c r="E283" s="13" t="s">
        <v>33</v>
      </c>
      <c r="F283" s="16">
        <v>86.641228799999993</v>
      </c>
      <c r="G283" s="129">
        <v>1899.1694299999999</v>
      </c>
      <c r="H283" s="22">
        <v>0</v>
      </c>
      <c r="I283" s="19"/>
      <c r="J283" s="7" t="s">
        <v>29</v>
      </c>
      <c r="K283" s="16"/>
      <c r="L283" s="16"/>
      <c r="M283" s="16"/>
      <c r="N283" s="16"/>
      <c r="O283" s="16"/>
      <c r="P283" s="175"/>
      <c r="R283" s="13" t="s">
        <v>37</v>
      </c>
      <c r="S283" s="22">
        <v>1</v>
      </c>
      <c r="T283" s="19"/>
    </row>
    <row r="284" spans="1:20" x14ac:dyDescent="0.2">
      <c r="A284">
        <v>873</v>
      </c>
      <c r="B284" s="8">
        <v>46218</v>
      </c>
      <c r="C284" s="9">
        <v>0.47892361111111109</v>
      </c>
      <c r="D284" s="7" t="s">
        <v>25</v>
      </c>
      <c r="E284" s="13" t="s">
        <v>33</v>
      </c>
      <c r="F284" s="16">
        <v>85.021470600000001</v>
      </c>
      <c r="G284" s="129">
        <v>2015.77917</v>
      </c>
      <c r="H284" s="22">
        <v>0</v>
      </c>
      <c r="I284" s="19"/>
      <c r="J284" s="7" t="s">
        <v>29</v>
      </c>
      <c r="K284" s="16"/>
      <c r="L284" s="16"/>
      <c r="M284" s="16"/>
      <c r="N284" s="16"/>
      <c r="O284" s="16"/>
      <c r="P284" s="175"/>
      <c r="R284" s="13" t="s">
        <v>37</v>
      </c>
      <c r="S284" s="22">
        <v>1</v>
      </c>
      <c r="T284" s="19" t="s">
        <v>39</v>
      </c>
    </row>
    <row r="285" spans="1:20" x14ac:dyDescent="0.2">
      <c r="A285">
        <v>874</v>
      </c>
      <c r="B285" s="8">
        <v>46218</v>
      </c>
      <c r="C285" s="9">
        <v>0.47910879629629627</v>
      </c>
      <c r="D285" s="7" t="s">
        <v>25</v>
      </c>
      <c r="E285" s="13" t="s">
        <v>33</v>
      </c>
      <c r="F285" s="16">
        <v>83.782837799999996</v>
      </c>
      <c r="G285" s="129">
        <v>1949.8</v>
      </c>
      <c r="H285" s="22">
        <v>1</v>
      </c>
      <c r="I285" s="19" t="s">
        <v>38</v>
      </c>
      <c r="J285" s="7" t="s">
        <v>29</v>
      </c>
      <c r="K285" s="16"/>
      <c r="L285" s="16"/>
      <c r="M285" s="16"/>
      <c r="N285" s="16">
        <v>68.225114300000001</v>
      </c>
      <c r="O285" s="16"/>
      <c r="P285" s="175"/>
      <c r="R285" s="13" t="s">
        <v>37</v>
      </c>
      <c r="S285" s="22">
        <v>0</v>
      </c>
      <c r="T285" s="19"/>
    </row>
    <row r="286" spans="1:20" x14ac:dyDescent="0.2">
      <c r="A286">
        <v>875</v>
      </c>
      <c r="B286" s="8">
        <v>46218</v>
      </c>
      <c r="C286" s="9">
        <v>0.47939814814814813</v>
      </c>
      <c r="D286" s="7" t="s">
        <v>25</v>
      </c>
      <c r="E286" s="13" t="s">
        <v>37</v>
      </c>
      <c r="F286" s="16">
        <v>74.937680400000005</v>
      </c>
      <c r="G286" s="129">
        <v>2043.07458</v>
      </c>
      <c r="H286" s="22">
        <v>0</v>
      </c>
      <c r="I286" s="19" t="s">
        <v>48</v>
      </c>
      <c r="J286" s="7" t="s">
        <v>29</v>
      </c>
      <c r="K286" s="16"/>
      <c r="L286" s="16"/>
      <c r="M286" s="16"/>
      <c r="N286" s="16"/>
      <c r="O286" s="16"/>
      <c r="P286" s="175"/>
      <c r="R286" s="13" t="s">
        <v>37</v>
      </c>
      <c r="S286" s="22">
        <v>0</v>
      </c>
      <c r="T286" s="19"/>
    </row>
    <row r="287" spans="1:20" x14ac:dyDescent="0.2">
      <c r="A287">
        <v>876</v>
      </c>
      <c r="B287" s="8">
        <v>46218</v>
      </c>
      <c r="C287" s="9">
        <v>0.4795949074074074</v>
      </c>
      <c r="D287" s="7" t="s">
        <v>25</v>
      </c>
      <c r="E287" s="13" t="s">
        <v>33</v>
      </c>
      <c r="F287" s="16">
        <v>89.134386899999996</v>
      </c>
      <c r="G287" s="129">
        <v>2075.8168900000001</v>
      </c>
      <c r="H287" s="22">
        <v>1</v>
      </c>
      <c r="I287" s="19" t="s">
        <v>39</v>
      </c>
      <c r="J287" s="7" t="s">
        <v>29</v>
      </c>
      <c r="K287" s="16"/>
      <c r="L287" s="16"/>
      <c r="M287" s="16"/>
      <c r="N287" s="16">
        <v>59.188676100000002</v>
      </c>
      <c r="O287" s="16"/>
      <c r="P287" s="175"/>
      <c r="R287" s="13" t="s">
        <v>37</v>
      </c>
      <c r="S287" s="22">
        <v>1</v>
      </c>
      <c r="T287" s="19" t="s">
        <v>42</v>
      </c>
    </row>
    <row r="288" spans="1:20" x14ac:dyDescent="0.2">
      <c r="A288">
        <v>877</v>
      </c>
      <c r="B288" s="8">
        <v>46218</v>
      </c>
      <c r="C288" s="9">
        <v>0.48003472222222221</v>
      </c>
      <c r="D288" s="7" t="s">
        <v>25</v>
      </c>
      <c r="E288" s="13" t="s">
        <v>37</v>
      </c>
      <c r="F288" s="16">
        <v>75.382321500000003</v>
      </c>
      <c r="G288" s="129">
        <v>2222.6079100000002</v>
      </c>
      <c r="H288" s="22">
        <v>1</v>
      </c>
      <c r="I288" s="19"/>
      <c r="J288" s="7" t="s">
        <v>23</v>
      </c>
      <c r="K288" s="16"/>
      <c r="L288" s="16"/>
      <c r="M288" s="16"/>
      <c r="N288" s="16">
        <v>32.531180399999997</v>
      </c>
      <c r="O288" s="16"/>
      <c r="P288" s="175"/>
      <c r="R288" s="13" t="s">
        <v>37</v>
      </c>
      <c r="S288" s="22">
        <v>0</v>
      </c>
      <c r="T288" s="19"/>
    </row>
    <row r="289" spans="1:20" x14ac:dyDescent="0.2">
      <c r="A289">
        <v>878</v>
      </c>
      <c r="B289" s="8">
        <v>46218</v>
      </c>
      <c r="C289" s="9">
        <v>0.48023148148148148</v>
      </c>
      <c r="D289" s="7" t="s">
        <v>25</v>
      </c>
      <c r="E289" s="13" t="s">
        <v>37</v>
      </c>
      <c r="F289" s="16">
        <v>75.128236000000001</v>
      </c>
      <c r="G289" s="129">
        <v>2141.8557099999998</v>
      </c>
      <c r="H289" s="22">
        <v>1</v>
      </c>
      <c r="I289" s="19"/>
      <c r="J289" s="7" t="s">
        <v>23</v>
      </c>
      <c r="K289" s="16"/>
      <c r="L289" s="16"/>
      <c r="M289" s="16"/>
      <c r="N289" s="16"/>
      <c r="O289" s="16"/>
      <c r="P289" s="175"/>
      <c r="R289" s="13" t="s">
        <v>37</v>
      </c>
      <c r="S289" s="22">
        <v>1</v>
      </c>
      <c r="T289" s="19" t="s">
        <v>39</v>
      </c>
    </row>
    <row r="290" spans="1:20" x14ac:dyDescent="0.2">
      <c r="A290">
        <v>879</v>
      </c>
      <c r="B290" s="8">
        <v>46218</v>
      </c>
      <c r="C290" s="9">
        <v>0.48040509259259262</v>
      </c>
      <c r="D290" s="7" t="s">
        <v>25</v>
      </c>
      <c r="E290" s="13" t="s">
        <v>33</v>
      </c>
      <c r="F290" s="16">
        <v>87.339950299999998</v>
      </c>
      <c r="G290" s="129">
        <v>1935.8442399999999</v>
      </c>
      <c r="H290" s="22">
        <v>0</v>
      </c>
      <c r="I290" s="19"/>
      <c r="J290" s="7" t="s">
        <v>23</v>
      </c>
      <c r="K290" s="16"/>
      <c r="L290" s="16"/>
      <c r="M290" s="16"/>
      <c r="N290" s="16"/>
      <c r="O290" s="16"/>
      <c r="P290" s="175"/>
      <c r="R290" s="13" t="s">
        <v>37</v>
      </c>
      <c r="S290" s="22">
        <v>1</v>
      </c>
      <c r="T290" s="19" t="s">
        <v>38</v>
      </c>
    </row>
    <row r="291" spans="1:20" x14ac:dyDescent="0.2">
      <c r="A291">
        <v>880</v>
      </c>
      <c r="B291" s="8">
        <v>46218</v>
      </c>
      <c r="C291" s="9">
        <v>0.48056712962962961</v>
      </c>
      <c r="D291" s="7" t="s">
        <v>25</v>
      </c>
      <c r="E291" s="13" t="s">
        <v>37</v>
      </c>
      <c r="F291" s="16">
        <v>78.193074800000005</v>
      </c>
      <c r="G291" s="129">
        <v>2238.7614699999999</v>
      </c>
      <c r="H291" s="22">
        <v>0</v>
      </c>
      <c r="I291" s="19"/>
      <c r="J291" s="7" t="s">
        <v>23</v>
      </c>
      <c r="K291" s="16"/>
      <c r="L291" s="16"/>
      <c r="M291" s="16"/>
      <c r="N291" s="16"/>
      <c r="O291" s="16"/>
      <c r="P291" s="177"/>
      <c r="R291" s="13" t="s">
        <v>37</v>
      </c>
      <c r="S291" s="22">
        <v>0</v>
      </c>
      <c r="T291" s="19"/>
    </row>
    <row r="292" spans="1:20" x14ac:dyDescent="0.2">
      <c r="A292">
        <v>881</v>
      </c>
      <c r="B292" s="8">
        <v>46218</v>
      </c>
      <c r="C292" s="9">
        <v>0.4808912037037037</v>
      </c>
      <c r="D292" s="7" t="s">
        <v>25</v>
      </c>
      <c r="E292" s="13" t="s">
        <v>37</v>
      </c>
      <c r="F292" s="16">
        <v>77.907237100000003</v>
      </c>
      <c r="G292" s="129">
        <v>2224.2377900000001</v>
      </c>
      <c r="H292" s="22">
        <v>0</v>
      </c>
      <c r="I292" s="19"/>
      <c r="J292" s="7" t="s">
        <v>23</v>
      </c>
      <c r="K292" s="16"/>
      <c r="L292" s="16"/>
      <c r="M292" s="16"/>
      <c r="N292" s="16"/>
      <c r="O292" s="16"/>
      <c r="P292" s="175"/>
      <c r="R292" s="13" t="s">
        <v>37</v>
      </c>
      <c r="S292" s="22">
        <v>0</v>
      </c>
      <c r="T292" s="19" t="s">
        <v>48</v>
      </c>
    </row>
    <row r="293" spans="1:20" x14ac:dyDescent="0.2">
      <c r="A293">
        <v>882</v>
      </c>
      <c r="B293" s="8">
        <v>46218</v>
      </c>
      <c r="C293" s="9">
        <v>0.48115740740740742</v>
      </c>
      <c r="D293" s="7" t="s">
        <v>25</v>
      </c>
      <c r="E293" s="13" t="s">
        <v>33</v>
      </c>
      <c r="F293" s="16">
        <v>85.545513600000007</v>
      </c>
      <c r="G293" s="129">
        <v>2041.5237999999999</v>
      </c>
      <c r="H293" s="22">
        <v>0</v>
      </c>
      <c r="I293" s="19" t="s">
        <v>48</v>
      </c>
      <c r="J293" s="7" t="s">
        <v>23</v>
      </c>
      <c r="K293" s="16"/>
      <c r="L293" s="16"/>
      <c r="M293" s="16"/>
      <c r="N293" s="16"/>
      <c r="O293" s="16"/>
      <c r="P293" s="175"/>
      <c r="R293" s="13" t="s">
        <v>37</v>
      </c>
      <c r="S293" s="22">
        <v>1</v>
      </c>
      <c r="T293" s="19"/>
    </row>
    <row r="294" spans="1:20" x14ac:dyDescent="0.2">
      <c r="A294">
        <v>883</v>
      </c>
      <c r="B294" s="8">
        <v>46218</v>
      </c>
      <c r="C294" s="9">
        <v>0.48140046296296296</v>
      </c>
      <c r="D294" s="7" t="s">
        <v>25</v>
      </c>
      <c r="E294" s="13" t="s">
        <v>33</v>
      </c>
      <c r="F294" s="16">
        <v>89.833112799999995</v>
      </c>
      <c r="G294" s="129">
        <v>998.87042199999996</v>
      </c>
      <c r="H294" s="22">
        <v>0</v>
      </c>
      <c r="I294" s="19"/>
      <c r="J294" s="7" t="s">
        <v>23</v>
      </c>
      <c r="K294" s="16"/>
      <c r="L294" s="16"/>
      <c r="M294" s="16"/>
      <c r="N294" s="16"/>
      <c r="O294" s="16"/>
      <c r="P294" s="175"/>
      <c r="R294" s="13" t="s">
        <v>37</v>
      </c>
      <c r="S294" s="22">
        <v>1</v>
      </c>
      <c r="T294" s="19"/>
    </row>
    <row r="295" spans="1:20" x14ac:dyDescent="0.2">
      <c r="A295">
        <v>884</v>
      </c>
      <c r="B295" s="8">
        <v>46218</v>
      </c>
      <c r="C295" s="9">
        <v>0.48180555555555554</v>
      </c>
      <c r="D295" s="7" t="s">
        <v>25</v>
      </c>
      <c r="E295" s="13" t="s">
        <v>35</v>
      </c>
      <c r="F295" s="16">
        <v>71.189999200000003</v>
      </c>
      <c r="G295" s="129">
        <v>1564.30969</v>
      </c>
      <c r="H295" s="22">
        <v>0</v>
      </c>
      <c r="I295" s="19"/>
      <c r="J295" s="7" t="s">
        <v>24</v>
      </c>
      <c r="K295" s="16"/>
      <c r="L295" s="16"/>
      <c r="M295" s="16"/>
      <c r="N295" s="16"/>
      <c r="O295" s="16"/>
      <c r="P295" s="175"/>
      <c r="R295" s="13" t="s">
        <v>37</v>
      </c>
      <c r="S295" s="22">
        <v>0</v>
      </c>
      <c r="T295" s="19"/>
    </row>
    <row r="296" spans="1:20" x14ac:dyDescent="0.2">
      <c r="A296">
        <v>885</v>
      </c>
      <c r="B296" s="8">
        <v>46218</v>
      </c>
      <c r="C296" s="9">
        <v>0.48212962962962963</v>
      </c>
      <c r="D296" s="7" t="s">
        <v>25</v>
      </c>
      <c r="E296" s="13" t="s">
        <v>33</v>
      </c>
      <c r="F296" s="16">
        <v>83.385837600000002</v>
      </c>
      <c r="G296" s="129">
        <v>1972.3457000000001</v>
      </c>
      <c r="H296" s="22">
        <v>1</v>
      </c>
      <c r="I296" s="19" t="s">
        <v>255</v>
      </c>
      <c r="J296" s="7" t="s">
        <v>24</v>
      </c>
      <c r="K296" s="16">
        <v>74.9524598</v>
      </c>
      <c r="L296" s="16">
        <v>4.8158869700000002</v>
      </c>
      <c r="M296" s="16">
        <v>-20.443480000000001</v>
      </c>
      <c r="N296" s="16">
        <v>66.361349599999997</v>
      </c>
      <c r="O296" s="16">
        <v>67</v>
      </c>
      <c r="P296" s="177">
        <v>0.69935486000000002</v>
      </c>
      <c r="R296" s="13" t="s">
        <v>37</v>
      </c>
      <c r="S296" s="22">
        <v>0</v>
      </c>
      <c r="T296" s="19"/>
    </row>
    <row r="297" spans="1:20" s="114" customFormat="1" x14ac:dyDescent="0.2">
      <c r="A297" s="114">
        <v>1073</v>
      </c>
      <c r="B297" s="203">
        <v>46224</v>
      </c>
      <c r="C297" s="204">
        <v>0.73773148148148149</v>
      </c>
      <c r="D297" s="114" t="s">
        <v>25</v>
      </c>
      <c r="E297" s="205" t="s">
        <v>33</v>
      </c>
      <c r="F297" s="206">
        <v>83.125445929999998</v>
      </c>
      <c r="G297" s="207">
        <v>1851.1707799999999</v>
      </c>
      <c r="H297" s="208">
        <v>1</v>
      </c>
      <c r="I297" s="209" t="s">
        <v>39</v>
      </c>
      <c r="J297" s="114" t="s">
        <v>19</v>
      </c>
      <c r="K297" s="206"/>
      <c r="L297" s="206"/>
      <c r="M297" s="206"/>
      <c r="N297" s="206">
        <v>59.614778813000001</v>
      </c>
      <c r="O297" s="206"/>
      <c r="P297" s="222"/>
      <c r="R297" s="205" t="s">
        <v>35</v>
      </c>
      <c r="S297" s="208">
        <v>1</v>
      </c>
      <c r="T297" s="209" t="s">
        <v>38</v>
      </c>
    </row>
    <row r="298" spans="1:20" x14ac:dyDescent="0.2">
      <c r="A298">
        <v>1074</v>
      </c>
      <c r="B298" s="1">
        <v>46224</v>
      </c>
      <c r="C298" s="2">
        <v>0.73805555555555558</v>
      </c>
      <c r="D298" t="s">
        <v>25</v>
      </c>
      <c r="E298" s="10" t="s">
        <v>33</v>
      </c>
      <c r="F298" s="11">
        <v>85.985265259000002</v>
      </c>
      <c r="G298" s="4">
        <v>2002.24829</v>
      </c>
      <c r="H298" s="20">
        <v>1</v>
      </c>
      <c r="I298" s="17"/>
      <c r="J298" t="s">
        <v>19</v>
      </c>
      <c r="K298" s="11"/>
      <c r="L298" s="11"/>
      <c r="M298" s="11"/>
      <c r="N298" s="11"/>
      <c r="O298" s="11"/>
      <c r="P298" s="33"/>
      <c r="R298" s="10" t="s">
        <v>35</v>
      </c>
      <c r="S298" s="20">
        <v>1</v>
      </c>
      <c r="T298" s="17" t="s">
        <v>39</v>
      </c>
    </row>
    <row r="299" spans="1:20" x14ac:dyDescent="0.2">
      <c r="A299">
        <v>1075</v>
      </c>
      <c r="B299" s="1">
        <v>46224</v>
      </c>
      <c r="C299" s="2">
        <v>0.73831018518518521</v>
      </c>
      <c r="D299" t="s">
        <v>25</v>
      </c>
      <c r="E299" s="10" t="s">
        <v>35</v>
      </c>
      <c r="F299" s="11">
        <v>73.958133239999995</v>
      </c>
      <c r="G299" s="4">
        <v>1586.73633</v>
      </c>
      <c r="H299" s="20">
        <v>1</v>
      </c>
      <c r="I299" s="17" t="s">
        <v>38</v>
      </c>
      <c r="J299" t="s">
        <v>19</v>
      </c>
      <c r="K299" s="11"/>
      <c r="L299" s="11"/>
      <c r="M299" s="11"/>
      <c r="N299" s="11">
        <v>60.744920262999997</v>
      </c>
      <c r="O299" s="11"/>
      <c r="P299" s="33"/>
      <c r="R299" s="10" t="s">
        <v>35</v>
      </c>
      <c r="S299" s="20">
        <v>1</v>
      </c>
      <c r="T299" s="17" t="s">
        <v>38</v>
      </c>
    </row>
    <row r="300" spans="1:20" x14ac:dyDescent="0.2">
      <c r="A300">
        <v>1076</v>
      </c>
      <c r="B300" s="1">
        <v>46224</v>
      </c>
      <c r="C300" s="2">
        <v>0.73871527777777779</v>
      </c>
      <c r="D300" t="s">
        <v>25</v>
      </c>
      <c r="E300" s="10" t="s">
        <v>37</v>
      </c>
      <c r="F300" s="11">
        <v>77.024491107000003</v>
      </c>
      <c r="G300" s="4">
        <v>2031.9703400000001</v>
      </c>
      <c r="H300" s="20">
        <v>1</v>
      </c>
      <c r="I300" s="17" t="s">
        <v>45</v>
      </c>
      <c r="J300" t="s">
        <v>19</v>
      </c>
      <c r="K300" s="11"/>
      <c r="L300" s="11"/>
      <c r="M300" s="11"/>
      <c r="N300" s="11">
        <v>61.875057464000001</v>
      </c>
      <c r="O300" s="11"/>
      <c r="P300" s="33"/>
      <c r="R300" s="10" t="s">
        <v>35</v>
      </c>
      <c r="S300" s="20">
        <v>1</v>
      </c>
      <c r="T300" s="17" t="s">
        <v>39</v>
      </c>
    </row>
    <row r="301" spans="1:20" x14ac:dyDescent="0.2">
      <c r="A301">
        <v>1077</v>
      </c>
      <c r="B301" s="1">
        <v>46224</v>
      </c>
      <c r="C301" s="2">
        <v>0.73936342592592597</v>
      </c>
      <c r="D301" t="s">
        <v>25</v>
      </c>
      <c r="E301" s="10" t="s">
        <v>35</v>
      </c>
      <c r="F301" s="11">
        <v>73.465603552999994</v>
      </c>
      <c r="G301" s="4">
        <v>1749.86133</v>
      </c>
      <c r="H301" s="20">
        <v>1</v>
      </c>
      <c r="I301" s="17" t="s">
        <v>39</v>
      </c>
      <c r="J301" t="s">
        <v>22</v>
      </c>
      <c r="K301" s="11"/>
      <c r="L301" s="11"/>
      <c r="M301" s="11"/>
      <c r="N301" s="11">
        <v>60.801427279999999</v>
      </c>
      <c r="O301" s="11"/>
      <c r="P301" s="33"/>
      <c r="R301" s="10" t="s">
        <v>35</v>
      </c>
      <c r="S301" s="20">
        <v>1</v>
      </c>
      <c r="T301" s="17"/>
    </row>
    <row r="302" spans="1:20" x14ac:dyDescent="0.2">
      <c r="A302">
        <v>1078</v>
      </c>
      <c r="B302" s="1">
        <v>46224</v>
      </c>
      <c r="C302" s="2">
        <v>0.73959490740740741</v>
      </c>
      <c r="D302" t="s">
        <v>25</v>
      </c>
      <c r="E302" s="10" t="s">
        <v>35</v>
      </c>
      <c r="F302" s="11">
        <v>74.021680341000007</v>
      </c>
      <c r="G302" s="4">
        <v>1679.94739</v>
      </c>
      <c r="H302" s="20">
        <v>1</v>
      </c>
      <c r="I302" s="17" t="s">
        <v>38</v>
      </c>
      <c r="J302" t="s">
        <v>22</v>
      </c>
      <c r="K302" s="11">
        <v>52.060695154000001</v>
      </c>
      <c r="L302" s="11">
        <v>-28.0002441</v>
      </c>
      <c r="M302" s="11"/>
      <c r="N302" s="11">
        <v>57.524025461999997</v>
      </c>
      <c r="O302" s="11">
        <v>9</v>
      </c>
      <c r="P302" s="33">
        <v>0.5526548</v>
      </c>
      <c r="R302" s="10" t="s">
        <v>35</v>
      </c>
      <c r="S302" s="20">
        <v>0</v>
      </c>
      <c r="T302" s="17"/>
    </row>
    <row r="303" spans="1:20" x14ac:dyDescent="0.2">
      <c r="A303">
        <v>1079</v>
      </c>
      <c r="B303" s="1">
        <v>46224</v>
      </c>
      <c r="C303" s="2">
        <v>0.73987268518518523</v>
      </c>
      <c r="D303" t="s">
        <v>25</v>
      </c>
      <c r="E303" s="10" t="s">
        <v>37</v>
      </c>
      <c r="F303" s="11">
        <v>73.656262752999993</v>
      </c>
      <c r="G303" s="4">
        <v>1955.5660399999999</v>
      </c>
      <c r="H303" s="20">
        <v>0</v>
      </c>
      <c r="I303" s="17"/>
      <c r="J303" t="s">
        <v>22</v>
      </c>
      <c r="K303" s="11"/>
      <c r="L303" s="11"/>
      <c r="M303" s="11"/>
      <c r="N303" s="11"/>
      <c r="O303" s="11"/>
      <c r="P303" s="33"/>
      <c r="R303" s="10" t="s">
        <v>35</v>
      </c>
      <c r="S303" s="20">
        <v>1</v>
      </c>
      <c r="T303" s="17" t="s">
        <v>45</v>
      </c>
    </row>
    <row r="304" spans="1:20" x14ac:dyDescent="0.2">
      <c r="A304">
        <v>1080</v>
      </c>
      <c r="B304" s="1">
        <v>46224</v>
      </c>
      <c r="C304" s="2">
        <v>0.74004629629629626</v>
      </c>
      <c r="D304" t="s">
        <v>25</v>
      </c>
      <c r="E304" s="10" t="s">
        <v>33</v>
      </c>
      <c r="F304" s="11">
        <v>83.745067805999994</v>
      </c>
      <c r="G304" s="4">
        <v>1895.56104</v>
      </c>
      <c r="H304" s="20">
        <v>1</v>
      </c>
      <c r="I304" s="17" t="s">
        <v>254</v>
      </c>
      <c r="J304" t="s">
        <v>22</v>
      </c>
      <c r="K304" s="11">
        <v>92.175836211999993</v>
      </c>
      <c r="L304" s="11">
        <v>21.856677999999999</v>
      </c>
      <c r="M304" s="11">
        <v>-0.65147149599999998</v>
      </c>
      <c r="N304" s="11">
        <v>64.813416735000004</v>
      </c>
      <c r="O304" s="11">
        <v>281</v>
      </c>
      <c r="P304" s="33">
        <v>0.87461067199999998</v>
      </c>
      <c r="R304" s="10" t="s">
        <v>35</v>
      </c>
      <c r="S304" s="20">
        <v>1</v>
      </c>
      <c r="T304" s="17" t="s">
        <v>39</v>
      </c>
    </row>
    <row r="305" spans="1:20" x14ac:dyDescent="0.2">
      <c r="A305">
        <v>1081</v>
      </c>
      <c r="B305" s="1">
        <v>46224</v>
      </c>
      <c r="C305" s="2">
        <v>0.74048611111111107</v>
      </c>
      <c r="D305" t="s">
        <v>25</v>
      </c>
      <c r="E305" s="10" t="s">
        <v>33</v>
      </c>
      <c r="F305" s="11">
        <v>86.303017319999995</v>
      </c>
      <c r="G305" s="4">
        <v>1823.58716</v>
      </c>
      <c r="H305" s="20">
        <v>1</v>
      </c>
      <c r="I305" s="17" t="s">
        <v>255</v>
      </c>
      <c r="J305" t="s">
        <v>27</v>
      </c>
      <c r="K305" s="11">
        <v>90.499687316000006</v>
      </c>
      <c r="L305" s="11">
        <v>7.3195271499999999</v>
      </c>
      <c r="M305" s="11">
        <v>20.1638527</v>
      </c>
      <c r="N305" s="11">
        <v>66.734648587999999</v>
      </c>
      <c r="O305" s="11">
        <v>137</v>
      </c>
      <c r="P305" s="33">
        <v>0.83595306400000002</v>
      </c>
      <c r="R305" s="10" t="s">
        <v>35</v>
      </c>
      <c r="S305" s="20">
        <v>1</v>
      </c>
      <c r="T305" s="17" t="s">
        <v>45</v>
      </c>
    </row>
    <row r="306" spans="1:20" x14ac:dyDescent="0.2">
      <c r="A306">
        <v>1082</v>
      </c>
      <c r="B306" s="1">
        <v>46224</v>
      </c>
      <c r="C306" s="2">
        <v>0.74089120370370365</v>
      </c>
      <c r="D306" t="s">
        <v>25</v>
      </c>
      <c r="E306" s="10" t="s">
        <v>37</v>
      </c>
      <c r="F306" s="11">
        <v>72.512330367999994</v>
      </c>
      <c r="G306" s="4">
        <v>2155.97388</v>
      </c>
      <c r="H306" s="20">
        <v>0</v>
      </c>
      <c r="I306" s="17"/>
      <c r="J306" t="s">
        <v>20</v>
      </c>
      <c r="K306" s="11"/>
      <c r="L306" s="11"/>
      <c r="M306" s="11"/>
      <c r="N306" s="11"/>
      <c r="O306" s="11"/>
      <c r="P306" s="33"/>
      <c r="R306" s="10" t="s">
        <v>35</v>
      </c>
      <c r="S306" s="20">
        <v>0</v>
      </c>
      <c r="T306" s="17"/>
    </row>
    <row r="307" spans="1:20" x14ac:dyDescent="0.2">
      <c r="A307">
        <v>1083</v>
      </c>
      <c r="B307" s="1">
        <v>46224</v>
      </c>
      <c r="C307" s="2">
        <v>0.74109953703703701</v>
      </c>
      <c r="D307" t="s">
        <v>25</v>
      </c>
      <c r="E307" s="10" t="s">
        <v>33</v>
      </c>
      <c r="F307" s="11">
        <v>83.824513930999998</v>
      </c>
      <c r="G307" s="4">
        <v>1971.96558</v>
      </c>
      <c r="H307" s="161">
        <v>1</v>
      </c>
      <c r="I307" s="162" t="s">
        <v>255</v>
      </c>
      <c r="J307" s="155" t="s">
        <v>20</v>
      </c>
      <c r="K307" s="11"/>
      <c r="L307" s="11">
        <v>-84.029006999999993</v>
      </c>
      <c r="M307" s="11"/>
      <c r="N307" s="11">
        <v>68.429856626000003</v>
      </c>
      <c r="O307" s="11">
        <v>11</v>
      </c>
      <c r="P307" s="33"/>
      <c r="R307" s="10" t="s">
        <v>35</v>
      </c>
      <c r="S307" s="161">
        <v>1</v>
      </c>
      <c r="T307" s="162" t="s">
        <v>38</v>
      </c>
    </row>
    <row r="308" spans="1:20" x14ac:dyDescent="0.2">
      <c r="A308">
        <v>1112</v>
      </c>
      <c r="B308" s="1">
        <v>46224</v>
      </c>
      <c r="C308" s="2">
        <v>0.7540162037037037</v>
      </c>
      <c r="D308" t="s">
        <v>25</v>
      </c>
      <c r="E308" s="10" t="s">
        <v>37</v>
      </c>
      <c r="F308" s="11">
        <v>68.635686726000003</v>
      </c>
      <c r="G308" s="4">
        <v>1973.6320800000001</v>
      </c>
      <c r="H308" s="20">
        <v>1</v>
      </c>
      <c r="I308" s="17" t="s">
        <v>255</v>
      </c>
      <c r="J308" t="s">
        <v>22</v>
      </c>
      <c r="K308" s="11">
        <v>52.012994507000002</v>
      </c>
      <c r="L308" s="11">
        <v>-22.1935349</v>
      </c>
      <c r="M308" s="11">
        <v>1.1702002300000001</v>
      </c>
      <c r="N308" s="11">
        <v>57.693546736000002</v>
      </c>
      <c r="O308" s="11">
        <v>8</v>
      </c>
      <c r="P308" s="33">
        <v>0.55776165</v>
      </c>
      <c r="R308" s="10" t="s">
        <v>35</v>
      </c>
      <c r="S308" s="20">
        <v>1</v>
      </c>
      <c r="T308" s="17" t="s">
        <v>38</v>
      </c>
    </row>
    <row r="309" spans="1:20" x14ac:dyDescent="0.2">
      <c r="A309">
        <v>1113</v>
      </c>
      <c r="B309" s="1">
        <v>46224</v>
      </c>
      <c r="C309" s="2">
        <v>0.75450231481481478</v>
      </c>
      <c r="D309" t="s">
        <v>25</v>
      </c>
      <c r="E309" s="10" t="s">
        <v>37</v>
      </c>
      <c r="F309" s="11">
        <v>70.732886703000005</v>
      </c>
      <c r="G309" s="4">
        <v>1786.87988</v>
      </c>
      <c r="H309" s="20">
        <v>0</v>
      </c>
      <c r="I309" s="17"/>
      <c r="J309" t="s">
        <v>27</v>
      </c>
      <c r="K309" s="11"/>
      <c r="L309" s="11"/>
      <c r="M309" s="11"/>
      <c r="N309" s="11"/>
      <c r="O309" s="11"/>
      <c r="P309" s="33"/>
      <c r="R309" s="10" t="s">
        <v>35</v>
      </c>
      <c r="S309" s="20">
        <v>1</v>
      </c>
      <c r="T309" s="17" t="s">
        <v>254</v>
      </c>
    </row>
    <row r="310" spans="1:20" x14ac:dyDescent="0.2">
      <c r="A310">
        <v>1114</v>
      </c>
      <c r="B310" s="1">
        <v>46224</v>
      </c>
      <c r="C310" s="2">
        <v>0.75472222222222218</v>
      </c>
      <c r="D310" t="s">
        <v>25</v>
      </c>
      <c r="E310" s="10" t="s">
        <v>35</v>
      </c>
      <c r="F310" s="11">
        <v>72.830090929999997</v>
      </c>
      <c r="G310" s="4">
        <v>1677.85706</v>
      </c>
      <c r="H310" s="20">
        <v>1</v>
      </c>
      <c r="I310" s="17" t="s">
        <v>39</v>
      </c>
      <c r="J310" t="s">
        <v>27</v>
      </c>
      <c r="K310" s="11"/>
      <c r="L310" s="11"/>
      <c r="M310" s="11"/>
      <c r="N310" s="11">
        <v>67.356226441999993</v>
      </c>
      <c r="O310" s="11"/>
      <c r="P310" s="33"/>
      <c r="R310" s="10" t="s">
        <v>35</v>
      </c>
      <c r="S310" s="20">
        <v>0</v>
      </c>
      <c r="T310" s="17"/>
    </row>
    <row r="311" spans="1:20" x14ac:dyDescent="0.2">
      <c r="A311">
        <v>1115</v>
      </c>
      <c r="B311" s="1">
        <v>46224</v>
      </c>
      <c r="C311" s="2">
        <v>0.75497685185185182</v>
      </c>
      <c r="D311" t="s">
        <v>25</v>
      </c>
      <c r="E311" s="10" t="s">
        <v>33</v>
      </c>
      <c r="F311" s="11">
        <v>85.603961622</v>
      </c>
      <c r="G311" s="4">
        <v>2022.36841</v>
      </c>
      <c r="H311" s="20">
        <v>0</v>
      </c>
      <c r="I311" s="17"/>
      <c r="J311" t="s">
        <v>27</v>
      </c>
      <c r="K311" s="11"/>
      <c r="L311" s="11"/>
      <c r="M311" s="11"/>
      <c r="N311" s="11"/>
      <c r="O311" s="11"/>
      <c r="P311" s="33"/>
      <c r="R311" s="10" t="s">
        <v>35</v>
      </c>
      <c r="S311" s="20">
        <v>0</v>
      </c>
      <c r="T311" s="17"/>
    </row>
    <row r="312" spans="1:20" x14ac:dyDescent="0.2">
      <c r="A312">
        <v>1116</v>
      </c>
      <c r="B312" s="1">
        <v>46224</v>
      </c>
      <c r="C312" s="2">
        <v>0.75523148148148145</v>
      </c>
      <c r="D312" t="s">
        <v>25</v>
      </c>
      <c r="E312" s="10" t="s">
        <v>33</v>
      </c>
      <c r="F312" s="11">
        <v>81.028241703000006</v>
      </c>
      <c r="G312" s="4">
        <v>1994.8275100000001</v>
      </c>
      <c r="H312" s="20">
        <v>1</v>
      </c>
      <c r="I312" s="17" t="s">
        <v>254</v>
      </c>
      <c r="J312" t="s">
        <v>27</v>
      </c>
      <c r="K312" s="11">
        <v>97.208106044999994</v>
      </c>
      <c r="L312" s="11">
        <v>14.6346788</v>
      </c>
      <c r="M312" s="11">
        <v>-25.214904799999999</v>
      </c>
      <c r="N312" s="11">
        <v>64.417867170999997</v>
      </c>
      <c r="O312" s="11">
        <v>246</v>
      </c>
      <c r="P312" s="33">
        <v>0.93200813299999996</v>
      </c>
      <c r="R312" s="10" t="s">
        <v>35</v>
      </c>
      <c r="S312" s="20">
        <v>1</v>
      </c>
      <c r="T312" s="17" t="s">
        <v>45</v>
      </c>
    </row>
    <row r="313" spans="1:20" x14ac:dyDescent="0.2">
      <c r="A313">
        <v>1117</v>
      </c>
      <c r="B313" s="1">
        <v>46224</v>
      </c>
      <c r="C313" s="2">
        <v>0.75569444444444445</v>
      </c>
      <c r="D313" t="s">
        <v>25</v>
      </c>
      <c r="E313" s="10" t="s">
        <v>37</v>
      </c>
      <c r="F313" s="11">
        <v>70.319805600999999</v>
      </c>
      <c r="G313" s="4">
        <v>2110.14282</v>
      </c>
      <c r="H313" s="20">
        <v>1</v>
      </c>
      <c r="I313" s="17"/>
      <c r="J313" t="s">
        <v>23</v>
      </c>
      <c r="K313" s="11"/>
      <c r="L313" s="11"/>
      <c r="M313" s="11"/>
      <c r="N313" s="11"/>
      <c r="O313" s="11"/>
      <c r="P313" s="33"/>
      <c r="R313" s="10" t="s">
        <v>33</v>
      </c>
      <c r="S313" s="20">
        <v>1</v>
      </c>
      <c r="T313" s="17" t="s">
        <v>39</v>
      </c>
    </row>
    <row r="314" spans="1:20" x14ac:dyDescent="0.2">
      <c r="A314">
        <v>1118</v>
      </c>
      <c r="B314" s="1">
        <v>46224</v>
      </c>
      <c r="C314" s="2">
        <v>0.75596064814814812</v>
      </c>
      <c r="D314" t="s">
        <v>25</v>
      </c>
      <c r="E314" s="10" t="s">
        <v>37</v>
      </c>
      <c r="F314" s="11">
        <v>73.719808736000005</v>
      </c>
      <c r="G314" s="4">
        <v>2210.1137699999999</v>
      </c>
      <c r="H314" s="20">
        <v>1</v>
      </c>
      <c r="I314" s="17" t="s">
        <v>254</v>
      </c>
      <c r="J314" t="s">
        <v>23</v>
      </c>
      <c r="K314" s="11">
        <v>67.028281558000003</v>
      </c>
      <c r="L314" s="11">
        <v>26.8131752</v>
      </c>
      <c r="M314" s="11">
        <v>14.201465600000001</v>
      </c>
      <c r="N314" s="11">
        <v>58.541148628999998</v>
      </c>
      <c r="O314" s="11">
        <v>194</v>
      </c>
      <c r="P314" s="33">
        <v>0.70054153399999997</v>
      </c>
      <c r="R314" s="10" t="s">
        <v>33</v>
      </c>
      <c r="S314" s="20">
        <v>1</v>
      </c>
      <c r="T314" s="17"/>
    </row>
    <row r="315" spans="1:20" x14ac:dyDescent="0.2">
      <c r="A315">
        <v>1119</v>
      </c>
      <c r="B315" s="1">
        <v>46224</v>
      </c>
      <c r="C315" s="2">
        <v>0.75640046296296293</v>
      </c>
      <c r="D315" t="s">
        <v>25</v>
      </c>
      <c r="E315" s="10" t="s">
        <v>37</v>
      </c>
      <c r="F315" s="11">
        <v>72.861868842999996</v>
      </c>
      <c r="G315" s="4">
        <v>2228.4445799999999</v>
      </c>
      <c r="H315" s="20">
        <v>1</v>
      </c>
      <c r="I315" s="17" t="s">
        <v>39</v>
      </c>
      <c r="J315" t="s">
        <v>20</v>
      </c>
      <c r="K315" s="11"/>
      <c r="L315" s="11"/>
      <c r="M315" s="11"/>
      <c r="N315" s="11">
        <v>63.174715714000001</v>
      </c>
      <c r="O315" s="11"/>
      <c r="P315" s="33"/>
      <c r="R315" s="10" t="s">
        <v>33</v>
      </c>
      <c r="S315" s="20">
        <v>1</v>
      </c>
      <c r="T315" s="17" t="s">
        <v>254</v>
      </c>
    </row>
    <row r="316" spans="1:20" x14ac:dyDescent="0.2">
      <c r="A316">
        <v>1120</v>
      </c>
      <c r="B316" s="1">
        <v>46224</v>
      </c>
      <c r="C316" s="2">
        <v>0.75666666666666671</v>
      </c>
      <c r="D316" t="s">
        <v>25</v>
      </c>
      <c r="E316" s="10" t="s">
        <v>37</v>
      </c>
      <c r="F316" s="11">
        <v>71.686159887000002</v>
      </c>
      <c r="G316" s="4">
        <v>2314.2028799999998</v>
      </c>
      <c r="H316" s="20">
        <v>0</v>
      </c>
      <c r="I316" s="17"/>
      <c r="J316" t="s">
        <v>20</v>
      </c>
      <c r="K316" s="11"/>
      <c r="L316" s="11"/>
      <c r="M316" s="11"/>
      <c r="N316" s="11"/>
      <c r="O316" s="11"/>
      <c r="P316" s="33"/>
      <c r="R316" s="10" t="s">
        <v>33</v>
      </c>
      <c r="S316" s="20">
        <v>1</v>
      </c>
      <c r="T316" s="17" t="s">
        <v>255</v>
      </c>
    </row>
    <row r="317" spans="1:20" x14ac:dyDescent="0.2">
      <c r="A317">
        <v>1121</v>
      </c>
      <c r="B317" s="1">
        <v>46224</v>
      </c>
      <c r="C317" s="2">
        <v>0.75706018518518514</v>
      </c>
      <c r="D317" t="s">
        <v>25</v>
      </c>
      <c r="E317" s="10" t="s">
        <v>35</v>
      </c>
      <c r="F317" s="11">
        <v>74.101124675999998</v>
      </c>
      <c r="G317" s="4">
        <v>2028.0150100000001</v>
      </c>
      <c r="H317" s="20">
        <v>1</v>
      </c>
      <c r="I317" s="17"/>
      <c r="J317" t="s">
        <v>20</v>
      </c>
      <c r="K317" s="11"/>
      <c r="L317" s="11"/>
      <c r="M317" s="11"/>
      <c r="N317" s="11"/>
      <c r="O317" s="11"/>
      <c r="P317" s="33"/>
      <c r="R317" s="10" t="s">
        <v>33</v>
      </c>
      <c r="S317" s="20">
        <v>1</v>
      </c>
      <c r="T317" s="17" t="s">
        <v>255</v>
      </c>
    </row>
    <row r="318" spans="1:20" x14ac:dyDescent="0.2">
      <c r="A318">
        <v>1122</v>
      </c>
      <c r="B318" s="1">
        <v>46224</v>
      </c>
      <c r="C318" s="2">
        <v>0.75730324074074074</v>
      </c>
      <c r="D318" t="s">
        <v>25</v>
      </c>
      <c r="E318" s="10" t="s">
        <v>35</v>
      </c>
      <c r="F318" s="11">
        <v>73.783364113999994</v>
      </c>
      <c r="G318" s="4">
        <v>1902.64526</v>
      </c>
      <c r="H318" s="20">
        <v>0</v>
      </c>
      <c r="I318" s="17"/>
      <c r="J318" t="s">
        <v>20</v>
      </c>
      <c r="K318" s="11"/>
      <c r="L318" s="11"/>
      <c r="M318" s="11"/>
      <c r="N318" s="11"/>
      <c r="O318" s="11"/>
      <c r="P318" s="33"/>
      <c r="R318" s="10" t="s">
        <v>33</v>
      </c>
      <c r="S318" s="20">
        <v>0</v>
      </c>
      <c r="T318" s="17"/>
    </row>
    <row r="319" spans="1:20" x14ac:dyDescent="0.2">
      <c r="A319">
        <v>1123</v>
      </c>
      <c r="B319" s="1">
        <v>46224</v>
      </c>
      <c r="C319" s="2">
        <v>0.75765046296296301</v>
      </c>
      <c r="D319" t="s">
        <v>25</v>
      </c>
      <c r="E319" s="10" t="s">
        <v>33</v>
      </c>
      <c r="F319" s="11">
        <v>87.113307569</v>
      </c>
      <c r="G319" s="4">
        <v>2214.18066</v>
      </c>
      <c r="H319" s="20">
        <v>1</v>
      </c>
      <c r="I319" s="17" t="s">
        <v>42</v>
      </c>
      <c r="J319" t="s">
        <v>20</v>
      </c>
      <c r="K319" s="11"/>
      <c r="L319" s="11"/>
      <c r="M319" s="11"/>
      <c r="N319" s="11"/>
      <c r="O319" s="11"/>
      <c r="P319" s="33"/>
      <c r="R319" s="10" t="s">
        <v>33</v>
      </c>
      <c r="S319" s="20">
        <v>1</v>
      </c>
      <c r="T319" s="17" t="s">
        <v>254</v>
      </c>
    </row>
    <row r="320" spans="1:20" x14ac:dyDescent="0.2">
      <c r="A320">
        <v>1124</v>
      </c>
      <c r="B320" s="1">
        <v>46224</v>
      </c>
      <c r="C320" s="2">
        <v>0.75828703703703704</v>
      </c>
      <c r="D320" t="s">
        <v>25</v>
      </c>
      <c r="E320" s="10" t="s">
        <v>33</v>
      </c>
      <c r="F320" s="11">
        <v>83.570300470999996</v>
      </c>
      <c r="G320" s="4">
        <v>1909.62744</v>
      </c>
      <c r="H320" s="20">
        <v>1</v>
      </c>
      <c r="I320" s="17" t="s">
        <v>38</v>
      </c>
      <c r="J320" t="s">
        <v>24</v>
      </c>
      <c r="K320" s="11"/>
      <c r="L320" s="11"/>
      <c r="M320" s="11"/>
      <c r="N320" s="11">
        <v>67.412733458999995</v>
      </c>
      <c r="O320" s="11"/>
      <c r="P320" s="172"/>
      <c r="R320" s="10" t="s">
        <v>33</v>
      </c>
      <c r="S320" s="20">
        <v>1</v>
      </c>
      <c r="T320" s="17" t="s">
        <v>42</v>
      </c>
    </row>
    <row r="321" spans="1:20" x14ac:dyDescent="0.2">
      <c r="A321">
        <v>1125</v>
      </c>
      <c r="B321" s="1">
        <v>46224</v>
      </c>
      <c r="C321" s="2">
        <v>0.75858796296296294</v>
      </c>
      <c r="D321" t="s">
        <v>25</v>
      </c>
      <c r="E321" s="10" t="s">
        <v>33</v>
      </c>
      <c r="F321" s="11">
        <v>82.982454493000006</v>
      </c>
      <c r="G321" s="4">
        <v>2166.3813500000001</v>
      </c>
      <c r="H321" s="20">
        <v>1</v>
      </c>
      <c r="I321" s="17"/>
      <c r="J321" t="s">
        <v>24</v>
      </c>
      <c r="K321" s="11"/>
      <c r="L321" s="11"/>
      <c r="M321" s="11"/>
      <c r="N321" s="11"/>
      <c r="O321" s="11"/>
      <c r="P321" s="33"/>
      <c r="R321" s="10" t="s">
        <v>33</v>
      </c>
      <c r="S321" s="20">
        <v>1</v>
      </c>
      <c r="T321" s="17" t="s">
        <v>38</v>
      </c>
    </row>
    <row r="322" spans="1:20" x14ac:dyDescent="0.2">
      <c r="A322">
        <v>1126</v>
      </c>
      <c r="B322" s="1">
        <v>46224</v>
      </c>
      <c r="C322" s="2">
        <v>0.75886574074074076</v>
      </c>
      <c r="D322" t="s">
        <v>25</v>
      </c>
      <c r="E322" s="10" t="s">
        <v>35</v>
      </c>
      <c r="F322" s="11">
        <v>73.068407156999996</v>
      </c>
      <c r="G322" s="4">
        <v>1904.68335</v>
      </c>
      <c r="H322" s="161">
        <v>1</v>
      </c>
      <c r="I322" s="162" t="s">
        <v>45</v>
      </c>
      <c r="J322" s="155" t="s">
        <v>24</v>
      </c>
      <c r="K322" s="11"/>
      <c r="L322" s="11"/>
      <c r="M322" s="11"/>
      <c r="N322" s="11">
        <v>66.508624549000004</v>
      </c>
      <c r="O322" s="11"/>
      <c r="P322" s="33"/>
      <c r="R322" s="10" t="s">
        <v>33</v>
      </c>
      <c r="S322" s="161">
        <v>1</v>
      </c>
      <c r="T322" s="162"/>
    </row>
    <row r="323" spans="1:20" x14ac:dyDescent="0.2">
      <c r="A323">
        <v>1153</v>
      </c>
      <c r="B323" s="1">
        <v>46224</v>
      </c>
      <c r="C323" s="2">
        <v>0.76971064814814816</v>
      </c>
      <c r="D323" t="s">
        <v>25</v>
      </c>
      <c r="E323" s="10" t="s">
        <v>37</v>
      </c>
      <c r="F323" s="11">
        <v>72.194578531000005</v>
      </c>
      <c r="G323" s="4">
        <v>2060.6345200000001</v>
      </c>
      <c r="H323" s="20">
        <v>0</v>
      </c>
      <c r="I323" s="17"/>
      <c r="J323" t="s">
        <v>27</v>
      </c>
      <c r="K323" s="11"/>
      <c r="L323" s="11"/>
      <c r="M323" s="11"/>
      <c r="N323" s="11"/>
      <c r="O323" s="11"/>
      <c r="P323" s="33"/>
      <c r="R323" s="10" t="s">
        <v>33</v>
      </c>
      <c r="S323" s="20">
        <v>1</v>
      </c>
      <c r="T323" s="17" t="s">
        <v>38</v>
      </c>
    </row>
    <row r="324" spans="1:20" x14ac:dyDescent="0.2">
      <c r="A324">
        <v>1154</v>
      </c>
      <c r="B324" s="1">
        <v>46224</v>
      </c>
      <c r="C324" s="2">
        <v>0.76989583333333333</v>
      </c>
      <c r="D324" t="s">
        <v>25</v>
      </c>
      <c r="E324" s="10" t="s">
        <v>35</v>
      </c>
      <c r="F324" s="11">
        <v>72.814202197</v>
      </c>
      <c r="G324" s="4">
        <v>1733.93091</v>
      </c>
      <c r="H324" s="20">
        <v>1</v>
      </c>
      <c r="I324" s="17" t="s">
        <v>39</v>
      </c>
      <c r="J324" t="s">
        <v>27</v>
      </c>
      <c r="K324" s="11"/>
      <c r="L324" s="11"/>
      <c r="M324" s="11"/>
      <c r="N324" s="11">
        <v>67.582254731999996</v>
      </c>
      <c r="O324" s="11"/>
      <c r="P324" s="33"/>
      <c r="R324" s="10" t="s">
        <v>33</v>
      </c>
      <c r="S324" s="20">
        <v>1</v>
      </c>
      <c r="T324" s="17" t="s">
        <v>254</v>
      </c>
    </row>
    <row r="325" spans="1:20" x14ac:dyDescent="0.2">
      <c r="A325">
        <v>1155</v>
      </c>
      <c r="B325" s="1">
        <v>46224</v>
      </c>
      <c r="C325" s="2">
        <v>0.77015046296296297</v>
      </c>
      <c r="D325" t="s">
        <v>25</v>
      </c>
      <c r="E325" s="10" t="s">
        <v>33</v>
      </c>
      <c r="F325" s="11">
        <v>82.918899115000002</v>
      </c>
      <c r="G325" s="4">
        <v>2011.83618</v>
      </c>
      <c r="H325" s="20">
        <v>1</v>
      </c>
      <c r="I325" s="17" t="s">
        <v>38</v>
      </c>
      <c r="J325" t="s">
        <v>27</v>
      </c>
      <c r="K325" s="11"/>
      <c r="L325" s="11"/>
      <c r="M325" s="11"/>
      <c r="N325" s="11">
        <v>64.474374187999999</v>
      </c>
      <c r="O325" s="11"/>
      <c r="P325" s="33"/>
      <c r="R325" s="10" t="s">
        <v>33</v>
      </c>
      <c r="S325" s="20">
        <v>1</v>
      </c>
      <c r="T325" s="17" t="s">
        <v>39</v>
      </c>
    </row>
    <row r="326" spans="1:20" x14ac:dyDescent="0.2">
      <c r="A326">
        <v>1156</v>
      </c>
      <c r="B326" s="1">
        <v>46224</v>
      </c>
      <c r="C326" s="2">
        <v>0.77069444444444446</v>
      </c>
      <c r="D326" t="s">
        <v>25</v>
      </c>
      <c r="E326" s="10" t="s">
        <v>35</v>
      </c>
      <c r="F326" s="11">
        <v>72.575885970000002</v>
      </c>
      <c r="G326" s="4">
        <v>1647.4006300000001</v>
      </c>
      <c r="H326" s="20">
        <v>1</v>
      </c>
      <c r="I326" s="17" t="s">
        <v>45</v>
      </c>
      <c r="J326" t="s">
        <v>27</v>
      </c>
      <c r="K326" s="11"/>
      <c r="L326" s="11"/>
      <c r="M326" s="11"/>
      <c r="N326" s="11">
        <v>66.960676879000005</v>
      </c>
      <c r="O326" s="11"/>
      <c r="P326" s="33"/>
      <c r="R326" s="10" t="s">
        <v>33</v>
      </c>
      <c r="S326" s="20">
        <v>1</v>
      </c>
      <c r="T326" s="17" t="s">
        <v>42</v>
      </c>
    </row>
    <row r="327" spans="1:20" x14ac:dyDescent="0.2">
      <c r="A327">
        <v>1157</v>
      </c>
      <c r="B327" s="1">
        <v>46224</v>
      </c>
      <c r="C327" s="2">
        <v>0.77106481481481481</v>
      </c>
      <c r="D327" t="s">
        <v>25</v>
      </c>
      <c r="E327" s="10" t="s">
        <v>35</v>
      </c>
      <c r="F327" s="11">
        <v>72.448783489999997</v>
      </c>
      <c r="G327" s="4">
        <v>1576.1337900000001</v>
      </c>
      <c r="H327" s="20">
        <v>0</v>
      </c>
      <c r="I327" s="17"/>
      <c r="J327" t="s">
        <v>20</v>
      </c>
      <c r="K327" s="11"/>
      <c r="L327" s="11"/>
      <c r="M327" s="11"/>
      <c r="N327" s="11"/>
      <c r="O327" s="11"/>
      <c r="P327" s="33"/>
      <c r="R327" s="10" t="s">
        <v>33</v>
      </c>
      <c r="S327" s="20">
        <v>1</v>
      </c>
      <c r="T327" s="17" t="s">
        <v>38</v>
      </c>
    </row>
    <row r="328" spans="1:20" x14ac:dyDescent="0.2">
      <c r="A328">
        <v>1158</v>
      </c>
      <c r="B328" s="1">
        <v>46224</v>
      </c>
      <c r="C328" s="2">
        <v>0.77142361111111113</v>
      </c>
      <c r="D328" t="s">
        <v>25</v>
      </c>
      <c r="E328" s="10" t="s">
        <v>33</v>
      </c>
      <c r="F328" s="11">
        <v>82.346933370000002</v>
      </c>
      <c r="G328" s="4">
        <v>1942.87573</v>
      </c>
      <c r="H328" s="20">
        <v>1</v>
      </c>
      <c r="I328" s="17" t="s">
        <v>254</v>
      </c>
      <c r="J328" t="s">
        <v>20</v>
      </c>
      <c r="K328" s="11">
        <v>101.76605596900001</v>
      </c>
      <c r="L328" s="11">
        <v>17.927715299999999</v>
      </c>
      <c r="M328" s="11">
        <v>-15.7308302</v>
      </c>
      <c r="N328" s="11">
        <v>69.786022115999998</v>
      </c>
      <c r="O328" s="11">
        <v>290</v>
      </c>
      <c r="P328" s="33">
        <v>0.91745956399999995</v>
      </c>
      <c r="R328" s="10" t="s">
        <v>33</v>
      </c>
      <c r="S328" s="20">
        <v>1</v>
      </c>
      <c r="T328" s="17" t="s">
        <v>38</v>
      </c>
    </row>
    <row r="329" spans="1:20" x14ac:dyDescent="0.2">
      <c r="A329">
        <v>1159</v>
      </c>
      <c r="B329" s="1">
        <v>46224</v>
      </c>
      <c r="C329" s="2">
        <v>0.77182870370370371</v>
      </c>
      <c r="D329" t="s">
        <v>25</v>
      </c>
      <c r="E329" s="10" t="s">
        <v>37</v>
      </c>
      <c r="F329" s="11">
        <v>72.575885970000002</v>
      </c>
      <c r="G329" s="4">
        <v>2148.6709000000001</v>
      </c>
      <c r="H329" s="20">
        <v>1</v>
      </c>
      <c r="I329" s="17" t="s">
        <v>39</v>
      </c>
      <c r="J329" t="s">
        <v>23</v>
      </c>
      <c r="K329" s="11"/>
      <c r="L329" s="11"/>
      <c r="M329" s="11"/>
      <c r="N329" s="11">
        <v>61.818550223999999</v>
      </c>
      <c r="O329" s="11"/>
      <c r="P329" s="33"/>
      <c r="R329" s="10" t="s">
        <v>33</v>
      </c>
      <c r="S329" s="20">
        <v>1</v>
      </c>
      <c r="T329" s="17" t="s">
        <v>38</v>
      </c>
    </row>
    <row r="330" spans="1:20" x14ac:dyDescent="0.2">
      <c r="A330">
        <v>1160</v>
      </c>
      <c r="B330" s="1">
        <v>46224</v>
      </c>
      <c r="C330" s="2">
        <v>0.77208333333333334</v>
      </c>
      <c r="D330" t="s">
        <v>25</v>
      </c>
      <c r="E330" s="10" t="s">
        <v>33</v>
      </c>
      <c r="F330" s="11">
        <v>85.921709880999998</v>
      </c>
      <c r="G330" s="4">
        <v>1943.8278800000001</v>
      </c>
      <c r="H330" s="20">
        <v>1</v>
      </c>
      <c r="I330" s="17" t="s">
        <v>39</v>
      </c>
      <c r="J330" t="s">
        <v>23</v>
      </c>
      <c r="K330" s="11"/>
      <c r="L330" s="11"/>
      <c r="M330" s="11"/>
      <c r="N330" s="11">
        <v>62.214099787000002</v>
      </c>
      <c r="O330" s="11"/>
      <c r="P330" s="33"/>
      <c r="R330" s="10" t="s">
        <v>33</v>
      </c>
      <c r="S330" s="20">
        <v>0</v>
      </c>
      <c r="T330" s="17"/>
    </row>
    <row r="331" spans="1:20" x14ac:dyDescent="0.2">
      <c r="A331">
        <v>1161</v>
      </c>
      <c r="B331" s="1">
        <v>46224</v>
      </c>
      <c r="C331" s="2">
        <v>0.77243055555555551</v>
      </c>
      <c r="D331" t="s">
        <v>25</v>
      </c>
      <c r="E331" s="10" t="s">
        <v>33</v>
      </c>
      <c r="F331" s="11">
        <v>85.985265259000002</v>
      </c>
      <c r="G331" s="4">
        <v>2015.5945999999999</v>
      </c>
      <c r="H331" s="20">
        <v>1</v>
      </c>
      <c r="I331" s="17" t="s">
        <v>42</v>
      </c>
      <c r="J331" t="s">
        <v>23</v>
      </c>
      <c r="K331" s="11"/>
      <c r="L331" s="11"/>
      <c r="M331" s="11"/>
      <c r="N331" s="11"/>
      <c r="O331" s="11"/>
      <c r="P331" s="33"/>
      <c r="R331" s="10" t="s">
        <v>33</v>
      </c>
      <c r="S331" s="20">
        <v>1</v>
      </c>
      <c r="T331" s="17" t="s">
        <v>38</v>
      </c>
    </row>
    <row r="332" spans="1:20" x14ac:dyDescent="0.2">
      <c r="A332">
        <v>1162</v>
      </c>
      <c r="B332" s="1">
        <v>46224</v>
      </c>
      <c r="C332" s="2">
        <v>0.77284722222222224</v>
      </c>
      <c r="D332" t="s">
        <v>25</v>
      </c>
      <c r="E332" s="10" t="s">
        <v>35</v>
      </c>
      <c r="F332" s="11">
        <v>74.101124675999998</v>
      </c>
      <c r="G332" s="4">
        <v>1794.6516099999999</v>
      </c>
      <c r="H332" s="20">
        <v>1</v>
      </c>
      <c r="I332" s="17" t="s">
        <v>38</v>
      </c>
      <c r="J332" t="s">
        <v>24</v>
      </c>
      <c r="K332" s="11"/>
      <c r="L332" s="11"/>
      <c r="M332" s="11"/>
      <c r="N332" s="11">
        <v>66.113074984999997</v>
      </c>
      <c r="O332" s="11"/>
      <c r="P332" s="33"/>
      <c r="R332" s="10" t="s">
        <v>33</v>
      </c>
      <c r="S332" s="20">
        <v>0</v>
      </c>
      <c r="T332" s="17" t="s">
        <v>48</v>
      </c>
    </row>
    <row r="333" spans="1:20" x14ac:dyDescent="0.2">
      <c r="A333">
        <v>1163</v>
      </c>
      <c r="B333" s="1">
        <v>46224</v>
      </c>
      <c r="C333" s="2">
        <v>0.77317129629629633</v>
      </c>
      <c r="D333" t="s">
        <v>25</v>
      </c>
      <c r="E333" s="10" t="s">
        <v>33</v>
      </c>
      <c r="F333" s="11">
        <v>84.062830157999997</v>
      </c>
      <c r="G333" s="4">
        <v>1926.9093</v>
      </c>
      <c r="H333" s="20">
        <v>1</v>
      </c>
      <c r="I333" s="17" t="s">
        <v>38</v>
      </c>
      <c r="J333" t="s">
        <v>24</v>
      </c>
      <c r="K333" s="11">
        <v>71.895403328</v>
      </c>
      <c r="L333" s="11">
        <v>48.229091599999997</v>
      </c>
      <c r="M333" s="11"/>
      <c r="N333" s="11">
        <v>67.243212185000004</v>
      </c>
      <c r="O333" s="11">
        <v>241</v>
      </c>
      <c r="P333" s="33">
        <v>0.66352299999999997</v>
      </c>
      <c r="R333" s="10" t="s">
        <v>33</v>
      </c>
      <c r="S333" s="20">
        <v>0</v>
      </c>
      <c r="T333" s="17"/>
    </row>
    <row r="334" spans="1:20" x14ac:dyDescent="0.2">
      <c r="A334">
        <v>1164</v>
      </c>
      <c r="B334" s="1">
        <v>46224</v>
      </c>
      <c r="C334" s="2">
        <v>0.7734375</v>
      </c>
      <c r="D334" t="s">
        <v>25</v>
      </c>
      <c r="E334" s="10" t="s">
        <v>37</v>
      </c>
      <c r="F334" s="11">
        <v>74.037569074000004</v>
      </c>
      <c r="G334" s="4">
        <v>2211.5700000000002</v>
      </c>
      <c r="H334" s="20">
        <v>0</v>
      </c>
      <c r="I334" s="17"/>
      <c r="J334" t="s">
        <v>24</v>
      </c>
      <c r="K334" s="11"/>
      <c r="L334" s="11"/>
      <c r="M334" s="11"/>
      <c r="N334" s="11"/>
      <c r="O334" s="11"/>
      <c r="P334" s="33"/>
      <c r="R334" s="10" t="s">
        <v>33</v>
      </c>
      <c r="S334" s="20">
        <v>0</v>
      </c>
      <c r="T334" s="17"/>
    </row>
    <row r="335" spans="1:20" x14ac:dyDescent="0.2">
      <c r="A335">
        <v>1165</v>
      </c>
      <c r="B335" s="1">
        <v>46224</v>
      </c>
      <c r="C335" s="2">
        <v>0.77370370370370367</v>
      </c>
      <c r="D335" t="s">
        <v>25</v>
      </c>
      <c r="E335" s="10" t="s">
        <v>33</v>
      </c>
      <c r="F335" s="11">
        <v>86.303017319999995</v>
      </c>
      <c r="G335" s="4">
        <v>2096.87354</v>
      </c>
      <c r="H335" s="20">
        <v>1</v>
      </c>
      <c r="I335" s="17" t="s">
        <v>38</v>
      </c>
      <c r="J335" t="s">
        <v>24</v>
      </c>
      <c r="K335" s="11"/>
      <c r="L335" s="11"/>
      <c r="M335" s="11"/>
      <c r="N335" s="11">
        <v>61.875057464000001</v>
      </c>
      <c r="O335" s="11"/>
      <c r="P335" s="33"/>
      <c r="R335" s="10" t="s">
        <v>33</v>
      </c>
      <c r="S335" s="20">
        <v>1</v>
      </c>
      <c r="T335" s="17"/>
    </row>
    <row r="336" spans="1:20" x14ac:dyDescent="0.2">
      <c r="A336">
        <v>1166</v>
      </c>
      <c r="B336" s="1">
        <v>46224</v>
      </c>
      <c r="C336" s="2">
        <v>0.77418981481481486</v>
      </c>
      <c r="D336" t="s">
        <v>25</v>
      </c>
      <c r="E336" s="10" t="s">
        <v>33</v>
      </c>
      <c r="F336" s="11">
        <v>87.446948586999994</v>
      </c>
      <c r="G336" s="4">
        <v>2038.8707300000001</v>
      </c>
      <c r="H336" s="20">
        <v>1</v>
      </c>
      <c r="I336" s="17" t="s">
        <v>38</v>
      </c>
      <c r="J336" t="s">
        <v>24</v>
      </c>
      <c r="K336" s="11"/>
      <c r="L336" s="11"/>
      <c r="M336" s="11"/>
      <c r="N336" s="11">
        <v>67.582254731999996</v>
      </c>
      <c r="O336" s="11"/>
      <c r="P336" s="33"/>
      <c r="R336" s="10" t="s">
        <v>33</v>
      </c>
      <c r="S336" s="20">
        <v>0</v>
      </c>
      <c r="T336" s="17"/>
    </row>
    <row r="337" spans="1:20" x14ac:dyDescent="0.2">
      <c r="A337">
        <v>1167</v>
      </c>
      <c r="B337" s="1">
        <v>46224</v>
      </c>
      <c r="C337" s="2">
        <v>0.77451388888888884</v>
      </c>
      <c r="D337" t="s">
        <v>25</v>
      </c>
      <c r="E337" s="10" t="s">
        <v>35</v>
      </c>
      <c r="F337" s="11">
        <v>73.338501073000003</v>
      </c>
      <c r="G337" s="4">
        <v>1858.18677</v>
      </c>
      <c r="H337" s="20">
        <v>1</v>
      </c>
      <c r="I337" s="17" t="s">
        <v>38</v>
      </c>
      <c r="J337" t="s">
        <v>24</v>
      </c>
      <c r="K337" s="11"/>
      <c r="L337" s="11"/>
      <c r="M337" s="11"/>
      <c r="N337" s="11">
        <v>52.720937104000001</v>
      </c>
      <c r="O337" s="11"/>
      <c r="P337" s="33"/>
      <c r="R337" s="10" t="s">
        <v>33</v>
      </c>
      <c r="S337" s="20">
        <v>0</v>
      </c>
      <c r="T337" s="17"/>
    </row>
    <row r="338" spans="1:20" x14ac:dyDescent="0.2">
      <c r="A338">
        <v>1168</v>
      </c>
      <c r="B338" s="1">
        <v>46224</v>
      </c>
      <c r="C338" s="2">
        <v>0.77487268518518515</v>
      </c>
      <c r="D338" t="s">
        <v>25</v>
      </c>
      <c r="E338" s="10" t="s">
        <v>35</v>
      </c>
      <c r="F338" s="11">
        <v>76.452525585999993</v>
      </c>
      <c r="G338" s="4">
        <v>1931.0269800000001</v>
      </c>
      <c r="H338" s="20">
        <v>1</v>
      </c>
      <c r="I338" s="17" t="s">
        <v>254</v>
      </c>
      <c r="J338" t="s">
        <v>24</v>
      </c>
      <c r="K338" s="11">
        <v>79.557265696000002</v>
      </c>
      <c r="L338" s="11">
        <v>21.748901400000001</v>
      </c>
      <c r="M338" s="11">
        <v>0.35366300000000001</v>
      </c>
      <c r="N338" s="11">
        <v>63.061701681000002</v>
      </c>
      <c r="O338" s="11">
        <v>225</v>
      </c>
      <c r="P338" s="33">
        <v>0.78379745499999998</v>
      </c>
      <c r="R338" s="10" t="s">
        <v>33</v>
      </c>
      <c r="S338" s="20">
        <v>0</v>
      </c>
      <c r="T338" s="17"/>
    </row>
    <row r="339" spans="1:20" x14ac:dyDescent="0.2">
      <c r="A339">
        <v>1169</v>
      </c>
      <c r="B339" s="1">
        <v>46224</v>
      </c>
      <c r="C339" s="2">
        <v>0.77520833333333339</v>
      </c>
      <c r="D339" t="s">
        <v>25</v>
      </c>
      <c r="E339" s="10" t="s">
        <v>35</v>
      </c>
      <c r="F339" s="11">
        <v>74.339440902999996</v>
      </c>
      <c r="G339" s="4">
        <v>1762.2447500000001</v>
      </c>
      <c r="H339" s="20">
        <v>0</v>
      </c>
      <c r="I339" s="17"/>
      <c r="J339" t="s">
        <v>21</v>
      </c>
      <c r="K339" s="11"/>
      <c r="L339" s="11"/>
      <c r="M339" s="11"/>
      <c r="N339" s="11"/>
      <c r="O339" s="11"/>
      <c r="P339" s="33"/>
      <c r="R339" s="10" t="s">
        <v>33</v>
      </c>
      <c r="S339" s="20">
        <v>0</v>
      </c>
      <c r="T339" s="17"/>
    </row>
    <row r="340" spans="1:20" x14ac:dyDescent="0.2">
      <c r="A340">
        <v>1170</v>
      </c>
      <c r="B340" s="1">
        <v>46224</v>
      </c>
      <c r="C340" s="2">
        <v>0.7754861111111111</v>
      </c>
      <c r="D340" t="s">
        <v>25</v>
      </c>
      <c r="E340" s="10" t="s">
        <v>33</v>
      </c>
      <c r="F340" s="11">
        <v>84.777787114999995</v>
      </c>
      <c r="G340" s="4">
        <v>1856.5186799999999</v>
      </c>
      <c r="H340" s="20">
        <v>0</v>
      </c>
      <c r="I340" s="17"/>
      <c r="J340" t="s">
        <v>21</v>
      </c>
      <c r="K340" s="11"/>
      <c r="L340" s="11"/>
      <c r="M340" s="11"/>
      <c r="N340" s="11"/>
      <c r="O340" s="11"/>
      <c r="P340" s="33"/>
      <c r="R340" s="10" t="s">
        <v>37</v>
      </c>
      <c r="S340" s="20">
        <v>1</v>
      </c>
      <c r="T340" s="17" t="s">
        <v>45</v>
      </c>
    </row>
    <row r="341" spans="1:20" x14ac:dyDescent="0.2">
      <c r="A341">
        <v>1171</v>
      </c>
      <c r="B341" s="1">
        <v>46224</v>
      </c>
      <c r="C341" s="2">
        <v>0.775787037037037</v>
      </c>
      <c r="D341" t="s">
        <v>25</v>
      </c>
      <c r="E341" s="10" t="s">
        <v>33</v>
      </c>
      <c r="F341" s="11">
        <v>83.888061031999996</v>
      </c>
      <c r="G341" s="4">
        <v>1658.0568800000001</v>
      </c>
      <c r="H341" s="20">
        <v>1</v>
      </c>
      <c r="I341" s="17" t="s">
        <v>38</v>
      </c>
      <c r="J341" t="s">
        <v>21</v>
      </c>
      <c r="K341" s="11">
        <v>89.587595453000006</v>
      </c>
      <c r="L341" s="11">
        <v>-9.1893005399999996</v>
      </c>
      <c r="M341" s="11">
        <v>-28.353788399999999</v>
      </c>
      <c r="N341" s="11">
        <v>64.982937785000004</v>
      </c>
      <c r="O341" s="11">
        <v>7</v>
      </c>
      <c r="P341" s="33">
        <v>0.84942886399999995</v>
      </c>
      <c r="R341" s="10" t="s">
        <v>37</v>
      </c>
      <c r="S341" s="20">
        <v>0</v>
      </c>
      <c r="T341" s="17"/>
    </row>
    <row r="342" spans="1:20" x14ac:dyDescent="0.2">
      <c r="A342">
        <v>1172</v>
      </c>
      <c r="B342" s="1">
        <v>46224</v>
      </c>
      <c r="C342" s="2">
        <v>0.77605324074074078</v>
      </c>
      <c r="D342" t="s">
        <v>25</v>
      </c>
      <c r="E342" s="10" t="s">
        <v>37</v>
      </c>
      <c r="F342" s="11">
        <v>74.657201463999996</v>
      </c>
      <c r="G342" s="4">
        <v>2227.6381799999999</v>
      </c>
      <c r="H342" s="20">
        <v>1</v>
      </c>
      <c r="I342" s="17"/>
      <c r="J342" t="s">
        <v>21</v>
      </c>
      <c r="K342" s="11"/>
      <c r="L342" s="11"/>
      <c r="M342" s="11"/>
      <c r="N342" s="11"/>
      <c r="O342" s="11"/>
      <c r="P342" s="33"/>
      <c r="R342" s="10" t="s">
        <v>37</v>
      </c>
      <c r="S342" s="20">
        <v>0</v>
      </c>
      <c r="T342" s="17"/>
    </row>
    <row r="343" spans="1:20" x14ac:dyDescent="0.2">
      <c r="A343">
        <v>1173</v>
      </c>
      <c r="B343" s="1">
        <v>46224</v>
      </c>
      <c r="C343" s="2">
        <v>0.77658564814814812</v>
      </c>
      <c r="D343" t="s">
        <v>25</v>
      </c>
      <c r="E343" s="10" t="s">
        <v>37</v>
      </c>
      <c r="F343" s="11">
        <v>76.516080963999997</v>
      </c>
      <c r="G343" s="4">
        <v>2131.8981899999999</v>
      </c>
      <c r="H343" s="20">
        <v>1</v>
      </c>
      <c r="I343" s="17" t="s">
        <v>38</v>
      </c>
      <c r="J343" t="s">
        <v>21</v>
      </c>
      <c r="K343" s="11">
        <v>78.086716495999994</v>
      </c>
      <c r="L343" s="11">
        <v>-30.836122499999998</v>
      </c>
      <c r="M343" s="11">
        <v>42.132991799999999</v>
      </c>
      <c r="N343" s="11">
        <v>65.434990115000005</v>
      </c>
      <c r="O343" s="11"/>
      <c r="P343" s="33">
        <v>0.74761200000000005</v>
      </c>
      <c r="R343" s="10" t="s">
        <v>37</v>
      </c>
      <c r="S343" s="20">
        <v>1</v>
      </c>
      <c r="T343" s="17" t="s">
        <v>255</v>
      </c>
    </row>
    <row r="344" spans="1:20" x14ac:dyDescent="0.2">
      <c r="A344">
        <v>1174</v>
      </c>
      <c r="B344" s="1">
        <v>46224</v>
      </c>
      <c r="C344" s="2">
        <v>0.77692129629629625</v>
      </c>
      <c r="D344" t="s">
        <v>25</v>
      </c>
      <c r="E344" s="10" t="s">
        <v>35</v>
      </c>
      <c r="F344" s="11">
        <v>72.766535551000004</v>
      </c>
      <c r="G344" s="4">
        <v>1819.41687</v>
      </c>
      <c r="H344" s="20">
        <v>0</v>
      </c>
      <c r="I344" s="17"/>
      <c r="J344" t="s">
        <v>21</v>
      </c>
      <c r="K344" s="11"/>
      <c r="L344" s="11"/>
      <c r="M344" s="11"/>
      <c r="N344" s="11"/>
      <c r="O344" s="11"/>
      <c r="P344" s="33"/>
      <c r="R344" s="10" t="s">
        <v>37</v>
      </c>
      <c r="S344" s="20">
        <v>0</v>
      </c>
      <c r="T344" s="17"/>
    </row>
    <row r="345" spans="1:20" x14ac:dyDescent="0.2">
      <c r="A345">
        <v>1175</v>
      </c>
      <c r="B345" s="1">
        <v>46224</v>
      </c>
      <c r="C345" s="2">
        <v>0.7772337962962963</v>
      </c>
      <c r="D345" t="s">
        <v>25</v>
      </c>
      <c r="E345" s="10" t="s">
        <v>33</v>
      </c>
      <c r="F345" s="11">
        <v>84.205821594</v>
      </c>
      <c r="G345" s="4">
        <v>1846.37195</v>
      </c>
      <c r="H345" s="20">
        <v>0</v>
      </c>
      <c r="I345" s="17" t="s">
        <v>48</v>
      </c>
      <c r="J345" t="s">
        <v>21</v>
      </c>
      <c r="K345" s="11"/>
      <c r="L345" s="11"/>
      <c r="M345" s="11"/>
      <c r="N345" s="11"/>
      <c r="O345" s="11"/>
      <c r="P345" s="33"/>
      <c r="R345" s="10" t="s">
        <v>37</v>
      </c>
      <c r="S345" s="20">
        <v>1</v>
      </c>
      <c r="T345" s="17"/>
    </row>
    <row r="346" spans="1:20" x14ac:dyDescent="0.2">
      <c r="A346">
        <v>1176</v>
      </c>
      <c r="B346" s="1">
        <v>46224</v>
      </c>
      <c r="C346" s="2">
        <v>0.77749999999999997</v>
      </c>
      <c r="D346" t="s">
        <v>25</v>
      </c>
      <c r="E346" s="10" t="s">
        <v>33</v>
      </c>
      <c r="F346" s="11">
        <v>84.015163512000001</v>
      </c>
      <c r="G346" s="4">
        <v>1805.9082000000001</v>
      </c>
      <c r="H346" s="20">
        <v>0</v>
      </c>
      <c r="I346" s="17"/>
      <c r="J346" t="s">
        <v>21</v>
      </c>
      <c r="K346" s="11"/>
      <c r="L346" s="11"/>
      <c r="M346" s="11"/>
      <c r="N346" s="11"/>
      <c r="O346" s="11"/>
      <c r="P346" s="33"/>
      <c r="R346" s="10" t="s">
        <v>37</v>
      </c>
      <c r="S346" s="20">
        <v>1</v>
      </c>
      <c r="T346" s="17" t="s">
        <v>254</v>
      </c>
    </row>
    <row r="347" spans="1:20" x14ac:dyDescent="0.2">
      <c r="A347">
        <v>1177</v>
      </c>
      <c r="B347" s="1">
        <v>46224</v>
      </c>
      <c r="C347" s="2">
        <v>0.77768518518518515</v>
      </c>
      <c r="D347" t="s">
        <v>25</v>
      </c>
      <c r="E347" s="10" t="s">
        <v>33</v>
      </c>
      <c r="F347" s="11">
        <v>85.349744135999998</v>
      </c>
      <c r="G347" s="4">
        <v>1905.7230199999999</v>
      </c>
      <c r="H347" s="20">
        <v>0</v>
      </c>
      <c r="I347" s="17"/>
      <c r="J347" t="s">
        <v>21</v>
      </c>
      <c r="K347" s="11"/>
      <c r="L347" s="11"/>
      <c r="M347" s="11"/>
      <c r="N347" s="11"/>
      <c r="O347" s="11"/>
      <c r="P347" s="33"/>
      <c r="R347" s="10" t="s">
        <v>37</v>
      </c>
      <c r="S347" s="20">
        <v>1</v>
      </c>
      <c r="T347" s="17" t="s">
        <v>39</v>
      </c>
    </row>
    <row r="348" spans="1:20" x14ac:dyDescent="0.2">
      <c r="A348">
        <v>1178</v>
      </c>
      <c r="B348" s="1">
        <v>46224</v>
      </c>
      <c r="C348" s="2">
        <v>0.77799768518518519</v>
      </c>
      <c r="D348" t="s">
        <v>25</v>
      </c>
      <c r="E348" s="10" t="s">
        <v>37</v>
      </c>
      <c r="F348" s="11">
        <v>71.670270931000005</v>
      </c>
      <c r="G348" s="4">
        <v>1039.0715299999999</v>
      </c>
      <c r="H348" s="20">
        <v>1</v>
      </c>
      <c r="I348" s="17" t="s">
        <v>39</v>
      </c>
      <c r="J348" t="s">
        <v>29</v>
      </c>
      <c r="K348" s="11"/>
      <c r="L348" s="11"/>
      <c r="M348" s="11"/>
      <c r="N348" s="11">
        <v>59.784299863000001</v>
      </c>
      <c r="O348" s="11"/>
      <c r="P348" s="33"/>
      <c r="R348" s="10" t="s">
        <v>37</v>
      </c>
      <c r="S348" s="20">
        <v>0</v>
      </c>
      <c r="T348" s="17"/>
    </row>
    <row r="349" spans="1:20" x14ac:dyDescent="0.2">
      <c r="A349">
        <v>1179</v>
      </c>
      <c r="B349" s="1">
        <v>46224</v>
      </c>
      <c r="C349" s="2">
        <v>0.77826388888888887</v>
      </c>
      <c r="D349" t="s">
        <v>25</v>
      </c>
      <c r="E349" s="10" t="s">
        <v>33</v>
      </c>
      <c r="F349" s="11">
        <v>81.981514662999999</v>
      </c>
      <c r="G349" s="4">
        <v>1947.16968</v>
      </c>
      <c r="H349" s="20">
        <v>1</v>
      </c>
      <c r="I349" s="17"/>
      <c r="J349" t="s">
        <v>29</v>
      </c>
      <c r="K349" s="11"/>
      <c r="L349" s="11"/>
      <c r="M349" s="11"/>
      <c r="N349" s="11"/>
      <c r="O349" s="11"/>
      <c r="P349" s="33"/>
      <c r="R349" s="10" t="s">
        <v>37</v>
      </c>
      <c r="S349" s="20">
        <v>0</v>
      </c>
      <c r="T349" s="17"/>
    </row>
    <row r="350" spans="1:20" x14ac:dyDescent="0.2">
      <c r="A350">
        <v>1180</v>
      </c>
      <c r="B350" s="1">
        <v>46224</v>
      </c>
      <c r="C350" s="2">
        <v>0.77850694444444446</v>
      </c>
      <c r="D350" t="s">
        <v>25</v>
      </c>
      <c r="E350" s="10" t="s">
        <v>35</v>
      </c>
      <c r="F350" s="11">
        <v>74.228227156000003</v>
      </c>
      <c r="G350" s="4">
        <v>1859.23315</v>
      </c>
      <c r="H350" s="161">
        <v>1</v>
      </c>
      <c r="I350" s="162" t="s">
        <v>45</v>
      </c>
      <c r="J350" s="155" t="s">
        <v>29</v>
      </c>
      <c r="K350" s="11"/>
      <c r="L350" s="11"/>
      <c r="M350" s="11"/>
      <c r="N350" s="11">
        <v>57.750053751999999</v>
      </c>
      <c r="O350" s="11"/>
      <c r="P350" s="33"/>
      <c r="R350" s="10" t="s">
        <v>37</v>
      </c>
      <c r="S350" s="161">
        <v>1</v>
      </c>
      <c r="T350" s="162" t="s">
        <v>39</v>
      </c>
    </row>
    <row r="351" spans="1:20" x14ac:dyDescent="0.2">
      <c r="A351">
        <v>1228</v>
      </c>
      <c r="B351" s="1">
        <v>46224</v>
      </c>
      <c r="C351" s="2">
        <v>0.79945601851851855</v>
      </c>
      <c r="D351" t="s">
        <v>25</v>
      </c>
      <c r="E351" s="10" t="s">
        <v>33</v>
      </c>
      <c r="F351" s="11">
        <v>88.860973544999993</v>
      </c>
      <c r="G351" s="4">
        <v>1726.0015900000001</v>
      </c>
      <c r="H351" s="20">
        <v>0</v>
      </c>
      <c r="I351" s="17"/>
      <c r="J351" t="s">
        <v>198</v>
      </c>
      <c r="K351" s="11"/>
      <c r="L351" s="11"/>
      <c r="M351" s="11"/>
      <c r="N351" s="11"/>
      <c r="O351" s="11"/>
      <c r="P351" s="33"/>
      <c r="R351" s="10" t="s">
        <v>37</v>
      </c>
      <c r="S351" s="20">
        <v>0</v>
      </c>
      <c r="T351" s="17"/>
    </row>
    <row r="352" spans="1:20" x14ac:dyDescent="0.2">
      <c r="A352">
        <v>1229</v>
      </c>
      <c r="B352" s="1">
        <v>46224</v>
      </c>
      <c r="C352" s="2">
        <v>0.79966435185185181</v>
      </c>
      <c r="D352" t="s">
        <v>25</v>
      </c>
      <c r="E352" s="10" t="s">
        <v>33</v>
      </c>
      <c r="F352" s="11">
        <v>89.528263856999999</v>
      </c>
      <c r="G352" s="4">
        <v>1936.05457</v>
      </c>
      <c r="H352" s="20">
        <v>0</v>
      </c>
      <c r="I352" s="17"/>
      <c r="J352" t="s">
        <v>198</v>
      </c>
      <c r="K352" s="11"/>
      <c r="L352" s="11"/>
      <c r="M352" s="11"/>
      <c r="N352" s="11"/>
      <c r="O352" s="11"/>
      <c r="P352" s="33"/>
      <c r="R352" s="10" t="s">
        <v>37</v>
      </c>
      <c r="S352" s="20">
        <v>1</v>
      </c>
      <c r="T352" s="17"/>
    </row>
    <row r="353" spans="1:21" x14ac:dyDescent="0.2">
      <c r="A353">
        <v>1230</v>
      </c>
      <c r="B353" s="1">
        <v>46224</v>
      </c>
      <c r="C353" s="2">
        <v>0.79995370370370367</v>
      </c>
      <c r="D353" t="s">
        <v>25</v>
      </c>
      <c r="E353" s="10" t="s">
        <v>33</v>
      </c>
      <c r="F353" s="11">
        <v>89.607699914999998</v>
      </c>
      <c r="G353" s="4">
        <v>2077.41284</v>
      </c>
      <c r="H353" s="20">
        <v>0</v>
      </c>
      <c r="I353" s="17"/>
      <c r="J353" t="s">
        <v>198</v>
      </c>
      <c r="K353" s="11"/>
      <c r="L353" s="11"/>
      <c r="M353" s="11"/>
      <c r="N353" s="11"/>
      <c r="O353" s="11"/>
      <c r="P353" s="33"/>
      <c r="R353" s="10" t="s">
        <v>37</v>
      </c>
      <c r="S353" s="20">
        <v>1</v>
      </c>
      <c r="T353" s="17" t="s">
        <v>38</v>
      </c>
    </row>
    <row r="354" spans="1:21" x14ac:dyDescent="0.2">
      <c r="A354">
        <v>1231</v>
      </c>
      <c r="B354" s="1">
        <v>46224</v>
      </c>
      <c r="C354" s="2">
        <v>0.80023148148148149</v>
      </c>
      <c r="D354" t="s">
        <v>25</v>
      </c>
      <c r="E354" s="10" t="s">
        <v>33</v>
      </c>
      <c r="F354" s="11">
        <v>90.052562956000003</v>
      </c>
      <c r="G354" s="4">
        <v>1729.89771</v>
      </c>
      <c r="H354" s="20">
        <v>0</v>
      </c>
      <c r="I354" s="17"/>
      <c r="J354" t="s">
        <v>198</v>
      </c>
      <c r="K354" s="11"/>
      <c r="L354" s="11"/>
      <c r="M354" s="11"/>
      <c r="N354" s="11"/>
      <c r="O354" s="11"/>
      <c r="P354" s="172"/>
      <c r="Q354" s="10" t="s">
        <v>251</v>
      </c>
      <c r="R354" s="10" t="s">
        <v>37</v>
      </c>
      <c r="S354" s="20">
        <v>1</v>
      </c>
      <c r="T354" s="17" t="s">
        <v>39</v>
      </c>
      <c r="U354" s="10"/>
    </row>
    <row r="355" spans="1:21" s="114" customFormat="1" x14ac:dyDescent="0.2">
      <c r="A355" s="114">
        <v>1380</v>
      </c>
      <c r="B355" s="203">
        <v>46228</v>
      </c>
      <c r="C355" s="204">
        <v>0.50134259259259262</v>
      </c>
      <c r="D355" s="114" t="s">
        <v>25</v>
      </c>
      <c r="E355" s="205" t="s">
        <v>37</v>
      </c>
      <c r="F355" s="206">
        <v>76.605074106999993</v>
      </c>
      <c r="G355" s="207">
        <v>1992.3472899999999</v>
      </c>
      <c r="H355" s="208">
        <v>0</v>
      </c>
      <c r="I355" s="209"/>
      <c r="J355" s="114" t="s">
        <v>199</v>
      </c>
      <c r="K355" s="206"/>
      <c r="L355" s="206"/>
      <c r="M355" s="206"/>
      <c r="N355" s="206"/>
      <c r="O355" s="206"/>
      <c r="P355" s="222"/>
      <c r="Q355" s="205">
        <v>-4.4000000000000004</v>
      </c>
      <c r="R355" s="205">
        <v>-13.7</v>
      </c>
      <c r="S355" s="205" t="s">
        <v>37</v>
      </c>
      <c r="T355" s="208">
        <v>0</v>
      </c>
      <c r="U355" s="209"/>
    </row>
    <row r="356" spans="1:21" x14ac:dyDescent="0.2">
      <c r="A356">
        <v>1381</v>
      </c>
      <c r="B356" s="1">
        <v>46228</v>
      </c>
      <c r="C356" s="2">
        <v>0.50150462962962961</v>
      </c>
      <c r="D356" t="s">
        <v>25</v>
      </c>
      <c r="E356" s="248" t="s">
        <v>253</v>
      </c>
      <c r="F356" s="11">
        <v>87.085873337999999</v>
      </c>
      <c r="G356" s="4">
        <v>1667.01404</v>
      </c>
      <c r="H356" s="20">
        <v>1</v>
      </c>
      <c r="I356" s="17"/>
      <c r="J356" t="s">
        <v>199</v>
      </c>
      <c r="K356" s="11"/>
      <c r="L356" s="11"/>
      <c r="M356" s="11"/>
      <c r="N356" s="11"/>
      <c r="O356" s="11"/>
      <c r="P356" s="33"/>
      <c r="Q356" s="10">
        <v>2.9</v>
      </c>
      <c r="R356" s="10">
        <v>5.3</v>
      </c>
      <c r="S356" s="248" t="s">
        <v>253</v>
      </c>
      <c r="T356" s="20">
        <v>1</v>
      </c>
      <c r="U356" s="17"/>
    </row>
    <row r="357" spans="1:21" x14ac:dyDescent="0.2">
      <c r="A357">
        <v>1382</v>
      </c>
      <c r="B357" s="1">
        <v>46228</v>
      </c>
      <c r="C357" s="2">
        <v>0.50168981481481478</v>
      </c>
      <c r="D357" t="s">
        <v>25</v>
      </c>
      <c r="E357" s="10" t="s">
        <v>33</v>
      </c>
      <c r="F357" s="11">
        <v>86.355394282000006</v>
      </c>
      <c r="G357" s="4">
        <v>1879.7724599999999</v>
      </c>
      <c r="H357" s="20">
        <v>1</v>
      </c>
      <c r="I357" s="17"/>
      <c r="J357" t="s">
        <v>199</v>
      </c>
      <c r="K357" s="11"/>
      <c r="L357" s="11"/>
      <c r="M357" s="11"/>
      <c r="N357" s="11"/>
      <c r="O357" s="11"/>
      <c r="P357" s="33"/>
      <c r="Q357" s="10">
        <v>4.4000000000000004</v>
      </c>
      <c r="R357" s="10">
        <v>13.6</v>
      </c>
      <c r="S357" s="248" t="s">
        <v>253</v>
      </c>
      <c r="T357" s="20">
        <v>0</v>
      </c>
      <c r="U357" s="17"/>
    </row>
    <row r="358" spans="1:21" x14ac:dyDescent="0.2">
      <c r="A358">
        <v>1383</v>
      </c>
      <c r="B358" s="1">
        <v>46228</v>
      </c>
      <c r="C358" s="2">
        <v>0.50187499999999996</v>
      </c>
      <c r="D358" t="s">
        <v>25</v>
      </c>
      <c r="E358" s="10" t="s">
        <v>37</v>
      </c>
      <c r="F358" s="11">
        <v>76.795638237999995</v>
      </c>
      <c r="G358" s="4">
        <v>1623.3819599999999</v>
      </c>
      <c r="H358" s="20">
        <v>0</v>
      </c>
      <c r="I358" s="17"/>
      <c r="J358" t="s">
        <v>199</v>
      </c>
      <c r="K358" s="11"/>
      <c r="L358" s="11"/>
      <c r="M358" s="11"/>
      <c r="N358" s="11"/>
      <c r="O358" s="11"/>
      <c r="P358" s="33"/>
      <c r="Q358" s="10">
        <v>-5.9</v>
      </c>
      <c r="R358" s="10">
        <v>-10.1</v>
      </c>
      <c r="S358" s="248" t="s">
        <v>253</v>
      </c>
      <c r="T358" s="20">
        <v>1</v>
      </c>
      <c r="U358" s="17" t="s">
        <v>255</v>
      </c>
    </row>
    <row r="359" spans="1:21" x14ac:dyDescent="0.2">
      <c r="A359">
        <v>1384</v>
      </c>
      <c r="B359" s="1">
        <v>46228</v>
      </c>
      <c r="C359" s="2">
        <v>0.50219907407407405</v>
      </c>
      <c r="D359" t="s">
        <v>25</v>
      </c>
      <c r="E359" s="10" t="s">
        <v>33</v>
      </c>
      <c r="F359" s="11">
        <v>88.102189866000003</v>
      </c>
      <c r="G359" s="4">
        <v>2024.00317</v>
      </c>
      <c r="H359" s="20">
        <v>1</v>
      </c>
      <c r="I359" s="17" t="s">
        <v>42</v>
      </c>
      <c r="J359" t="s">
        <v>199</v>
      </c>
      <c r="K359" s="11"/>
      <c r="L359" s="11"/>
      <c r="M359" s="11"/>
      <c r="N359" s="11"/>
      <c r="O359" s="11"/>
      <c r="P359" s="33"/>
      <c r="Q359" s="10">
        <v>9.8000000000000007</v>
      </c>
      <c r="R359" s="10">
        <v>8.1999999999999993</v>
      </c>
      <c r="S359" s="248" t="s">
        <v>253</v>
      </c>
      <c r="T359" s="20">
        <v>1</v>
      </c>
      <c r="U359" s="17" t="s">
        <v>38</v>
      </c>
    </row>
    <row r="360" spans="1:21" x14ac:dyDescent="0.2">
      <c r="A360">
        <v>1385</v>
      </c>
      <c r="B360" s="1">
        <v>46228</v>
      </c>
      <c r="C360" s="2">
        <v>0.50246527777777783</v>
      </c>
      <c r="D360" t="s">
        <v>25</v>
      </c>
      <c r="E360" s="10" t="s">
        <v>33</v>
      </c>
      <c r="F360" s="11">
        <v>87.324069889</v>
      </c>
      <c r="G360" s="4">
        <v>1931.7351100000001</v>
      </c>
      <c r="H360" s="20">
        <v>1</v>
      </c>
      <c r="I360" s="17" t="s">
        <v>255</v>
      </c>
      <c r="J360" t="s">
        <v>199</v>
      </c>
      <c r="K360" s="11">
        <v>84.531355954999995</v>
      </c>
      <c r="L360" s="11">
        <v>-11.635043100000001</v>
      </c>
      <c r="M360" s="11">
        <v>0.408875614</v>
      </c>
      <c r="N360" s="11">
        <v>61.487448127999997</v>
      </c>
      <c r="O360" s="11">
        <v>12</v>
      </c>
      <c r="P360" s="33">
        <v>0.82538116500000003</v>
      </c>
      <c r="Q360" s="11">
        <v>9.6</v>
      </c>
      <c r="R360" s="11">
        <v>9.1999999999999993</v>
      </c>
      <c r="S360" s="10" t="s">
        <v>35</v>
      </c>
      <c r="T360" s="20">
        <v>0</v>
      </c>
      <c r="U360" s="17"/>
    </row>
    <row r="361" spans="1:21" x14ac:dyDescent="0.2">
      <c r="A361">
        <v>1386</v>
      </c>
      <c r="B361" s="1">
        <v>46228</v>
      </c>
      <c r="C361" s="2">
        <v>0.50289351851851849</v>
      </c>
      <c r="D361" t="s">
        <v>25</v>
      </c>
      <c r="E361" s="10" t="s">
        <v>35</v>
      </c>
      <c r="F361" s="11">
        <v>77.875476366000001</v>
      </c>
      <c r="G361" s="4">
        <v>1788.4912099999999</v>
      </c>
      <c r="H361" s="20">
        <v>0</v>
      </c>
      <c r="I361" s="17"/>
      <c r="J361" t="s">
        <v>22</v>
      </c>
      <c r="K361" s="11"/>
      <c r="L361" s="11"/>
      <c r="M361" s="11"/>
      <c r="N361" s="11"/>
      <c r="O361" s="11"/>
      <c r="P361" s="33"/>
      <c r="Q361" s="10">
        <v>9.4</v>
      </c>
      <c r="R361" s="10">
        <v>11.3</v>
      </c>
      <c r="S361" s="10" t="s">
        <v>35</v>
      </c>
      <c r="T361" s="20">
        <v>0</v>
      </c>
      <c r="U361" s="17"/>
    </row>
    <row r="362" spans="1:21" x14ac:dyDescent="0.2">
      <c r="A362">
        <v>1387</v>
      </c>
      <c r="B362" s="1">
        <v>46228</v>
      </c>
      <c r="C362" s="2">
        <v>0.50313657407407408</v>
      </c>
      <c r="D362" t="s">
        <v>25</v>
      </c>
      <c r="E362" s="10" t="s">
        <v>35</v>
      </c>
      <c r="F362" s="11">
        <v>76.192202159000004</v>
      </c>
      <c r="G362" s="4">
        <v>1830.4341999999999</v>
      </c>
      <c r="H362" s="20">
        <v>0</v>
      </c>
      <c r="I362" s="17"/>
      <c r="J362" t="s">
        <v>22</v>
      </c>
      <c r="K362" s="11"/>
      <c r="L362" s="11"/>
      <c r="M362" s="11"/>
      <c r="N362" s="11"/>
      <c r="O362" s="11"/>
      <c r="P362" s="33"/>
      <c r="Q362" s="10">
        <v>8.8000000000000007</v>
      </c>
      <c r="R362" s="10">
        <v>9.8000000000000007</v>
      </c>
      <c r="S362" s="10" t="s">
        <v>35</v>
      </c>
      <c r="T362" s="20">
        <v>1</v>
      </c>
      <c r="U362" s="17" t="s">
        <v>38</v>
      </c>
    </row>
    <row r="363" spans="1:21" x14ac:dyDescent="0.2">
      <c r="A363">
        <v>1388</v>
      </c>
      <c r="B363" s="1">
        <v>46228</v>
      </c>
      <c r="C363" s="2">
        <v>0.50334490740740745</v>
      </c>
      <c r="D363" t="s">
        <v>25</v>
      </c>
      <c r="E363" s="10" t="s">
        <v>37</v>
      </c>
      <c r="F363" s="11">
        <v>75.334680348999996</v>
      </c>
      <c r="G363" s="4">
        <v>2201.3244599999998</v>
      </c>
      <c r="H363" s="20">
        <v>1</v>
      </c>
      <c r="I363" s="17"/>
      <c r="J363" t="s">
        <v>22</v>
      </c>
      <c r="K363" s="11"/>
      <c r="L363" s="11"/>
      <c r="M363" s="11"/>
      <c r="N363" s="11"/>
      <c r="O363" s="11"/>
      <c r="P363" s="33"/>
      <c r="Q363" s="10">
        <v>-0.5</v>
      </c>
      <c r="R363" s="10">
        <v>-16.5</v>
      </c>
      <c r="S363" s="248" t="s">
        <v>33</v>
      </c>
      <c r="T363" s="20">
        <v>1</v>
      </c>
      <c r="U363" s="17"/>
    </row>
    <row r="364" spans="1:21" x14ac:dyDescent="0.2">
      <c r="A364">
        <v>1389</v>
      </c>
      <c r="B364" s="1">
        <v>46228</v>
      </c>
      <c r="C364" s="2">
        <v>0.50350694444444444</v>
      </c>
      <c r="D364" t="s">
        <v>25</v>
      </c>
      <c r="E364" s="10" t="s">
        <v>33</v>
      </c>
      <c r="F364" s="11">
        <v>87.832232626999996</v>
      </c>
      <c r="G364" s="4">
        <v>2034.4743699999999</v>
      </c>
      <c r="H364" s="20">
        <v>1</v>
      </c>
      <c r="I364" s="17" t="s">
        <v>38</v>
      </c>
      <c r="J364" t="s">
        <v>22</v>
      </c>
      <c r="K364" s="11"/>
      <c r="L364" s="11"/>
      <c r="M364" s="11"/>
      <c r="N364" s="11">
        <v>57.585255769</v>
      </c>
      <c r="O364" s="11"/>
      <c r="P364" s="33"/>
      <c r="Q364" s="10">
        <v>12.6</v>
      </c>
      <c r="R364" s="10">
        <v>4.4000000000000004</v>
      </c>
      <c r="S364" s="10" t="s">
        <v>33</v>
      </c>
      <c r="T364" s="20">
        <v>1</v>
      </c>
      <c r="U364" s="17" t="s">
        <v>42</v>
      </c>
    </row>
    <row r="365" spans="1:21" x14ac:dyDescent="0.2">
      <c r="A365">
        <v>1390</v>
      </c>
      <c r="B365" s="1">
        <v>46228</v>
      </c>
      <c r="C365" s="2">
        <v>0.50377314814814811</v>
      </c>
      <c r="D365" t="s">
        <v>25</v>
      </c>
      <c r="E365" s="10" t="s">
        <v>33</v>
      </c>
      <c r="F365" s="11">
        <v>88.165711243000004</v>
      </c>
      <c r="G365" s="4">
        <v>1933.07104</v>
      </c>
      <c r="H365" s="20">
        <v>0</v>
      </c>
      <c r="I365" s="17"/>
      <c r="J365" t="s">
        <v>22</v>
      </c>
      <c r="K365" s="11"/>
      <c r="L365" s="11"/>
      <c r="M365" s="11"/>
      <c r="N365" s="11"/>
      <c r="O365" s="11"/>
      <c r="P365" s="33"/>
      <c r="Q365" s="10">
        <v>7.3</v>
      </c>
      <c r="R365" s="10">
        <v>13.9</v>
      </c>
      <c r="S365" s="10" t="s">
        <v>33</v>
      </c>
      <c r="T365" s="20">
        <v>1</v>
      </c>
      <c r="U365" s="17" t="s">
        <v>255</v>
      </c>
    </row>
    <row r="366" spans="1:21" x14ac:dyDescent="0.2">
      <c r="A366">
        <v>1391</v>
      </c>
      <c r="B366" s="1">
        <v>46228</v>
      </c>
      <c r="C366" s="2">
        <v>0.50403935185185189</v>
      </c>
      <c r="D366" t="s">
        <v>25</v>
      </c>
      <c r="E366" s="10" t="s">
        <v>33</v>
      </c>
      <c r="F366" s="11">
        <v>89.309070749</v>
      </c>
      <c r="G366" s="4">
        <v>1964.99866</v>
      </c>
      <c r="H366" s="20">
        <v>1</v>
      </c>
      <c r="I366" s="17" t="s">
        <v>254</v>
      </c>
      <c r="J366" t="s">
        <v>22</v>
      </c>
      <c r="K366" s="11">
        <v>91.73484732</v>
      </c>
      <c r="L366" s="11">
        <v>40.300239599999998</v>
      </c>
      <c r="M366" s="11">
        <v>-7.5453715299999997</v>
      </c>
      <c r="N366" s="11">
        <v>61.487448127999997</v>
      </c>
      <c r="O366" s="11">
        <v>347</v>
      </c>
      <c r="P366" s="33">
        <v>0.89107849099999903</v>
      </c>
      <c r="Q366" s="10">
        <v>6.7</v>
      </c>
      <c r="R366" s="10">
        <v>10.8</v>
      </c>
      <c r="S366" s="10" t="s">
        <v>33</v>
      </c>
      <c r="T366" s="20">
        <v>1</v>
      </c>
      <c r="U366" s="17" t="s">
        <v>38</v>
      </c>
    </row>
    <row r="367" spans="1:21" x14ac:dyDescent="0.2">
      <c r="A367">
        <v>1392</v>
      </c>
      <c r="B367" s="1">
        <v>46228</v>
      </c>
      <c r="C367" s="2">
        <v>0.50456018518518519</v>
      </c>
      <c r="D367" t="s">
        <v>25</v>
      </c>
      <c r="E367" s="248" t="s">
        <v>253</v>
      </c>
      <c r="F367" s="11">
        <v>86.704753354000005</v>
      </c>
      <c r="G367" s="4">
        <v>1896.8439900000001</v>
      </c>
      <c r="H367" s="20">
        <v>0</v>
      </c>
      <c r="I367" s="17"/>
      <c r="J367" t="s">
        <v>19</v>
      </c>
      <c r="K367" s="11"/>
      <c r="L367" s="11"/>
      <c r="M367" s="11"/>
      <c r="N367" s="11"/>
      <c r="O367" s="11"/>
      <c r="P367" s="33"/>
      <c r="Q367" s="10">
        <v>3.3</v>
      </c>
      <c r="R367" s="10">
        <v>11.3</v>
      </c>
      <c r="S367" s="10" t="s">
        <v>33</v>
      </c>
      <c r="T367" s="20">
        <v>0</v>
      </c>
      <c r="U367" s="17"/>
    </row>
    <row r="368" spans="1:21" x14ac:dyDescent="0.2">
      <c r="A368">
        <v>1393</v>
      </c>
      <c r="B368" s="1">
        <v>46228</v>
      </c>
      <c r="C368" s="2">
        <v>0.50475694444444441</v>
      </c>
      <c r="D368" t="s">
        <v>25</v>
      </c>
      <c r="E368" s="248" t="s">
        <v>253</v>
      </c>
      <c r="F368" s="11">
        <v>86.641228846000004</v>
      </c>
      <c r="G368" s="4">
        <v>1934.66516</v>
      </c>
      <c r="H368" s="20">
        <v>1</v>
      </c>
      <c r="I368" s="17" t="s">
        <v>255</v>
      </c>
      <c r="J368" t="s">
        <v>19</v>
      </c>
      <c r="K368" s="11">
        <v>45.338128476000001</v>
      </c>
      <c r="L368" s="11">
        <v>29.045393000000001</v>
      </c>
      <c r="M368" s="11">
        <v>37.3217049</v>
      </c>
      <c r="N368" s="11">
        <v>65.166662707</v>
      </c>
      <c r="O368" s="11"/>
      <c r="P368" s="33">
        <v>0.42541347499999999</v>
      </c>
      <c r="Q368" s="10">
        <v>3.2</v>
      </c>
      <c r="R368" s="10">
        <v>12.6</v>
      </c>
      <c r="S368" s="10" t="s">
        <v>33</v>
      </c>
      <c r="T368" s="20">
        <v>1</v>
      </c>
      <c r="U368" s="17" t="s">
        <v>254</v>
      </c>
    </row>
    <row r="369" spans="1:21" x14ac:dyDescent="0.2">
      <c r="A369">
        <v>1394</v>
      </c>
      <c r="B369" s="1">
        <v>46228</v>
      </c>
      <c r="C369" s="2">
        <v>0.50509259259259254</v>
      </c>
      <c r="D369" t="s">
        <v>25</v>
      </c>
      <c r="E369" s="10" t="s">
        <v>37</v>
      </c>
      <c r="F369" s="11">
        <v>76.859159614999996</v>
      </c>
      <c r="G369" s="4">
        <v>1939.5991200000001</v>
      </c>
      <c r="H369" s="20">
        <v>0</v>
      </c>
      <c r="I369" s="17"/>
      <c r="J369" t="s">
        <v>17</v>
      </c>
      <c r="K369" s="11"/>
      <c r="L369" s="11"/>
      <c r="M369" s="11"/>
      <c r="N369" s="11"/>
      <c r="O369" s="11"/>
      <c r="P369" s="33"/>
      <c r="Q369" s="10">
        <v>1.2</v>
      </c>
      <c r="R369" s="10">
        <v>-16.600000000000001</v>
      </c>
      <c r="S369" s="10" t="s">
        <v>33</v>
      </c>
      <c r="T369" s="20">
        <v>1</v>
      </c>
      <c r="U369" s="17" t="s">
        <v>42</v>
      </c>
    </row>
    <row r="370" spans="1:21" x14ac:dyDescent="0.2">
      <c r="A370">
        <v>1395</v>
      </c>
      <c r="B370" s="1">
        <v>46228</v>
      </c>
      <c r="C370" s="2">
        <v>0.50535879629629632</v>
      </c>
      <c r="D370" t="s">
        <v>25</v>
      </c>
      <c r="E370" s="248" t="s">
        <v>253</v>
      </c>
      <c r="F370" s="11">
        <v>87.911634235999998</v>
      </c>
      <c r="G370" s="4">
        <v>1937.7016599999999</v>
      </c>
      <c r="H370" s="20">
        <v>1</v>
      </c>
      <c r="I370" s="17" t="s">
        <v>38</v>
      </c>
      <c r="J370" t="s">
        <v>17</v>
      </c>
      <c r="K370" s="11"/>
      <c r="L370" s="11"/>
      <c r="M370" s="11"/>
      <c r="N370" s="11">
        <v>61.766177511999999</v>
      </c>
      <c r="O370" s="11"/>
      <c r="P370" s="33"/>
      <c r="Q370" s="10">
        <v>0.9</v>
      </c>
      <c r="R370" s="10">
        <v>13.3</v>
      </c>
      <c r="S370" s="10" t="s">
        <v>37</v>
      </c>
      <c r="T370" s="20">
        <v>0</v>
      </c>
      <c r="U370" s="17"/>
    </row>
    <row r="371" spans="1:21" x14ac:dyDescent="0.2">
      <c r="A371">
        <v>1396</v>
      </c>
      <c r="B371" s="1">
        <v>46228</v>
      </c>
      <c r="C371" s="2">
        <v>0.50567129629629626</v>
      </c>
      <c r="D371" t="s">
        <v>25</v>
      </c>
      <c r="E371" s="10" t="s">
        <v>35</v>
      </c>
      <c r="F371" s="11">
        <v>77.240281612000004</v>
      </c>
      <c r="G371" s="4">
        <v>1632.0112300000001</v>
      </c>
      <c r="H371" s="20">
        <v>1</v>
      </c>
      <c r="I371" s="17" t="s">
        <v>38</v>
      </c>
      <c r="J371" t="s">
        <v>17</v>
      </c>
      <c r="K371" s="11">
        <v>63.080103610999998</v>
      </c>
      <c r="L371" s="11">
        <v>-37.930458100000003</v>
      </c>
      <c r="M371" s="11"/>
      <c r="N371" s="11">
        <v>61.821925313000001</v>
      </c>
      <c r="O371" s="11">
        <v>5</v>
      </c>
      <c r="P371" s="33">
        <v>0.63054344200000001</v>
      </c>
      <c r="Q371" s="10">
        <v>6.2</v>
      </c>
      <c r="R371" s="10">
        <v>13.9</v>
      </c>
      <c r="S371" s="10" t="s">
        <v>37</v>
      </c>
      <c r="T371" s="20">
        <v>1</v>
      </c>
      <c r="U371" s="17"/>
    </row>
    <row r="372" spans="1:21" x14ac:dyDescent="0.2">
      <c r="A372">
        <v>1397</v>
      </c>
      <c r="B372" s="1">
        <v>46228</v>
      </c>
      <c r="C372" s="2">
        <v>0.50591435185185185</v>
      </c>
      <c r="D372" t="s">
        <v>25</v>
      </c>
      <c r="E372" s="10" t="s">
        <v>37</v>
      </c>
      <c r="F372" s="11">
        <v>77.605518903000004</v>
      </c>
      <c r="G372" s="4">
        <v>2107.3510700000002</v>
      </c>
      <c r="H372" s="20">
        <v>0</v>
      </c>
      <c r="I372" s="17"/>
      <c r="J372" t="s">
        <v>17</v>
      </c>
      <c r="K372" s="11"/>
      <c r="L372" s="11"/>
      <c r="M372" s="11"/>
      <c r="N372" s="11"/>
      <c r="O372" s="11"/>
      <c r="P372" s="33"/>
      <c r="Q372" s="10">
        <v>-0.7</v>
      </c>
      <c r="R372" s="10">
        <v>-11.1</v>
      </c>
      <c r="S372" s="10" t="s">
        <v>37</v>
      </c>
      <c r="T372" s="20">
        <v>0</v>
      </c>
      <c r="U372" s="17"/>
    </row>
    <row r="373" spans="1:21" x14ac:dyDescent="0.2">
      <c r="A373">
        <v>1398</v>
      </c>
      <c r="B373" s="1">
        <v>46228</v>
      </c>
      <c r="C373" s="2">
        <v>0.50628472222222221</v>
      </c>
      <c r="D373" t="s">
        <v>25</v>
      </c>
      <c r="E373" s="10" t="s">
        <v>33</v>
      </c>
      <c r="F373" s="11">
        <v>89.944267515999996</v>
      </c>
      <c r="G373" s="4">
        <v>1947.9006300000001</v>
      </c>
      <c r="H373" s="20">
        <v>1</v>
      </c>
      <c r="I373" s="17" t="s">
        <v>42</v>
      </c>
      <c r="J373" t="s">
        <v>17</v>
      </c>
      <c r="K373" s="11"/>
      <c r="L373" s="11"/>
      <c r="M373" s="11"/>
      <c r="N373" s="11"/>
      <c r="O373" s="11"/>
      <c r="P373" s="33"/>
      <c r="Q373" s="10">
        <v>6.9</v>
      </c>
      <c r="R373" s="10">
        <v>7.8</v>
      </c>
      <c r="S373" s="10" t="s">
        <v>37</v>
      </c>
      <c r="T373" s="20">
        <v>0</v>
      </c>
      <c r="U373" s="17"/>
    </row>
    <row r="374" spans="1:21" x14ac:dyDescent="0.2">
      <c r="B374" s="1"/>
      <c r="C374" s="2"/>
      <c r="D374"/>
      <c r="E374" s="12"/>
      <c r="F374" s="11"/>
      <c r="G374" s="4"/>
      <c r="H374" s="20"/>
      <c r="I374" s="17"/>
      <c r="J374"/>
      <c r="K374" s="11"/>
      <c r="L374" s="11"/>
      <c r="M374" s="11"/>
      <c r="N374" s="11"/>
      <c r="O374" s="11"/>
      <c r="P374" s="33"/>
    </row>
    <row r="375" spans="1:21" x14ac:dyDescent="0.2">
      <c r="B375" s="1"/>
      <c r="C375" s="2"/>
      <c r="D375"/>
      <c r="E375" s="12"/>
      <c r="F375" s="11"/>
      <c r="G375" s="4"/>
      <c r="H375" s="20"/>
      <c r="I375" s="17"/>
      <c r="J375"/>
      <c r="K375" s="11"/>
      <c r="L375" s="11"/>
      <c r="M375" s="11"/>
      <c r="N375" s="11"/>
      <c r="O375" s="11"/>
      <c r="P375" s="33"/>
    </row>
    <row r="376" spans="1:21" x14ac:dyDescent="0.2">
      <c r="B376" s="1"/>
      <c r="C376" s="2"/>
      <c r="D376"/>
      <c r="E376" s="12"/>
      <c r="F376" s="11"/>
      <c r="G376" s="4"/>
      <c r="H376" s="20"/>
      <c r="I376" s="17"/>
      <c r="J376"/>
      <c r="K376" s="11"/>
      <c r="L376" s="11"/>
      <c r="M376" s="11"/>
      <c r="N376" s="11"/>
      <c r="O376" s="11"/>
      <c r="P376" s="33"/>
    </row>
    <row r="377" spans="1:21" x14ac:dyDescent="0.2">
      <c r="B377" s="1"/>
      <c r="C377" s="2"/>
      <c r="D377"/>
      <c r="E377" s="12"/>
      <c r="F377" s="11"/>
      <c r="G377" s="4"/>
      <c r="H377" s="20"/>
      <c r="I377" s="17"/>
      <c r="J377"/>
      <c r="K377" s="11"/>
      <c r="L377" s="11"/>
      <c r="M377" s="11"/>
      <c r="N377" s="11"/>
      <c r="O377" s="11"/>
      <c r="P377" s="33"/>
    </row>
    <row r="378" spans="1:21" x14ac:dyDescent="0.2">
      <c r="B378" s="1"/>
      <c r="C378" s="2"/>
      <c r="D378"/>
      <c r="E378" s="12"/>
      <c r="F378" s="11"/>
      <c r="G378" s="4"/>
      <c r="H378" s="20"/>
      <c r="I378" s="17"/>
      <c r="J378"/>
      <c r="K378" s="11"/>
      <c r="L378" s="11"/>
      <c r="M378" s="11"/>
      <c r="N378" s="11"/>
      <c r="O378" s="11"/>
      <c r="P378" s="33"/>
    </row>
    <row r="379" spans="1:21" x14ac:dyDescent="0.2">
      <c r="B379" s="1"/>
      <c r="C379" s="2"/>
      <c r="D379"/>
      <c r="E379" s="12"/>
      <c r="F379" s="11"/>
      <c r="G379" s="4"/>
      <c r="H379" s="20"/>
      <c r="I379" s="17"/>
      <c r="J379"/>
      <c r="K379" s="11"/>
      <c r="L379" s="11"/>
      <c r="M379" s="11"/>
      <c r="N379" s="11"/>
      <c r="O379" s="11"/>
      <c r="P379" s="33"/>
    </row>
    <row r="380" spans="1:21" x14ac:dyDescent="0.2">
      <c r="B380" s="1"/>
      <c r="C380" s="2"/>
      <c r="D380"/>
      <c r="E380" s="12"/>
      <c r="F380" s="11"/>
      <c r="G380" s="4"/>
      <c r="H380" s="20"/>
      <c r="I380" s="17"/>
      <c r="J380"/>
      <c r="K380" s="11"/>
      <c r="L380" s="11"/>
      <c r="M380" s="11"/>
      <c r="N380" s="11"/>
      <c r="O380" s="11"/>
      <c r="P380" s="33"/>
    </row>
    <row r="381" spans="1:21" x14ac:dyDescent="0.2">
      <c r="B381" s="1"/>
      <c r="C381" s="2"/>
      <c r="D381"/>
      <c r="E381" s="12"/>
      <c r="F381" s="11"/>
      <c r="G381" s="4"/>
      <c r="H381" s="20"/>
      <c r="I381" s="17"/>
      <c r="J381"/>
      <c r="K381" s="11"/>
      <c r="L381" s="11"/>
      <c r="M381" s="11"/>
      <c r="N381" s="11"/>
      <c r="O381" s="11"/>
      <c r="P381" s="33"/>
    </row>
    <row r="382" spans="1:21" x14ac:dyDescent="0.2">
      <c r="B382" s="1"/>
      <c r="C382" s="2"/>
      <c r="D382"/>
      <c r="E382" s="12"/>
      <c r="F382" s="11"/>
      <c r="G382" s="4"/>
      <c r="H382" s="20"/>
      <c r="I382" s="17"/>
      <c r="J382"/>
      <c r="K382" s="11"/>
      <c r="L382" s="11"/>
      <c r="M382" s="11"/>
      <c r="N382" s="11"/>
      <c r="O382" s="11"/>
      <c r="P382" s="33"/>
    </row>
    <row r="383" spans="1:21" x14ac:dyDescent="0.2">
      <c r="B383" s="1"/>
      <c r="C383" s="2"/>
      <c r="D383"/>
      <c r="E383" s="12"/>
      <c r="F383" s="11"/>
      <c r="G383" s="4"/>
      <c r="H383" s="20"/>
      <c r="I383" s="17"/>
      <c r="J383"/>
      <c r="K383" s="11"/>
      <c r="L383" s="11"/>
      <c r="M383" s="11"/>
      <c r="N383" s="11"/>
      <c r="O383" s="11"/>
      <c r="P383" s="33"/>
    </row>
    <row r="384" spans="1:21" x14ac:dyDescent="0.2">
      <c r="B384" s="1"/>
      <c r="C384" s="2"/>
      <c r="D384"/>
      <c r="E384" s="12"/>
      <c r="F384" s="11"/>
      <c r="G384" s="4"/>
      <c r="H384" s="20"/>
      <c r="I384" s="17"/>
      <c r="J384"/>
      <c r="K384" s="11"/>
      <c r="L384" s="11"/>
      <c r="M384" s="11"/>
      <c r="N384" s="11"/>
      <c r="O384" s="11"/>
      <c r="P384" s="33"/>
    </row>
    <row r="385" spans="2:16" x14ac:dyDescent="0.2">
      <c r="B385" s="1"/>
      <c r="C385" s="2"/>
      <c r="D385"/>
      <c r="E385" s="12"/>
      <c r="F385" s="11"/>
      <c r="G385" s="4"/>
      <c r="H385" s="20"/>
      <c r="I385" s="17"/>
      <c r="J385"/>
      <c r="K385" s="11"/>
      <c r="L385" s="11"/>
      <c r="M385" s="11"/>
      <c r="N385" s="11"/>
      <c r="O385" s="11"/>
      <c r="P385" s="33"/>
    </row>
    <row r="386" spans="2:16" x14ac:dyDescent="0.2">
      <c r="B386" s="1"/>
      <c r="C386" s="2"/>
      <c r="D386"/>
      <c r="E386" s="12"/>
      <c r="F386" s="11"/>
      <c r="G386" s="4"/>
      <c r="H386" s="20"/>
      <c r="I386" s="17"/>
      <c r="J386"/>
      <c r="K386" s="11"/>
      <c r="L386" s="11"/>
      <c r="M386" s="11"/>
      <c r="N386" s="11"/>
      <c r="O386" s="11"/>
      <c r="P386" s="33"/>
    </row>
    <row r="387" spans="2:16" x14ac:dyDescent="0.2">
      <c r="B387" s="1"/>
      <c r="C387" s="2"/>
      <c r="D387"/>
      <c r="E387" s="12"/>
      <c r="F387" s="11"/>
      <c r="G387" s="4"/>
      <c r="H387" s="20"/>
      <c r="I387" s="17"/>
      <c r="J387"/>
      <c r="K387" s="11"/>
      <c r="L387" s="11"/>
      <c r="M387" s="11"/>
      <c r="N387" s="11"/>
      <c r="O387" s="11"/>
      <c r="P387" s="33"/>
    </row>
    <row r="388" spans="2:16" x14ac:dyDescent="0.2">
      <c r="B388" s="1"/>
      <c r="C388" s="2"/>
      <c r="D388"/>
      <c r="E388" s="12"/>
      <c r="F388" s="11"/>
      <c r="G388" s="4"/>
      <c r="H388" s="20"/>
      <c r="I388" s="17"/>
      <c r="J388"/>
      <c r="K388" s="11"/>
      <c r="L388" s="11"/>
      <c r="M388" s="11"/>
      <c r="N388" s="11"/>
      <c r="O388" s="11"/>
      <c r="P388" s="33"/>
    </row>
    <row r="389" spans="2:16" x14ac:dyDescent="0.2">
      <c r="B389" s="1"/>
      <c r="C389" s="2"/>
      <c r="D389"/>
      <c r="E389" s="12"/>
      <c r="F389" s="11"/>
      <c r="G389" s="4"/>
      <c r="H389" s="20"/>
      <c r="I389" s="17"/>
      <c r="J389"/>
      <c r="K389" s="11"/>
      <c r="L389" s="11"/>
      <c r="M389" s="11"/>
      <c r="N389" s="11"/>
      <c r="O389" s="11"/>
      <c r="P389" s="33"/>
    </row>
    <row r="390" spans="2:16" x14ac:dyDescent="0.2">
      <c r="B390" s="1"/>
      <c r="C390" s="2"/>
      <c r="D390"/>
      <c r="E390" s="12"/>
      <c r="F390" s="11"/>
      <c r="G390" s="4"/>
      <c r="H390" s="20"/>
      <c r="I390" s="17"/>
      <c r="J390"/>
      <c r="K390" s="11"/>
      <c r="L390" s="11"/>
      <c r="M390" s="11"/>
      <c r="N390" s="11"/>
      <c r="O390" s="11"/>
      <c r="P390" s="33"/>
    </row>
    <row r="391" spans="2:16" x14ac:dyDescent="0.2">
      <c r="B391" s="1"/>
      <c r="C391" s="2"/>
      <c r="D391"/>
      <c r="E391" s="12"/>
      <c r="F391" s="11"/>
      <c r="G391" s="4"/>
      <c r="H391" s="20"/>
      <c r="I391" s="17"/>
      <c r="J391"/>
      <c r="K391" s="11"/>
      <c r="L391" s="11"/>
      <c r="M391" s="11"/>
      <c r="N391" s="11"/>
      <c r="O391" s="11"/>
      <c r="P391" s="33"/>
    </row>
    <row r="392" spans="2:16" x14ac:dyDescent="0.2">
      <c r="B392" s="1"/>
      <c r="C392" s="2"/>
      <c r="D392"/>
      <c r="E392" s="12"/>
      <c r="F392" s="11"/>
      <c r="G392" s="4"/>
      <c r="H392" s="20"/>
      <c r="I392" s="17"/>
      <c r="J392"/>
      <c r="K392" s="11"/>
      <c r="L392" s="11"/>
      <c r="M392" s="11"/>
      <c r="N392" s="11"/>
      <c r="O392" s="11"/>
      <c r="P392" s="33"/>
    </row>
    <row r="393" spans="2:16" x14ac:dyDescent="0.2">
      <c r="B393" s="1"/>
      <c r="C393" s="2"/>
      <c r="D393"/>
      <c r="E393" s="12"/>
      <c r="F393" s="11"/>
      <c r="G393" s="4"/>
      <c r="H393" s="20"/>
      <c r="I393" s="17"/>
      <c r="J393"/>
      <c r="K393" s="11"/>
      <c r="L393" s="11"/>
      <c r="M393" s="11"/>
      <c r="N393" s="11"/>
      <c r="O393" s="11"/>
      <c r="P393" s="33"/>
    </row>
    <row r="394" spans="2:16" x14ac:dyDescent="0.2">
      <c r="B394" s="1"/>
      <c r="C394" s="2"/>
      <c r="D394"/>
      <c r="E394" s="12"/>
      <c r="F394" s="11"/>
      <c r="G394" s="4"/>
      <c r="H394" s="20"/>
      <c r="I394" s="17"/>
      <c r="J394"/>
      <c r="K394" s="11"/>
      <c r="L394" s="11"/>
      <c r="M394" s="11"/>
      <c r="N394" s="11"/>
      <c r="O394" s="11"/>
      <c r="P394" s="33"/>
    </row>
    <row r="395" spans="2:16" x14ac:dyDescent="0.2">
      <c r="B395" s="1"/>
      <c r="C395" s="2"/>
      <c r="D395"/>
      <c r="E395" s="12"/>
      <c r="F395" s="11"/>
      <c r="G395" s="4"/>
      <c r="H395" s="20"/>
      <c r="I395" s="17"/>
      <c r="J395"/>
      <c r="K395" s="11"/>
      <c r="L395" s="11"/>
      <c r="M395" s="11"/>
      <c r="N395" s="11"/>
      <c r="O395" s="11"/>
      <c r="P395" s="172"/>
    </row>
    <row r="396" spans="2:16" x14ac:dyDescent="0.2">
      <c r="B396" s="1"/>
      <c r="C396" s="2"/>
      <c r="D396"/>
      <c r="E396" s="12"/>
      <c r="F396" s="11"/>
      <c r="G396" s="4"/>
      <c r="H396" s="20"/>
      <c r="I396" s="17"/>
      <c r="J396"/>
      <c r="K396" s="11"/>
      <c r="L396" s="11"/>
      <c r="M396" s="11"/>
      <c r="N396" s="11"/>
      <c r="O396" s="11"/>
      <c r="P396" s="33"/>
    </row>
    <row r="397" spans="2:16" x14ac:dyDescent="0.2">
      <c r="B397" s="1"/>
      <c r="C397" s="2"/>
      <c r="D397"/>
      <c r="E397" s="12"/>
      <c r="F397" s="11"/>
      <c r="G397" s="4"/>
      <c r="H397" s="20"/>
      <c r="I397" s="17"/>
      <c r="J397"/>
      <c r="K397" s="11"/>
      <c r="L397" s="11"/>
      <c r="M397" s="11"/>
      <c r="N397" s="11"/>
      <c r="O397" s="11"/>
      <c r="P397" s="33"/>
    </row>
    <row r="398" spans="2:16" x14ac:dyDescent="0.2">
      <c r="B398" s="1"/>
      <c r="C398" s="2"/>
      <c r="D398"/>
      <c r="E398" s="12"/>
      <c r="F398" s="11"/>
      <c r="G398" s="4"/>
      <c r="H398" s="20"/>
      <c r="I398" s="17"/>
      <c r="J398"/>
      <c r="K398" s="11"/>
      <c r="L398" s="11"/>
      <c r="M398" s="11"/>
      <c r="N398" s="11"/>
      <c r="O398" s="11"/>
      <c r="P398" s="33"/>
    </row>
    <row r="399" spans="2:16" x14ac:dyDescent="0.2">
      <c r="B399" s="1"/>
      <c r="C399" s="2"/>
      <c r="D399"/>
      <c r="E399" s="12"/>
      <c r="F399" s="11"/>
      <c r="G399" s="4"/>
      <c r="H399" s="20"/>
      <c r="I399" s="17"/>
      <c r="J399"/>
      <c r="K399" s="11"/>
      <c r="L399" s="11"/>
      <c r="M399" s="11"/>
      <c r="N399" s="11"/>
      <c r="O399" s="11"/>
      <c r="P399" s="33"/>
    </row>
    <row r="400" spans="2:16" x14ac:dyDescent="0.2">
      <c r="B400" s="1"/>
      <c r="C400" s="2"/>
      <c r="D400"/>
      <c r="E400" s="12"/>
      <c r="F400" s="11"/>
      <c r="G400" s="4"/>
      <c r="H400" s="20"/>
      <c r="I400" s="17"/>
      <c r="J400"/>
      <c r="K400" s="11"/>
      <c r="L400" s="11"/>
      <c r="M400" s="11"/>
      <c r="N400" s="11"/>
      <c r="O400" s="11"/>
      <c r="P400" s="33"/>
    </row>
    <row r="401" spans="2:16" x14ac:dyDescent="0.2">
      <c r="B401" s="1"/>
      <c r="C401" s="2"/>
      <c r="D401"/>
      <c r="E401" s="12"/>
      <c r="F401" s="11"/>
      <c r="G401" s="4"/>
      <c r="H401" s="20"/>
      <c r="I401" s="17"/>
      <c r="J401"/>
      <c r="K401" s="11"/>
      <c r="L401" s="11"/>
      <c r="M401" s="11"/>
      <c r="N401" s="11"/>
      <c r="O401" s="11"/>
      <c r="P401" s="33"/>
    </row>
    <row r="402" spans="2:16" x14ac:dyDescent="0.2">
      <c r="B402" s="1"/>
      <c r="C402" s="2"/>
      <c r="D402"/>
      <c r="E402" s="12"/>
      <c r="F402" s="11"/>
      <c r="G402" s="4"/>
      <c r="H402" s="20"/>
      <c r="I402" s="17"/>
      <c r="J402"/>
      <c r="K402" s="11"/>
      <c r="L402" s="11"/>
      <c r="M402" s="11"/>
      <c r="N402" s="11"/>
      <c r="O402" s="11"/>
      <c r="P402" s="33"/>
    </row>
    <row r="403" spans="2:16" x14ac:dyDescent="0.2">
      <c r="B403" s="1"/>
      <c r="C403" s="2"/>
      <c r="D403"/>
      <c r="E403" s="12"/>
      <c r="F403" s="11"/>
      <c r="G403" s="4"/>
      <c r="H403" s="20"/>
      <c r="I403" s="17"/>
      <c r="J403"/>
      <c r="K403" s="11"/>
      <c r="L403" s="11"/>
      <c r="M403" s="11"/>
      <c r="N403" s="11"/>
      <c r="O403" s="11"/>
      <c r="P403" s="33"/>
    </row>
    <row r="404" spans="2:16" s="155" customFormat="1" x14ac:dyDescent="0.2">
      <c r="B404" s="156"/>
      <c r="C404" s="157"/>
      <c r="E404" s="217"/>
      <c r="F404" s="159"/>
      <c r="G404" s="160"/>
      <c r="H404" s="161"/>
      <c r="I404" s="162"/>
      <c r="K404" s="159"/>
      <c r="L404" s="159"/>
      <c r="M404" s="159"/>
      <c r="N404" s="159"/>
      <c r="O404" s="159"/>
      <c r="P404" s="174"/>
    </row>
  </sheetData>
  <sortState xmlns:xlrd2="http://schemas.microsoft.com/office/spreadsheetml/2017/richdata2" ref="S356:U373">
    <sortCondition ref="S355:S373"/>
  </sortState>
  <mergeCells count="8">
    <mergeCell ref="B1:M1"/>
    <mergeCell ref="B2:M2"/>
    <mergeCell ref="A78:A82"/>
    <mergeCell ref="A5:A25"/>
    <mergeCell ref="A26:A33"/>
    <mergeCell ref="A34:A49"/>
    <mergeCell ref="A50:A61"/>
    <mergeCell ref="A62:A77"/>
  </mergeCells>
  <conditionalFormatting sqref="C9:M9">
    <cfRule type="cellIs" dxfId="193" priority="129" operator="greaterThanOrEqual">
      <formula>0.625</formula>
    </cfRule>
    <cfRule type="cellIs" dxfId="192" priority="128" operator="lessThan">
      <formula>0.625</formula>
    </cfRule>
  </conditionalFormatting>
  <conditionalFormatting sqref="C37:M37">
    <cfRule type="cellIs" dxfId="191" priority="131" operator="greaterThanOrEqual">
      <formula>0.625</formula>
    </cfRule>
    <cfRule type="cellIs" dxfId="190" priority="130" operator="lessThan">
      <formula>0.625</formula>
    </cfRule>
  </conditionalFormatting>
  <conditionalFormatting sqref="C41:M41 C45:M45 C49:M49">
    <cfRule type="cellIs" dxfId="189" priority="133" operator="greaterThanOrEqual">
      <formula>0.6</formula>
    </cfRule>
    <cfRule type="cellIs" dxfId="188" priority="132" operator="lessThan">
      <formula>0.6</formula>
    </cfRule>
  </conditionalFormatting>
  <conditionalFormatting sqref="D85:D404">
    <cfRule type="containsText" dxfId="187" priority="75" operator="containsText" text="Reagan Samples">
      <formula>NOT(ISERROR(SEARCH("Reagan Samples",D85)))</formula>
    </cfRule>
    <cfRule type="containsText" dxfId="186" priority="78" operator="containsText" text="Sebastian Garcia">
      <formula>NOT(ISERROR(SEARCH("Sebastian Garcia",D85)))</formula>
    </cfRule>
    <cfRule type="containsText" dxfId="185" priority="77" operator="containsText" text="Drew Craig">
      <formula>NOT(ISERROR(SEARCH("Drew Craig",D85)))</formula>
    </cfRule>
    <cfRule type="containsText" dxfId="184" priority="76" operator="containsText" text="Gabriel Esteban">
      <formula>NOT(ISERROR(SEARCH("Gabriel Esteban",D85)))</formula>
    </cfRule>
    <cfRule type="containsText" dxfId="183" priority="74" operator="containsText" text="Jonathon Van Ness">
      <formula>NOT(ISERROR(SEARCH("Jonathon Van Ness",D85)))</formula>
    </cfRule>
  </conditionalFormatting>
  <conditionalFormatting sqref="E86:E373">
    <cfRule type="containsText" dxfId="182" priority="57" operator="containsText" text="FB">
      <formula>NOT(ISERROR(SEARCH("FB",E86)))</formula>
    </cfRule>
    <cfRule type="containsText" dxfId="181" priority="59" operator="containsText" text="CH">
      <formula>NOT(ISERROR(SEARCH("CH",E86)))</formula>
    </cfRule>
    <cfRule type="containsText" dxfId="180" priority="58" operator="containsText" text="SL">
      <formula>NOT(ISERROR(SEARCH("SL",E86)))</formula>
    </cfRule>
  </conditionalFormatting>
  <conditionalFormatting sqref="E374:E404">
    <cfRule type="containsText" dxfId="179" priority="90" operator="containsText" text="CT">
      <formula>NOT(ISERROR(SEARCH("CT",E374)))</formula>
    </cfRule>
    <cfRule type="containsText" dxfId="178" priority="91" operator="containsText" text="CH">
      <formula>NOT(ISERROR(SEARCH("CH",E374)))</formula>
    </cfRule>
    <cfRule type="containsText" dxfId="177" priority="88" operator="containsText" text="FB">
      <formula>NOT(ISERROR(SEARCH("FB",E374)))</formula>
    </cfRule>
    <cfRule type="containsText" dxfId="176" priority="89" operator="containsText" text="SL">
      <formula>NOT(ISERROR(SEARCH("SL",E374)))</formula>
    </cfRule>
  </conditionalFormatting>
  <conditionalFormatting sqref="I85:I404">
    <cfRule type="containsText" dxfId="175" priority="69" operator="containsText" text="In Play">
      <formula>NOT(ISERROR(SEARCH("In Play",I85)))</formula>
    </cfRule>
    <cfRule type="containsText" dxfId="174" priority="70" operator="containsText" text="bK">
      <formula>NOT(ISERROR(SEARCH("bK",I85)))</formula>
    </cfRule>
    <cfRule type="containsText" dxfId="173" priority="71" operator="containsText" text="K">
      <formula>NOT(ISERROR(SEARCH("K",I85)))</formula>
    </cfRule>
    <cfRule type="containsText" dxfId="172" priority="72" operator="containsText" text="BB">
      <formula>NOT(ISERROR(SEARCH("BB",I85)))</formula>
    </cfRule>
  </conditionalFormatting>
  <conditionalFormatting sqref="J85:J404">
    <cfRule type="containsText" dxfId="171" priority="79" operator="containsText" text="Caleb Koontz">
      <formula>NOT(ISERROR(SEARCH("Caleb Koontz",J85)))</formula>
    </cfRule>
    <cfRule type="containsText" dxfId="170" priority="80" operator="containsText" text="Ryan Han">
      <formula>NOT(ISERROR(SEARCH("Ryan Han",J85)))</formula>
    </cfRule>
    <cfRule type="containsText" dxfId="169" priority="81" operator="containsText" text="Reagan Samples">
      <formula>NOT(ISERROR(SEARCH("Reagan Samples",J85)))</formula>
    </cfRule>
    <cfRule type="containsText" dxfId="168" priority="82" operator="containsText" text="Jackson Orr">
      <formula>NOT(ISERROR(SEARCH("Jackson Orr",J85)))</formula>
    </cfRule>
    <cfRule type="containsText" dxfId="167" priority="83" operator="containsText" text="Carter Walsh">
      <formula>NOT(ISERROR(SEARCH("Carter Walsh",J85)))</formula>
    </cfRule>
    <cfRule type="containsText" dxfId="166" priority="84" operator="containsText" text="Easton Steck">
      <formula>NOT(ISERROR(SEARCH("Easton Steck",J85)))</formula>
    </cfRule>
    <cfRule type="containsText" dxfId="165" priority="85" operator="containsText" text="Michael Caranna">
      <formula>NOT(ISERROR(SEARCH("Michael Caranna",J85)))</formula>
    </cfRule>
    <cfRule type="containsText" dxfId="164" priority="86" operator="containsText" text="Michael Chang">
      <formula>NOT(ISERROR(SEARCH("Michael Chang",J85)))</formula>
    </cfRule>
    <cfRule type="containsText" dxfId="163" priority="87" operator="containsText" text="Aidan Young">
      <formula>NOT(ISERROR(SEARCH("Aidan Young",J85)))</formula>
    </cfRule>
  </conditionalFormatting>
  <conditionalFormatting sqref="R86:R354">
    <cfRule type="containsText" dxfId="162" priority="11" operator="containsText" text="CH">
      <formula>NOT(ISERROR(SEARCH("CH",R86)))</formula>
    </cfRule>
    <cfRule type="containsText" dxfId="161" priority="10" operator="containsText" text="SL">
      <formula>NOT(ISERROR(SEARCH("SL",R86)))</formula>
    </cfRule>
    <cfRule type="containsText" dxfId="160" priority="9" operator="containsText" text="FB">
      <formula>NOT(ISERROR(SEARCH("FB",R86)))</formula>
    </cfRule>
  </conditionalFormatting>
  <conditionalFormatting sqref="S355:S373">
    <cfRule type="containsText" dxfId="159" priority="56" operator="containsText" text="CH">
      <formula>NOT(ISERROR(SEARCH("CH",S355)))</formula>
    </cfRule>
    <cfRule type="containsText" dxfId="158" priority="55" operator="containsText" text="SL">
      <formula>NOT(ISERROR(SEARCH("SL",S355)))</formula>
    </cfRule>
    <cfRule type="containsText" dxfId="157" priority="54" operator="containsText" text="FB">
      <formula>NOT(ISERROR(SEARCH("FB",S355)))</formula>
    </cfRule>
  </conditionalFormatting>
  <conditionalFormatting sqref="T86:T354">
    <cfRule type="containsText" dxfId="156" priority="8" operator="containsText" text="BB">
      <formula>NOT(ISERROR(SEARCH("BB",T86)))</formula>
    </cfRule>
    <cfRule type="containsText" dxfId="155" priority="7" operator="containsText" text="K">
      <formula>NOT(ISERROR(SEARCH("K",T86)))</formula>
    </cfRule>
    <cfRule type="containsText" dxfId="154" priority="6" operator="containsText" text="bK">
      <formula>NOT(ISERROR(SEARCH("bK",T86)))</formula>
    </cfRule>
    <cfRule type="containsText" dxfId="153" priority="5" operator="containsText" text="In Play">
      <formula>NOT(ISERROR(SEARCH("In Play",T86)))</formula>
    </cfRule>
  </conditionalFormatting>
  <conditionalFormatting sqref="U355:U373">
    <cfRule type="containsText" dxfId="152" priority="4" operator="containsText" text="BB">
      <formula>NOT(ISERROR(SEARCH("BB",U355)))</formula>
    </cfRule>
    <cfRule type="containsText" dxfId="151" priority="3" operator="containsText" text="K">
      <formula>NOT(ISERROR(SEARCH("K",U355)))</formula>
    </cfRule>
    <cfRule type="containsText" dxfId="150" priority="2" operator="containsText" text="bK">
      <formula>NOT(ISERROR(SEARCH("bK",U355)))</formula>
    </cfRule>
    <cfRule type="containsText" dxfId="149" priority="1" operator="containsText" text="In Play">
      <formula>NOT(ISERROR(SEARCH("In Play",U355)))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B35B1-E397-CA4D-8C97-00D45904E730}">
  <dimension ref="A1:AE257"/>
  <sheetViews>
    <sheetView zoomScaleNormal="100" workbookViewId="0">
      <pane xSplit="1" ySplit="4" topLeftCell="P216" activePane="bottomRight" state="frozen"/>
      <selection pane="topRight" activeCell="B1" sqref="B1"/>
      <selection pane="bottomLeft" activeCell="A5" sqref="A5"/>
      <selection pane="bottomRight" activeCell="AE223" sqref="AE222:AE223"/>
    </sheetView>
  </sheetViews>
  <sheetFormatPr baseColWidth="10" defaultRowHeight="16" x14ac:dyDescent="0.2"/>
  <cols>
    <col min="2" max="3" width="12" bestFit="1" customWidth="1"/>
    <col min="10" max="10" width="15" bestFit="1" customWidth="1"/>
    <col min="30" max="30" width="15" bestFit="1" customWidth="1"/>
  </cols>
  <sheetData>
    <row r="1" spans="1:15" ht="33" thickBot="1" x14ac:dyDescent="0.45">
      <c r="B1" s="256" t="s">
        <v>128</v>
      </c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8"/>
      <c r="N1" s="7"/>
      <c r="O1" s="7"/>
    </row>
    <row r="2" spans="1:15" ht="23" thickBot="1" x14ac:dyDescent="0.25">
      <c r="B2" s="259" t="s">
        <v>132</v>
      </c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1"/>
      <c r="N2" s="7"/>
      <c r="O2" s="7"/>
    </row>
    <row r="3" spans="1:15" x14ac:dyDescent="0.2">
      <c r="B3" s="24" t="s">
        <v>1</v>
      </c>
      <c r="C3" s="25">
        <v>46197</v>
      </c>
      <c r="D3" s="25">
        <v>46200</v>
      </c>
      <c r="E3" s="25">
        <v>46203</v>
      </c>
      <c r="F3" s="25">
        <v>46221</v>
      </c>
      <c r="G3" s="25">
        <v>46228</v>
      </c>
      <c r="H3" s="140"/>
      <c r="I3" s="148"/>
      <c r="J3" s="25"/>
      <c r="K3" s="25"/>
      <c r="L3" s="25"/>
      <c r="M3" s="26"/>
      <c r="N3" s="7"/>
      <c r="O3" s="7"/>
    </row>
    <row r="4" spans="1:15" ht="17" thickBot="1" x14ac:dyDescent="0.25">
      <c r="B4" s="27" t="s">
        <v>61</v>
      </c>
      <c r="C4" s="28" t="s">
        <v>202</v>
      </c>
      <c r="D4" s="28" t="s">
        <v>201</v>
      </c>
      <c r="E4" s="28" t="s">
        <v>202</v>
      </c>
      <c r="F4" s="28" t="s">
        <v>202</v>
      </c>
      <c r="G4" s="28" t="s">
        <v>202</v>
      </c>
      <c r="H4" s="141"/>
      <c r="I4" s="149"/>
      <c r="J4" s="28"/>
      <c r="K4" s="28"/>
      <c r="L4" s="28"/>
      <c r="M4" s="29"/>
      <c r="N4" s="7"/>
      <c r="O4" s="7"/>
    </row>
    <row r="5" spans="1:15" ht="16" customHeight="1" x14ac:dyDescent="0.2">
      <c r="A5" s="262" t="s">
        <v>62</v>
      </c>
      <c r="B5" s="30" t="s">
        <v>63</v>
      </c>
      <c r="C5" s="134">
        <v>1</v>
      </c>
      <c r="D5" s="134">
        <v>1.3333333333333333</v>
      </c>
      <c r="E5" s="134">
        <v>2</v>
      </c>
      <c r="F5" s="134">
        <f>4/3</f>
        <v>1.3333333333333333</v>
      </c>
      <c r="G5" s="134">
        <v>1</v>
      </c>
      <c r="H5" s="31">
        <v>0</v>
      </c>
      <c r="I5" s="137">
        <v>0</v>
      </c>
      <c r="J5" s="137">
        <v>0</v>
      </c>
      <c r="K5" s="31">
        <v>0</v>
      </c>
      <c r="L5" s="31">
        <v>0</v>
      </c>
      <c r="M5" s="31">
        <v>0</v>
      </c>
      <c r="N5" s="7"/>
      <c r="O5" s="7"/>
    </row>
    <row r="6" spans="1:15" x14ac:dyDescent="0.2">
      <c r="A6" s="263"/>
      <c r="B6" s="30" t="s">
        <v>68</v>
      </c>
      <c r="C6" s="135">
        <v>21</v>
      </c>
      <c r="D6" s="135">
        <v>26</v>
      </c>
      <c r="E6" s="135">
        <v>42</v>
      </c>
      <c r="F6" s="135">
        <v>44</v>
      </c>
      <c r="G6" s="135">
        <v>39</v>
      </c>
      <c r="H6" s="32">
        <v>0</v>
      </c>
      <c r="I6" s="138">
        <v>0</v>
      </c>
      <c r="J6" s="138">
        <v>0</v>
      </c>
      <c r="K6" s="32">
        <v>0</v>
      </c>
      <c r="L6" s="32">
        <v>0</v>
      </c>
      <c r="M6" s="32">
        <v>0</v>
      </c>
      <c r="N6" s="7"/>
      <c r="O6" s="7"/>
    </row>
    <row r="7" spans="1:15" x14ac:dyDescent="0.2">
      <c r="A7" s="263"/>
      <c r="B7" s="30" t="s">
        <v>69</v>
      </c>
      <c r="C7" s="135">
        <v>9</v>
      </c>
      <c r="D7" s="135">
        <v>10</v>
      </c>
      <c r="E7" s="135">
        <v>21</v>
      </c>
      <c r="F7" s="135">
        <v>23</v>
      </c>
      <c r="G7" s="135">
        <v>22</v>
      </c>
      <c r="H7" s="32">
        <v>0</v>
      </c>
      <c r="I7" s="138">
        <v>0</v>
      </c>
      <c r="J7" s="138">
        <v>0</v>
      </c>
      <c r="K7" s="32">
        <v>0</v>
      </c>
      <c r="L7" s="32">
        <v>0</v>
      </c>
      <c r="M7" s="32">
        <v>0</v>
      </c>
      <c r="N7" s="7"/>
      <c r="O7" s="7"/>
    </row>
    <row r="8" spans="1:15" x14ac:dyDescent="0.2">
      <c r="A8" s="263"/>
      <c r="B8" s="30" t="s">
        <v>59</v>
      </c>
      <c r="C8" s="135">
        <v>12</v>
      </c>
      <c r="D8" s="135">
        <v>16</v>
      </c>
      <c r="E8" s="135">
        <v>21</v>
      </c>
      <c r="F8" s="135">
        <v>18</v>
      </c>
      <c r="G8" s="135">
        <v>17</v>
      </c>
      <c r="H8" s="32">
        <v>0</v>
      </c>
      <c r="I8" s="138">
        <v>0</v>
      </c>
      <c r="J8" s="138">
        <v>0</v>
      </c>
      <c r="K8" s="32">
        <v>0</v>
      </c>
      <c r="L8" s="32">
        <v>0</v>
      </c>
      <c r="M8" s="32">
        <v>0</v>
      </c>
      <c r="N8" s="7"/>
      <c r="O8" s="7"/>
    </row>
    <row r="9" spans="1:15" x14ac:dyDescent="0.2">
      <c r="A9" s="263"/>
      <c r="B9" s="30" t="s">
        <v>70</v>
      </c>
      <c r="C9" s="33">
        <f t="shared" ref="C9:M9" si="0">C8/C6</f>
        <v>0.5714285714285714</v>
      </c>
      <c r="D9" s="33">
        <f t="shared" si="0"/>
        <v>0.61538461538461542</v>
      </c>
      <c r="E9" s="33">
        <f t="shared" si="0"/>
        <v>0.5</v>
      </c>
      <c r="F9" s="33">
        <f t="shared" si="0"/>
        <v>0.40909090909090912</v>
      </c>
      <c r="G9" s="33">
        <f t="shared" si="0"/>
        <v>0.4358974358974359</v>
      </c>
      <c r="H9" s="142" t="e">
        <f t="shared" si="0"/>
        <v>#DIV/0!</v>
      </c>
      <c r="I9" s="150" t="e">
        <f t="shared" si="0"/>
        <v>#DIV/0!</v>
      </c>
      <c r="J9" s="33" t="e">
        <f t="shared" si="0"/>
        <v>#DIV/0!</v>
      </c>
      <c r="K9" s="33" t="e">
        <f t="shared" si="0"/>
        <v>#DIV/0!</v>
      </c>
      <c r="L9" s="33" t="e">
        <f t="shared" si="0"/>
        <v>#DIV/0!</v>
      </c>
      <c r="M9" s="33" t="e">
        <f t="shared" si="0"/>
        <v>#DIV/0!</v>
      </c>
      <c r="N9" s="7"/>
      <c r="O9" s="7"/>
    </row>
    <row r="10" spans="1:15" x14ac:dyDescent="0.2">
      <c r="A10" s="263"/>
      <c r="B10" s="30" t="s">
        <v>71</v>
      </c>
      <c r="C10" s="14">
        <f t="shared" ref="C10:M10" si="1">C6/C5</f>
        <v>21</v>
      </c>
      <c r="D10" s="14">
        <f t="shared" si="1"/>
        <v>19.5</v>
      </c>
      <c r="E10" s="14">
        <f t="shared" si="1"/>
        <v>21</v>
      </c>
      <c r="F10" s="14">
        <f t="shared" si="1"/>
        <v>33</v>
      </c>
      <c r="G10" s="14">
        <f t="shared" si="1"/>
        <v>39</v>
      </c>
      <c r="H10" s="143" t="e">
        <f t="shared" si="1"/>
        <v>#DIV/0!</v>
      </c>
      <c r="I10" s="151" t="e">
        <f t="shared" si="1"/>
        <v>#DIV/0!</v>
      </c>
      <c r="J10" s="14" t="e">
        <f t="shared" si="1"/>
        <v>#DIV/0!</v>
      </c>
      <c r="K10" s="14" t="e">
        <f t="shared" si="1"/>
        <v>#DIV/0!</v>
      </c>
      <c r="L10" s="14" t="e">
        <f t="shared" si="1"/>
        <v>#DIV/0!</v>
      </c>
      <c r="M10" s="14" t="e">
        <f t="shared" si="1"/>
        <v>#DIV/0!</v>
      </c>
      <c r="N10" s="7"/>
      <c r="O10" s="7"/>
    </row>
    <row r="11" spans="1:15" x14ac:dyDescent="0.2">
      <c r="A11" s="263"/>
      <c r="B11" s="30" t="s">
        <v>72</v>
      </c>
      <c r="C11" s="11">
        <f t="shared" ref="C11:M11" si="2">C6/C12</f>
        <v>4.2</v>
      </c>
      <c r="D11" s="11">
        <f t="shared" si="2"/>
        <v>5.2</v>
      </c>
      <c r="E11" s="11">
        <f t="shared" si="2"/>
        <v>3.8181818181818183</v>
      </c>
      <c r="F11" s="11">
        <f t="shared" si="2"/>
        <v>5.5</v>
      </c>
      <c r="G11" s="11">
        <f t="shared" si="2"/>
        <v>5.5714285714285712</v>
      </c>
      <c r="H11" s="144" t="e">
        <f t="shared" si="2"/>
        <v>#DIV/0!</v>
      </c>
      <c r="I11" s="152" t="e">
        <f t="shared" si="2"/>
        <v>#DIV/0!</v>
      </c>
      <c r="J11" s="11" t="e">
        <f t="shared" si="2"/>
        <v>#DIV/0!</v>
      </c>
      <c r="K11" s="11" t="e">
        <f t="shared" si="2"/>
        <v>#DIV/0!</v>
      </c>
      <c r="L11" s="11" t="e">
        <f t="shared" si="2"/>
        <v>#DIV/0!</v>
      </c>
      <c r="M11" s="11" t="e">
        <f t="shared" si="2"/>
        <v>#DIV/0!</v>
      </c>
      <c r="N11" s="7"/>
      <c r="O11" s="7"/>
    </row>
    <row r="12" spans="1:15" x14ac:dyDescent="0.2">
      <c r="A12" s="263"/>
      <c r="B12" s="30" t="s">
        <v>73</v>
      </c>
      <c r="C12" s="135">
        <v>5</v>
      </c>
      <c r="D12" s="135">
        <v>5</v>
      </c>
      <c r="E12" s="135">
        <v>11</v>
      </c>
      <c r="F12" s="135">
        <v>8</v>
      </c>
      <c r="G12" s="135">
        <v>7</v>
      </c>
      <c r="H12" s="32">
        <v>0</v>
      </c>
      <c r="I12" s="138">
        <v>0</v>
      </c>
      <c r="J12" s="138">
        <v>0</v>
      </c>
      <c r="K12" s="32">
        <v>0</v>
      </c>
      <c r="L12" s="32">
        <v>0</v>
      </c>
      <c r="M12" s="32">
        <v>0</v>
      </c>
      <c r="N12" s="7"/>
      <c r="O12" s="7"/>
    </row>
    <row r="13" spans="1:15" x14ac:dyDescent="0.2">
      <c r="A13" s="263"/>
      <c r="B13" s="30" t="s">
        <v>74</v>
      </c>
      <c r="C13" s="135">
        <v>2</v>
      </c>
      <c r="D13" s="135">
        <v>1</v>
      </c>
      <c r="E13" s="135">
        <v>3</v>
      </c>
      <c r="F13" s="135">
        <v>0</v>
      </c>
      <c r="G13" s="135">
        <v>1</v>
      </c>
      <c r="H13" s="32">
        <v>0</v>
      </c>
      <c r="I13" s="138">
        <v>0</v>
      </c>
      <c r="J13" s="138">
        <v>0</v>
      </c>
      <c r="K13" s="32">
        <v>0</v>
      </c>
      <c r="L13" s="32">
        <v>0</v>
      </c>
      <c r="M13" s="32">
        <v>0</v>
      </c>
      <c r="N13" s="7"/>
      <c r="O13" s="7"/>
    </row>
    <row r="14" spans="1:15" x14ac:dyDescent="0.2">
      <c r="A14" s="263"/>
      <c r="B14" s="30" t="s">
        <v>48</v>
      </c>
      <c r="C14" s="135">
        <v>0</v>
      </c>
      <c r="D14" s="135">
        <v>0</v>
      </c>
      <c r="E14" s="135">
        <v>2</v>
      </c>
      <c r="F14" s="135">
        <v>4</v>
      </c>
      <c r="G14" s="135">
        <v>4</v>
      </c>
      <c r="H14" s="32">
        <v>0</v>
      </c>
      <c r="I14" s="138">
        <v>0</v>
      </c>
      <c r="J14" s="138">
        <v>0</v>
      </c>
      <c r="K14" s="32">
        <v>0</v>
      </c>
      <c r="L14" s="32">
        <v>0</v>
      </c>
      <c r="M14" s="32">
        <v>0</v>
      </c>
      <c r="N14" s="7"/>
      <c r="O14" s="7"/>
    </row>
    <row r="15" spans="1:15" x14ac:dyDescent="0.2">
      <c r="A15" s="263"/>
      <c r="B15" s="30" t="s">
        <v>75</v>
      </c>
      <c r="C15" s="33">
        <f t="shared" ref="C15:M15" si="3">C14/C12</f>
        <v>0</v>
      </c>
      <c r="D15" s="33">
        <f t="shared" si="3"/>
        <v>0</v>
      </c>
      <c r="E15" s="33">
        <f t="shared" si="3"/>
        <v>0.18181818181818182</v>
      </c>
      <c r="F15" s="33">
        <f t="shared" si="3"/>
        <v>0.5</v>
      </c>
      <c r="G15" s="33">
        <f t="shared" si="3"/>
        <v>0.5714285714285714</v>
      </c>
      <c r="H15" s="142" t="e">
        <f t="shared" si="3"/>
        <v>#DIV/0!</v>
      </c>
      <c r="I15" s="150" t="e">
        <f t="shared" si="3"/>
        <v>#DIV/0!</v>
      </c>
      <c r="J15" s="33" t="e">
        <f t="shared" si="3"/>
        <v>#DIV/0!</v>
      </c>
      <c r="K15" s="33" t="e">
        <f t="shared" si="3"/>
        <v>#DIV/0!</v>
      </c>
      <c r="L15" s="33" t="e">
        <f t="shared" si="3"/>
        <v>#DIV/0!</v>
      </c>
      <c r="M15" s="33" t="e">
        <f t="shared" si="3"/>
        <v>#DIV/0!</v>
      </c>
      <c r="N15" s="7"/>
      <c r="O15" s="7"/>
    </row>
    <row r="16" spans="1:15" x14ac:dyDescent="0.2">
      <c r="A16" s="263"/>
      <c r="B16" s="30" t="s">
        <v>76</v>
      </c>
      <c r="C16" s="11">
        <f t="shared" ref="C16:M16" si="4">(C14/C5)*7</f>
        <v>0</v>
      </c>
      <c r="D16" s="11">
        <f t="shared" si="4"/>
        <v>0</v>
      </c>
      <c r="E16" s="11">
        <f t="shared" si="4"/>
        <v>7</v>
      </c>
      <c r="F16" s="11">
        <f t="shared" si="4"/>
        <v>21</v>
      </c>
      <c r="G16" s="11">
        <f t="shared" si="4"/>
        <v>28</v>
      </c>
      <c r="H16" s="144" t="e">
        <f t="shared" si="4"/>
        <v>#DIV/0!</v>
      </c>
      <c r="I16" s="152" t="e">
        <f t="shared" si="4"/>
        <v>#DIV/0!</v>
      </c>
      <c r="J16" s="11" t="e">
        <f t="shared" si="4"/>
        <v>#DIV/0!</v>
      </c>
      <c r="K16" s="11" t="e">
        <f t="shared" si="4"/>
        <v>#DIV/0!</v>
      </c>
      <c r="L16" s="11" t="e">
        <f t="shared" si="4"/>
        <v>#DIV/0!</v>
      </c>
      <c r="M16" s="11" t="e">
        <f t="shared" si="4"/>
        <v>#DIV/0!</v>
      </c>
      <c r="N16" s="7"/>
      <c r="O16" s="7"/>
    </row>
    <row r="17" spans="1:15" x14ac:dyDescent="0.2">
      <c r="A17" s="263"/>
      <c r="B17" s="30" t="s">
        <v>41</v>
      </c>
      <c r="C17" s="136">
        <v>0</v>
      </c>
      <c r="D17" s="136">
        <v>0</v>
      </c>
      <c r="E17" s="136">
        <v>1</v>
      </c>
      <c r="F17" s="136">
        <v>0</v>
      </c>
      <c r="G17" s="136">
        <v>0</v>
      </c>
      <c r="H17" s="34">
        <v>0</v>
      </c>
      <c r="I17" s="139">
        <v>0</v>
      </c>
      <c r="J17" s="139">
        <v>0</v>
      </c>
      <c r="K17" s="34">
        <v>0</v>
      </c>
      <c r="L17" s="34">
        <v>0</v>
      </c>
      <c r="M17" s="34">
        <v>0</v>
      </c>
      <c r="N17" s="7"/>
      <c r="O17" s="7"/>
    </row>
    <row r="18" spans="1:15" x14ac:dyDescent="0.2">
      <c r="A18" s="263"/>
      <c r="B18" s="30" t="s">
        <v>79</v>
      </c>
      <c r="C18" s="35">
        <f t="shared" ref="C18:M18" si="5">(C14+C13)/C5</f>
        <v>2</v>
      </c>
      <c r="D18" s="35">
        <f t="shared" si="5"/>
        <v>0.75</v>
      </c>
      <c r="E18" s="35">
        <f t="shared" si="5"/>
        <v>2.5</v>
      </c>
      <c r="F18" s="35">
        <f t="shared" si="5"/>
        <v>3</v>
      </c>
      <c r="G18" s="35">
        <f t="shared" si="5"/>
        <v>5</v>
      </c>
      <c r="H18" s="145" t="e">
        <f t="shared" si="5"/>
        <v>#DIV/0!</v>
      </c>
      <c r="I18" s="153" t="e">
        <f t="shared" si="5"/>
        <v>#DIV/0!</v>
      </c>
      <c r="J18" s="35" t="e">
        <f t="shared" si="5"/>
        <v>#DIV/0!</v>
      </c>
      <c r="K18" s="35" t="e">
        <f t="shared" si="5"/>
        <v>#DIV/0!</v>
      </c>
      <c r="L18" s="35" t="e">
        <f t="shared" si="5"/>
        <v>#DIV/0!</v>
      </c>
      <c r="M18" s="35" t="e">
        <f t="shared" si="5"/>
        <v>#DIV/0!</v>
      </c>
      <c r="N18" s="7"/>
      <c r="O18" s="7"/>
    </row>
    <row r="19" spans="1:15" x14ac:dyDescent="0.2">
      <c r="A19" s="263"/>
      <c r="B19" s="30" t="s">
        <v>81</v>
      </c>
      <c r="C19" s="135">
        <v>1</v>
      </c>
      <c r="D19" s="135">
        <v>1</v>
      </c>
      <c r="E19" s="135">
        <v>3</v>
      </c>
      <c r="F19" s="135">
        <v>1</v>
      </c>
      <c r="G19" s="135">
        <v>0</v>
      </c>
      <c r="H19" s="32">
        <v>0</v>
      </c>
      <c r="I19" s="138">
        <v>0</v>
      </c>
      <c r="J19" s="138">
        <v>0</v>
      </c>
      <c r="K19" s="32">
        <v>0</v>
      </c>
      <c r="L19" s="32">
        <v>0</v>
      </c>
      <c r="M19" s="32">
        <v>0</v>
      </c>
      <c r="N19" s="7"/>
      <c r="O19" s="7"/>
    </row>
    <row r="20" spans="1:15" x14ac:dyDescent="0.2">
      <c r="A20" s="263"/>
      <c r="B20" s="30" t="s">
        <v>82</v>
      </c>
      <c r="C20" s="135">
        <v>0</v>
      </c>
      <c r="D20" s="135">
        <v>1</v>
      </c>
      <c r="E20" s="135">
        <v>1</v>
      </c>
      <c r="F20" s="135">
        <v>1</v>
      </c>
      <c r="G20" s="135">
        <v>1</v>
      </c>
      <c r="H20" s="32">
        <v>0</v>
      </c>
      <c r="I20" s="138">
        <v>0</v>
      </c>
      <c r="J20" s="138">
        <v>0</v>
      </c>
      <c r="K20" s="32">
        <v>0</v>
      </c>
      <c r="L20" s="32">
        <v>0</v>
      </c>
      <c r="M20" s="32">
        <v>0</v>
      </c>
      <c r="N20" s="7"/>
      <c r="O20" s="7"/>
    </row>
    <row r="21" spans="1:15" x14ac:dyDescent="0.2">
      <c r="A21" s="263"/>
      <c r="B21" s="30" t="s">
        <v>83</v>
      </c>
      <c r="C21" s="11">
        <f t="shared" ref="C21:M21" si="6">((C19+C20)/C5)*7</f>
        <v>7</v>
      </c>
      <c r="D21" s="11">
        <f t="shared" si="6"/>
        <v>10.5</v>
      </c>
      <c r="E21" s="11">
        <f t="shared" si="6"/>
        <v>14</v>
      </c>
      <c r="F21" s="11">
        <f t="shared" si="6"/>
        <v>10.5</v>
      </c>
      <c r="G21" s="11">
        <f t="shared" si="6"/>
        <v>7</v>
      </c>
      <c r="H21" s="144" t="e">
        <f t="shared" si="6"/>
        <v>#DIV/0!</v>
      </c>
      <c r="I21" s="152" t="e">
        <f t="shared" si="6"/>
        <v>#DIV/0!</v>
      </c>
      <c r="J21" s="11" t="e">
        <f t="shared" si="6"/>
        <v>#DIV/0!</v>
      </c>
      <c r="K21" s="11" t="e">
        <f t="shared" si="6"/>
        <v>#DIV/0!</v>
      </c>
      <c r="L21" s="11" t="e">
        <f t="shared" si="6"/>
        <v>#DIV/0!</v>
      </c>
      <c r="M21" s="11" t="e">
        <f t="shared" si="6"/>
        <v>#DIV/0!</v>
      </c>
      <c r="N21" s="7"/>
      <c r="O21" s="7"/>
    </row>
    <row r="22" spans="1:15" x14ac:dyDescent="0.2">
      <c r="A22" s="263"/>
      <c r="B22" s="30" t="s">
        <v>70</v>
      </c>
      <c r="C22" s="33">
        <f t="shared" ref="C22:M22" si="7">(C19+C20)/C12</f>
        <v>0.2</v>
      </c>
      <c r="D22" s="33">
        <f t="shared" si="7"/>
        <v>0.4</v>
      </c>
      <c r="E22" s="33">
        <f t="shared" si="7"/>
        <v>0.36363636363636365</v>
      </c>
      <c r="F22" s="33">
        <f t="shared" si="7"/>
        <v>0.25</v>
      </c>
      <c r="G22" s="33">
        <f t="shared" si="7"/>
        <v>0.14285714285714285</v>
      </c>
      <c r="H22" s="142" t="e">
        <f t="shared" si="7"/>
        <v>#DIV/0!</v>
      </c>
      <c r="I22" s="150" t="e">
        <f t="shared" si="7"/>
        <v>#DIV/0!</v>
      </c>
      <c r="J22" s="33" t="e">
        <f t="shared" si="7"/>
        <v>#DIV/0!</v>
      </c>
      <c r="K22" s="33" t="e">
        <f t="shared" si="7"/>
        <v>#DIV/0!</v>
      </c>
      <c r="L22" s="33" t="e">
        <f t="shared" si="7"/>
        <v>#DIV/0!</v>
      </c>
      <c r="M22" s="33" t="e">
        <f t="shared" si="7"/>
        <v>#DIV/0!</v>
      </c>
      <c r="N22" s="7"/>
      <c r="O22" s="7"/>
    </row>
    <row r="23" spans="1:15" x14ac:dyDescent="0.2">
      <c r="A23" s="263"/>
      <c r="B23" s="30" t="s">
        <v>84</v>
      </c>
      <c r="C23" s="11" t="e">
        <f t="shared" ref="C23:M23" si="8">(C19+C20)/C14</f>
        <v>#DIV/0!</v>
      </c>
      <c r="D23" s="11" t="e">
        <f t="shared" si="8"/>
        <v>#DIV/0!</v>
      </c>
      <c r="E23" s="11">
        <f t="shared" si="8"/>
        <v>2</v>
      </c>
      <c r="F23" s="11">
        <f t="shared" si="8"/>
        <v>0.5</v>
      </c>
      <c r="G23" s="11">
        <f t="shared" si="8"/>
        <v>0.25</v>
      </c>
      <c r="H23" s="144" t="e">
        <f t="shared" si="8"/>
        <v>#DIV/0!</v>
      </c>
      <c r="I23" s="152" t="e">
        <f t="shared" si="8"/>
        <v>#DIV/0!</v>
      </c>
      <c r="J23" s="11" t="e">
        <f t="shared" si="8"/>
        <v>#DIV/0!</v>
      </c>
      <c r="K23" s="11" t="e">
        <f t="shared" si="8"/>
        <v>#DIV/0!</v>
      </c>
      <c r="L23" s="11" t="e">
        <f t="shared" si="8"/>
        <v>#DIV/0!</v>
      </c>
      <c r="M23" s="11" t="e">
        <f t="shared" si="8"/>
        <v>#DIV/0!</v>
      </c>
      <c r="N23" s="7"/>
      <c r="O23" s="7"/>
    </row>
    <row r="24" spans="1:15" x14ac:dyDescent="0.2">
      <c r="A24" s="263"/>
      <c r="B24" s="30" t="s">
        <v>85</v>
      </c>
      <c r="C24" s="33">
        <f t="shared" ref="C24:M24" si="9">C22-C15</f>
        <v>0.2</v>
      </c>
      <c r="D24" s="33">
        <f t="shared" si="9"/>
        <v>0.4</v>
      </c>
      <c r="E24" s="33">
        <f t="shared" si="9"/>
        <v>0.18181818181818182</v>
      </c>
      <c r="F24" s="33">
        <f t="shared" si="9"/>
        <v>-0.25</v>
      </c>
      <c r="G24" s="33">
        <f t="shared" si="9"/>
        <v>-0.42857142857142855</v>
      </c>
      <c r="H24" s="142" t="e">
        <f t="shared" si="9"/>
        <v>#DIV/0!</v>
      </c>
      <c r="I24" s="150" t="e">
        <f t="shared" si="9"/>
        <v>#DIV/0!</v>
      </c>
      <c r="J24" s="33" t="e">
        <f t="shared" si="9"/>
        <v>#DIV/0!</v>
      </c>
      <c r="K24" s="33" t="e">
        <f t="shared" si="9"/>
        <v>#DIV/0!</v>
      </c>
      <c r="L24" s="33" t="e">
        <f t="shared" si="9"/>
        <v>#DIV/0!</v>
      </c>
      <c r="M24" s="33" t="e">
        <f t="shared" si="9"/>
        <v>#DIV/0!</v>
      </c>
      <c r="N24" s="7"/>
      <c r="O24" s="7"/>
    </row>
    <row r="25" spans="1:15" ht="17" thickBot="1" x14ac:dyDescent="0.25">
      <c r="A25" s="264"/>
      <c r="B25" s="30" t="s">
        <v>86</v>
      </c>
      <c r="C25" s="36">
        <f t="shared" ref="C25:M25" si="10">C13/(C12-C14-C17)</f>
        <v>0.4</v>
      </c>
      <c r="D25" s="36">
        <f t="shared" si="10"/>
        <v>0.2</v>
      </c>
      <c r="E25" s="36">
        <f t="shared" si="10"/>
        <v>0.375</v>
      </c>
      <c r="F25" s="36">
        <f t="shared" si="10"/>
        <v>0</v>
      </c>
      <c r="G25" s="36">
        <f t="shared" si="10"/>
        <v>0.33333333333333331</v>
      </c>
      <c r="H25" s="146" t="e">
        <f t="shared" si="10"/>
        <v>#DIV/0!</v>
      </c>
      <c r="I25" s="154" t="e">
        <f t="shared" si="10"/>
        <v>#DIV/0!</v>
      </c>
      <c r="J25" s="36" t="e">
        <f t="shared" si="10"/>
        <v>#DIV/0!</v>
      </c>
      <c r="K25" s="36" t="e">
        <f t="shared" si="10"/>
        <v>#DIV/0!</v>
      </c>
      <c r="L25" s="36" t="e">
        <f t="shared" si="10"/>
        <v>#DIV/0!</v>
      </c>
      <c r="M25" s="36" t="e">
        <f t="shared" si="10"/>
        <v>#DIV/0!</v>
      </c>
      <c r="N25" s="7"/>
      <c r="O25" s="7"/>
    </row>
    <row r="26" spans="1:15" x14ac:dyDescent="0.2">
      <c r="A26" s="262" t="s">
        <v>88</v>
      </c>
      <c r="B26" s="37" t="s">
        <v>89</v>
      </c>
      <c r="C26" s="135">
        <v>4</v>
      </c>
      <c r="D26" s="135">
        <v>3</v>
      </c>
      <c r="E26" s="135">
        <v>3</v>
      </c>
      <c r="F26" s="135">
        <v>3</v>
      </c>
      <c r="G26" s="135">
        <v>3</v>
      </c>
      <c r="H26" s="32">
        <v>0</v>
      </c>
      <c r="I26" s="138">
        <v>0</v>
      </c>
      <c r="J26" s="138">
        <v>0</v>
      </c>
      <c r="K26" s="32">
        <v>0</v>
      </c>
      <c r="L26" s="32">
        <v>0</v>
      </c>
      <c r="M26" s="32">
        <v>0</v>
      </c>
      <c r="N26" s="7"/>
      <c r="O26" s="7"/>
    </row>
    <row r="27" spans="1:15" x14ac:dyDescent="0.2">
      <c r="A27" s="263"/>
      <c r="B27" s="38" t="s">
        <v>90</v>
      </c>
      <c r="C27" s="33">
        <f t="shared" ref="C27:M27" si="11">C26/C12</f>
        <v>0.8</v>
      </c>
      <c r="D27" s="33">
        <f t="shared" si="11"/>
        <v>0.6</v>
      </c>
      <c r="E27" s="33">
        <f t="shared" si="11"/>
        <v>0.27272727272727271</v>
      </c>
      <c r="F27" s="33">
        <f t="shared" si="11"/>
        <v>0.375</v>
      </c>
      <c r="G27" s="33">
        <f t="shared" si="11"/>
        <v>0.42857142857142855</v>
      </c>
      <c r="H27" s="142" t="e">
        <f t="shared" si="11"/>
        <v>#DIV/0!</v>
      </c>
      <c r="I27" s="150" t="e">
        <f t="shared" si="11"/>
        <v>#DIV/0!</v>
      </c>
      <c r="J27" s="33" t="e">
        <f t="shared" si="11"/>
        <v>#DIV/0!</v>
      </c>
      <c r="K27" s="33" t="e">
        <f t="shared" si="11"/>
        <v>#DIV/0!</v>
      </c>
      <c r="L27" s="33" t="e">
        <f t="shared" si="11"/>
        <v>#DIV/0!</v>
      </c>
      <c r="M27" s="33" t="e">
        <f t="shared" si="11"/>
        <v>#DIV/0!</v>
      </c>
      <c r="N27" s="7"/>
      <c r="O27" s="7"/>
    </row>
    <row r="28" spans="1:15" x14ac:dyDescent="0.2">
      <c r="A28" s="263"/>
      <c r="B28" s="38" t="s">
        <v>91</v>
      </c>
      <c r="C28" s="135">
        <v>1</v>
      </c>
      <c r="D28" s="135">
        <v>4</v>
      </c>
      <c r="E28" s="135">
        <v>4</v>
      </c>
      <c r="F28" s="135">
        <v>1</v>
      </c>
      <c r="G28" s="135">
        <v>2</v>
      </c>
      <c r="H28" s="32">
        <v>0</v>
      </c>
      <c r="I28" s="138">
        <v>0</v>
      </c>
      <c r="J28" s="138">
        <v>0</v>
      </c>
      <c r="K28" s="32">
        <v>0</v>
      </c>
      <c r="L28" s="32">
        <v>0</v>
      </c>
      <c r="M28" s="32">
        <v>0</v>
      </c>
      <c r="N28" s="7"/>
      <c r="O28" s="7"/>
    </row>
    <row r="29" spans="1:15" x14ac:dyDescent="0.2">
      <c r="A29" s="263"/>
      <c r="B29" s="38" t="s">
        <v>92</v>
      </c>
      <c r="C29" s="33">
        <f t="shared" ref="C29:M29" si="12">C28/C12</f>
        <v>0.2</v>
      </c>
      <c r="D29" s="33">
        <f t="shared" si="12"/>
        <v>0.8</v>
      </c>
      <c r="E29" s="33">
        <f t="shared" si="12"/>
        <v>0.36363636363636365</v>
      </c>
      <c r="F29" s="33">
        <f t="shared" si="12"/>
        <v>0.125</v>
      </c>
      <c r="G29" s="33">
        <f t="shared" si="12"/>
        <v>0.2857142857142857</v>
      </c>
      <c r="H29" s="142" t="e">
        <f t="shared" si="12"/>
        <v>#DIV/0!</v>
      </c>
      <c r="I29" s="150" t="e">
        <f t="shared" si="12"/>
        <v>#DIV/0!</v>
      </c>
      <c r="J29" s="33" t="e">
        <f t="shared" si="12"/>
        <v>#DIV/0!</v>
      </c>
      <c r="K29" s="33" t="e">
        <f t="shared" si="12"/>
        <v>#DIV/0!</v>
      </c>
      <c r="L29" s="33" t="e">
        <f t="shared" si="12"/>
        <v>#DIV/0!</v>
      </c>
      <c r="M29" s="33" t="e">
        <f t="shared" si="12"/>
        <v>#DIV/0!</v>
      </c>
      <c r="N29" s="7"/>
      <c r="O29" s="7"/>
    </row>
    <row r="30" spans="1:15" x14ac:dyDescent="0.2">
      <c r="A30" s="263"/>
      <c r="B30" s="38" t="s">
        <v>93</v>
      </c>
      <c r="C30" s="135">
        <v>2</v>
      </c>
      <c r="D30" s="135">
        <v>0</v>
      </c>
      <c r="E30" s="135">
        <v>6</v>
      </c>
      <c r="F30" s="135">
        <v>0</v>
      </c>
      <c r="G30" s="135">
        <v>1</v>
      </c>
      <c r="H30" s="32">
        <v>0</v>
      </c>
      <c r="I30" s="138">
        <v>0</v>
      </c>
      <c r="J30" s="138">
        <v>0</v>
      </c>
      <c r="K30" s="32">
        <v>0</v>
      </c>
      <c r="L30" s="32">
        <v>0</v>
      </c>
      <c r="M30" s="32">
        <v>0</v>
      </c>
      <c r="N30" s="7"/>
      <c r="O30" s="7"/>
    </row>
    <row r="31" spans="1:15" x14ac:dyDescent="0.2">
      <c r="A31" s="263"/>
      <c r="B31" s="38" t="s">
        <v>94</v>
      </c>
      <c r="C31" s="33">
        <f t="shared" ref="C31:M31" si="13">C30/C12</f>
        <v>0.4</v>
      </c>
      <c r="D31" s="33">
        <f t="shared" si="13"/>
        <v>0</v>
      </c>
      <c r="E31" s="33">
        <f t="shared" si="13"/>
        <v>0.54545454545454541</v>
      </c>
      <c r="F31" s="33">
        <f t="shared" si="13"/>
        <v>0</v>
      </c>
      <c r="G31" s="33">
        <f t="shared" si="13"/>
        <v>0.14285714285714285</v>
      </c>
      <c r="H31" s="142" t="e">
        <f t="shared" si="13"/>
        <v>#DIV/0!</v>
      </c>
      <c r="I31" s="150" t="e">
        <f t="shared" si="13"/>
        <v>#DIV/0!</v>
      </c>
      <c r="J31" s="33" t="e">
        <f t="shared" si="13"/>
        <v>#DIV/0!</v>
      </c>
      <c r="K31" s="33" t="e">
        <f t="shared" si="13"/>
        <v>#DIV/0!</v>
      </c>
      <c r="L31" s="33" t="e">
        <f t="shared" si="13"/>
        <v>#DIV/0!</v>
      </c>
      <c r="M31" s="33" t="e">
        <f t="shared" si="13"/>
        <v>#DIV/0!</v>
      </c>
      <c r="N31" s="7"/>
      <c r="O31" s="7"/>
    </row>
    <row r="32" spans="1:15" x14ac:dyDescent="0.2">
      <c r="A32" s="263"/>
      <c r="B32" s="38" t="s">
        <v>95</v>
      </c>
      <c r="C32" s="135">
        <v>2</v>
      </c>
      <c r="D32" s="135">
        <v>1</v>
      </c>
      <c r="E32" s="135">
        <v>3</v>
      </c>
      <c r="F32" s="135">
        <v>6</v>
      </c>
      <c r="G32" s="135">
        <v>5</v>
      </c>
      <c r="H32" s="32">
        <v>0</v>
      </c>
      <c r="I32" s="138">
        <v>0</v>
      </c>
      <c r="J32" s="138">
        <v>0</v>
      </c>
      <c r="K32" s="32">
        <v>0</v>
      </c>
      <c r="L32" s="32">
        <v>0</v>
      </c>
      <c r="M32" s="32">
        <v>0</v>
      </c>
      <c r="N32" s="7"/>
      <c r="O32" s="7"/>
    </row>
    <row r="33" spans="1:15" ht="17" thickBot="1" x14ac:dyDescent="0.25">
      <c r="A33" s="264"/>
      <c r="B33" s="39" t="s">
        <v>96</v>
      </c>
      <c r="C33" s="33">
        <f t="shared" ref="C33:M33" si="14">C32/C12</f>
        <v>0.4</v>
      </c>
      <c r="D33" s="33">
        <f t="shared" si="14"/>
        <v>0.2</v>
      </c>
      <c r="E33" s="33">
        <f t="shared" si="14"/>
        <v>0.27272727272727271</v>
      </c>
      <c r="F33" s="33">
        <f t="shared" si="14"/>
        <v>0.75</v>
      </c>
      <c r="G33" s="33">
        <f t="shared" si="14"/>
        <v>0.7142857142857143</v>
      </c>
      <c r="H33" s="142" t="e">
        <f t="shared" si="14"/>
        <v>#DIV/0!</v>
      </c>
      <c r="I33" s="150" t="e">
        <f t="shared" si="14"/>
        <v>#DIV/0!</v>
      </c>
      <c r="J33" s="33" t="e">
        <f t="shared" si="14"/>
        <v>#DIV/0!</v>
      </c>
      <c r="K33" s="33" t="e">
        <f t="shared" si="14"/>
        <v>#DIV/0!</v>
      </c>
      <c r="L33" s="33" t="e">
        <f t="shared" si="14"/>
        <v>#DIV/0!</v>
      </c>
      <c r="M33" s="33" t="e">
        <f t="shared" si="14"/>
        <v>#DIV/0!</v>
      </c>
      <c r="N33" s="7"/>
      <c r="O33" s="7"/>
    </row>
    <row r="34" spans="1:15" x14ac:dyDescent="0.2">
      <c r="A34" s="262" t="s">
        <v>97</v>
      </c>
      <c r="B34" s="37" t="s">
        <v>98</v>
      </c>
      <c r="C34" s="135">
        <v>13</v>
      </c>
      <c r="D34" s="135">
        <v>16</v>
      </c>
      <c r="E34" s="135">
        <v>23</v>
      </c>
      <c r="F34" s="135">
        <v>27</v>
      </c>
      <c r="G34" s="135">
        <v>23</v>
      </c>
      <c r="H34" s="32">
        <v>0</v>
      </c>
      <c r="I34" s="138">
        <v>0</v>
      </c>
      <c r="J34" s="138">
        <v>0</v>
      </c>
      <c r="K34" s="32">
        <v>0</v>
      </c>
      <c r="L34" s="32">
        <v>0</v>
      </c>
      <c r="M34" s="32">
        <v>0</v>
      </c>
      <c r="N34" s="7"/>
      <c r="O34" s="7"/>
    </row>
    <row r="35" spans="1:15" x14ac:dyDescent="0.2">
      <c r="A35" s="263"/>
      <c r="B35" s="38" t="s">
        <v>99</v>
      </c>
      <c r="C35" s="135">
        <v>11</v>
      </c>
      <c r="D35" s="135">
        <v>12</v>
      </c>
      <c r="E35" s="135">
        <v>12</v>
      </c>
      <c r="F35" s="135">
        <v>12</v>
      </c>
      <c r="G35" s="135">
        <v>11</v>
      </c>
      <c r="H35" s="32">
        <v>0</v>
      </c>
      <c r="I35" s="138">
        <v>0</v>
      </c>
      <c r="J35" s="138">
        <v>0</v>
      </c>
      <c r="K35" s="32">
        <v>0</v>
      </c>
      <c r="L35" s="32">
        <v>0</v>
      </c>
      <c r="M35" s="32">
        <v>0</v>
      </c>
      <c r="N35" s="7"/>
      <c r="O35" s="7"/>
    </row>
    <row r="36" spans="1:15" x14ac:dyDescent="0.2">
      <c r="A36" s="263"/>
      <c r="B36" s="38" t="s">
        <v>100</v>
      </c>
      <c r="C36" s="33">
        <f t="shared" ref="C36:M36" si="15">C34/C6</f>
        <v>0.61904761904761907</v>
      </c>
      <c r="D36" s="33">
        <f t="shared" si="15"/>
        <v>0.61538461538461542</v>
      </c>
      <c r="E36" s="33">
        <f t="shared" si="15"/>
        <v>0.54761904761904767</v>
      </c>
      <c r="F36" s="33">
        <f t="shared" si="15"/>
        <v>0.61363636363636365</v>
      </c>
      <c r="G36" s="33">
        <f t="shared" si="15"/>
        <v>0.58974358974358976</v>
      </c>
      <c r="H36" s="142" t="e">
        <f t="shared" si="15"/>
        <v>#DIV/0!</v>
      </c>
      <c r="I36" s="150" t="e">
        <f t="shared" si="15"/>
        <v>#DIV/0!</v>
      </c>
      <c r="J36" s="33" t="e">
        <f t="shared" si="15"/>
        <v>#DIV/0!</v>
      </c>
      <c r="K36" s="33" t="e">
        <f t="shared" si="15"/>
        <v>#DIV/0!</v>
      </c>
      <c r="L36" s="33" t="e">
        <f t="shared" si="15"/>
        <v>#DIV/0!</v>
      </c>
      <c r="M36" s="33" t="e">
        <f t="shared" si="15"/>
        <v>#DIV/0!</v>
      </c>
      <c r="N36" s="7"/>
      <c r="O36" s="7"/>
    </row>
    <row r="37" spans="1:15" ht="16" customHeight="1" x14ac:dyDescent="0.2">
      <c r="A37" s="263"/>
      <c r="B37" s="39" t="s">
        <v>101</v>
      </c>
      <c r="C37" s="33">
        <f t="shared" ref="C37:M37" si="16">C35/C34</f>
        <v>0.84615384615384615</v>
      </c>
      <c r="D37" s="33">
        <f t="shared" si="16"/>
        <v>0.75</v>
      </c>
      <c r="E37" s="33">
        <f t="shared" si="16"/>
        <v>0.52173913043478259</v>
      </c>
      <c r="F37" s="33">
        <f t="shared" si="16"/>
        <v>0.44444444444444442</v>
      </c>
      <c r="G37" s="33">
        <f t="shared" si="16"/>
        <v>0.47826086956521741</v>
      </c>
      <c r="H37" s="142" t="e">
        <f t="shared" si="16"/>
        <v>#DIV/0!</v>
      </c>
      <c r="I37" s="150" t="e">
        <f t="shared" si="16"/>
        <v>#DIV/0!</v>
      </c>
      <c r="J37" s="33" t="e">
        <f t="shared" si="16"/>
        <v>#DIV/0!</v>
      </c>
      <c r="K37" s="33" t="e">
        <f t="shared" si="16"/>
        <v>#DIV/0!</v>
      </c>
      <c r="L37" s="33" t="e">
        <f t="shared" si="16"/>
        <v>#DIV/0!</v>
      </c>
      <c r="M37" s="33" t="e">
        <f t="shared" si="16"/>
        <v>#DIV/0!</v>
      </c>
      <c r="N37" s="7"/>
      <c r="O37" s="7"/>
    </row>
    <row r="38" spans="1:15" x14ac:dyDescent="0.2">
      <c r="A38" s="263"/>
      <c r="B38" s="37" t="s">
        <v>102</v>
      </c>
      <c r="C38" s="135">
        <v>2</v>
      </c>
      <c r="D38" s="135">
        <v>4</v>
      </c>
      <c r="E38" s="135">
        <v>5</v>
      </c>
      <c r="F38" s="135">
        <v>2</v>
      </c>
      <c r="G38" s="135">
        <v>5</v>
      </c>
      <c r="H38" s="32">
        <v>0</v>
      </c>
      <c r="I38" s="138">
        <v>0</v>
      </c>
      <c r="J38" s="138">
        <v>0</v>
      </c>
      <c r="K38" s="32">
        <v>0</v>
      </c>
      <c r="L38" s="32">
        <v>0</v>
      </c>
      <c r="M38" s="32">
        <v>0</v>
      </c>
      <c r="N38" s="7"/>
      <c r="O38" s="7"/>
    </row>
    <row r="39" spans="1:15" x14ac:dyDescent="0.2">
      <c r="A39" s="263"/>
      <c r="B39" s="38" t="s">
        <v>103</v>
      </c>
      <c r="C39" s="135">
        <v>0</v>
      </c>
      <c r="D39" s="135">
        <v>1</v>
      </c>
      <c r="E39" s="135">
        <v>2</v>
      </c>
      <c r="F39" s="135">
        <v>1</v>
      </c>
      <c r="G39" s="135">
        <v>2</v>
      </c>
      <c r="H39" s="32">
        <v>0</v>
      </c>
      <c r="I39" s="138">
        <v>0</v>
      </c>
      <c r="J39" s="138">
        <v>0</v>
      </c>
      <c r="K39" s="32">
        <v>0</v>
      </c>
      <c r="L39" s="32">
        <v>0</v>
      </c>
      <c r="M39" s="32">
        <v>0</v>
      </c>
      <c r="N39" s="7"/>
      <c r="O39" s="7"/>
    </row>
    <row r="40" spans="1:15" x14ac:dyDescent="0.2">
      <c r="A40" s="263"/>
      <c r="B40" s="38" t="s">
        <v>104</v>
      </c>
      <c r="C40" s="33">
        <f t="shared" ref="C40:M40" si="17">C38/C6</f>
        <v>9.5238095238095233E-2</v>
      </c>
      <c r="D40" s="33">
        <f t="shared" si="17"/>
        <v>0.15384615384615385</v>
      </c>
      <c r="E40" s="33">
        <f t="shared" si="17"/>
        <v>0.11904761904761904</v>
      </c>
      <c r="F40" s="33">
        <f t="shared" si="17"/>
        <v>4.5454545454545456E-2</v>
      </c>
      <c r="G40" s="33">
        <f t="shared" si="17"/>
        <v>0.12820512820512819</v>
      </c>
      <c r="H40" s="142" t="e">
        <f t="shared" si="17"/>
        <v>#DIV/0!</v>
      </c>
      <c r="I40" s="150" t="e">
        <f t="shared" si="17"/>
        <v>#DIV/0!</v>
      </c>
      <c r="J40" s="33" t="e">
        <f t="shared" si="17"/>
        <v>#DIV/0!</v>
      </c>
      <c r="K40" s="33" t="e">
        <f t="shared" si="17"/>
        <v>#DIV/0!</v>
      </c>
      <c r="L40" s="33" t="e">
        <f t="shared" si="17"/>
        <v>#DIV/0!</v>
      </c>
      <c r="M40" s="33" t="e">
        <f t="shared" si="17"/>
        <v>#DIV/0!</v>
      </c>
      <c r="N40" s="7"/>
      <c r="O40" s="7"/>
    </row>
    <row r="41" spans="1:15" x14ac:dyDescent="0.2">
      <c r="A41" s="263"/>
      <c r="B41" s="39" t="s">
        <v>105</v>
      </c>
      <c r="C41" s="33">
        <f t="shared" ref="C41:M41" si="18">C39/C38</f>
        <v>0</v>
      </c>
      <c r="D41" s="33">
        <f t="shared" si="18"/>
        <v>0.25</v>
      </c>
      <c r="E41" s="33">
        <f t="shared" si="18"/>
        <v>0.4</v>
      </c>
      <c r="F41" s="33">
        <f t="shared" si="18"/>
        <v>0.5</v>
      </c>
      <c r="G41" s="33">
        <f t="shared" si="18"/>
        <v>0.4</v>
      </c>
      <c r="H41" s="142" t="e">
        <f t="shared" si="18"/>
        <v>#DIV/0!</v>
      </c>
      <c r="I41" s="150" t="e">
        <f t="shared" si="18"/>
        <v>#DIV/0!</v>
      </c>
      <c r="J41" s="33" t="e">
        <f t="shared" si="18"/>
        <v>#DIV/0!</v>
      </c>
      <c r="K41" s="33" t="e">
        <f t="shared" si="18"/>
        <v>#DIV/0!</v>
      </c>
      <c r="L41" s="33" t="e">
        <f t="shared" si="18"/>
        <v>#DIV/0!</v>
      </c>
      <c r="M41" s="33" t="e">
        <f t="shared" si="18"/>
        <v>#DIV/0!</v>
      </c>
      <c r="N41" s="7"/>
      <c r="O41" s="7"/>
    </row>
    <row r="42" spans="1:15" x14ac:dyDescent="0.2">
      <c r="A42" s="263"/>
      <c r="B42" s="37" t="s">
        <v>106</v>
      </c>
      <c r="C42" s="135">
        <v>1</v>
      </c>
      <c r="D42" s="135">
        <v>3</v>
      </c>
      <c r="E42" s="135">
        <v>3</v>
      </c>
      <c r="F42" s="135">
        <v>2</v>
      </c>
      <c r="G42" s="135">
        <v>2</v>
      </c>
      <c r="H42" s="32">
        <v>0</v>
      </c>
      <c r="I42" s="138">
        <v>0</v>
      </c>
      <c r="J42" s="138">
        <v>0</v>
      </c>
      <c r="K42" s="32">
        <v>0</v>
      </c>
      <c r="L42" s="32">
        <v>0</v>
      </c>
      <c r="M42" s="32">
        <v>0</v>
      </c>
      <c r="N42" s="7"/>
      <c r="O42" s="7"/>
    </row>
    <row r="43" spans="1:15" x14ac:dyDescent="0.2">
      <c r="A43" s="263"/>
      <c r="B43" s="38" t="s">
        <v>107</v>
      </c>
      <c r="C43" s="135">
        <v>0</v>
      </c>
      <c r="D43" s="135">
        <v>1</v>
      </c>
      <c r="E43" s="135">
        <v>2</v>
      </c>
      <c r="F43" s="135">
        <v>0</v>
      </c>
      <c r="G43" s="135">
        <v>0</v>
      </c>
      <c r="H43" s="32">
        <v>0</v>
      </c>
      <c r="I43" s="138">
        <v>0</v>
      </c>
      <c r="J43" s="138">
        <v>0</v>
      </c>
      <c r="K43" s="32">
        <v>0</v>
      </c>
      <c r="L43" s="32">
        <v>0</v>
      </c>
      <c r="M43" s="32">
        <v>0</v>
      </c>
      <c r="N43" s="7"/>
      <c r="O43" s="7"/>
    </row>
    <row r="44" spans="1:15" x14ac:dyDescent="0.2">
      <c r="A44" s="263"/>
      <c r="B44" s="38" t="s">
        <v>108</v>
      </c>
      <c r="C44" s="33">
        <f t="shared" ref="C44:M44" si="19">C42/C6</f>
        <v>4.7619047619047616E-2</v>
      </c>
      <c r="D44" s="33">
        <f t="shared" si="19"/>
        <v>0.11538461538461539</v>
      </c>
      <c r="E44" s="33">
        <f t="shared" si="19"/>
        <v>7.1428571428571425E-2</v>
      </c>
      <c r="F44" s="33">
        <f t="shared" si="19"/>
        <v>4.5454545454545456E-2</v>
      </c>
      <c r="G44" s="33">
        <f t="shared" si="19"/>
        <v>5.128205128205128E-2</v>
      </c>
      <c r="H44" s="142" t="e">
        <f t="shared" si="19"/>
        <v>#DIV/0!</v>
      </c>
      <c r="I44" s="150" t="e">
        <f t="shared" si="19"/>
        <v>#DIV/0!</v>
      </c>
      <c r="J44" s="33" t="e">
        <f t="shared" si="19"/>
        <v>#DIV/0!</v>
      </c>
      <c r="K44" s="33" t="e">
        <f t="shared" si="19"/>
        <v>#DIV/0!</v>
      </c>
      <c r="L44" s="33" t="e">
        <f t="shared" si="19"/>
        <v>#DIV/0!</v>
      </c>
      <c r="M44" s="33" t="e">
        <f t="shared" si="19"/>
        <v>#DIV/0!</v>
      </c>
      <c r="N44" s="7"/>
      <c r="O44" s="7"/>
    </row>
    <row r="45" spans="1:15" ht="16" customHeight="1" x14ac:dyDescent="0.2">
      <c r="A45" s="263"/>
      <c r="B45" s="39" t="s">
        <v>109</v>
      </c>
      <c r="C45" s="33">
        <f t="shared" ref="C45:M45" si="20">C43/C42</f>
        <v>0</v>
      </c>
      <c r="D45" s="33">
        <f t="shared" si="20"/>
        <v>0.33333333333333331</v>
      </c>
      <c r="E45" s="33">
        <f t="shared" si="20"/>
        <v>0.66666666666666663</v>
      </c>
      <c r="F45" s="33">
        <f t="shared" si="20"/>
        <v>0</v>
      </c>
      <c r="G45" s="33">
        <f t="shared" si="20"/>
        <v>0</v>
      </c>
      <c r="H45" s="142" t="e">
        <f t="shared" si="20"/>
        <v>#DIV/0!</v>
      </c>
      <c r="I45" s="150" t="e">
        <f t="shared" si="20"/>
        <v>#DIV/0!</v>
      </c>
      <c r="J45" s="33" t="e">
        <f t="shared" si="20"/>
        <v>#DIV/0!</v>
      </c>
      <c r="K45" s="33" t="e">
        <f t="shared" si="20"/>
        <v>#DIV/0!</v>
      </c>
      <c r="L45" s="33" t="e">
        <f t="shared" si="20"/>
        <v>#DIV/0!</v>
      </c>
      <c r="M45" s="33" t="e">
        <f t="shared" si="20"/>
        <v>#DIV/0!</v>
      </c>
      <c r="N45" s="7"/>
      <c r="O45" s="7"/>
    </row>
    <row r="46" spans="1:15" x14ac:dyDescent="0.2">
      <c r="A46" s="263"/>
      <c r="B46" s="37" t="s">
        <v>110</v>
      </c>
      <c r="C46" s="135">
        <v>5</v>
      </c>
      <c r="D46" s="135">
        <v>3</v>
      </c>
      <c r="E46" s="135">
        <v>11</v>
      </c>
      <c r="F46" s="135">
        <v>13</v>
      </c>
      <c r="G46" s="135">
        <v>9</v>
      </c>
      <c r="H46" s="32">
        <v>0</v>
      </c>
      <c r="I46" s="138">
        <v>0</v>
      </c>
      <c r="J46" s="138">
        <v>0</v>
      </c>
      <c r="K46" s="32">
        <v>0</v>
      </c>
      <c r="L46" s="32">
        <v>0</v>
      </c>
      <c r="M46" s="32">
        <v>0</v>
      </c>
      <c r="N46" s="7"/>
      <c r="O46" s="7"/>
    </row>
    <row r="47" spans="1:15" x14ac:dyDescent="0.2">
      <c r="A47" s="263"/>
      <c r="B47" s="38" t="s">
        <v>111</v>
      </c>
      <c r="C47" s="135">
        <v>1</v>
      </c>
      <c r="D47" s="135">
        <v>2</v>
      </c>
      <c r="E47" s="135">
        <v>5</v>
      </c>
      <c r="F47" s="135">
        <v>5</v>
      </c>
      <c r="G47" s="135">
        <v>4</v>
      </c>
      <c r="H47" s="32">
        <v>0</v>
      </c>
      <c r="I47" s="138">
        <v>0</v>
      </c>
      <c r="J47" s="138">
        <v>0</v>
      </c>
      <c r="K47" s="32">
        <v>0</v>
      </c>
      <c r="L47" s="32">
        <v>0</v>
      </c>
      <c r="M47" s="32">
        <v>0</v>
      </c>
      <c r="N47" s="7"/>
      <c r="O47" s="7"/>
    </row>
    <row r="48" spans="1:15" x14ac:dyDescent="0.2">
      <c r="A48" s="263"/>
      <c r="B48" s="38" t="s">
        <v>112</v>
      </c>
      <c r="C48" s="33">
        <f t="shared" ref="C48:M48" si="21">C46/C6</f>
        <v>0.23809523809523808</v>
      </c>
      <c r="D48" s="33">
        <f t="shared" si="21"/>
        <v>0.11538461538461539</v>
      </c>
      <c r="E48" s="33">
        <f t="shared" si="21"/>
        <v>0.26190476190476192</v>
      </c>
      <c r="F48" s="33">
        <f t="shared" si="21"/>
        <v>0.29545454545454547</v>
      </c>
      <c r="G48" s="33">
        <f t="shared" si="21"/>
        <v>0.23076923076923078</v>
      </c>
      <c r="H48" s="142" t="e">
        <f t="shared" si="21"/>
        <v>#DIV/0!</v>
      </c>
      <c r="I48" s="150" t="e">
        <f t="shared" si="21"/>
        <v>#DIV/0!</v>
      </c>
      <c r="J48" s="33" t="e">
        <f t="shared" si="21"/>
        <v>#DIV/0!</v>
      </c>
      <c r="K48" s="33" t="e">
        <f t="shared" si="21"/>
        <v>#DIV/0!</v>
      </c>
      <c r="L48" s="33" t="e">
        <f t="shared" si="21"/>
        <v>#DIV/0!</v>
      </c>
      <c r="M48" s="33" t="e">
        <f t="shared" si="21"/>
        <v>#DIV/0!</v>
      </c>
      <c r="N48" s="7"/>
      <c r="O48" s="7"/>
    </row>
    <row r="49" spans="1:15" ht="17" thickBot="1" x14ac:dyDescent="0.25">
      <c r="A49" s="264"/>
      <c r="B49" s="39" t="s">
        <v>113</v>
      </c>
      <c r="C49" s="33">
        <f t="shared" ref="C49:M49" si="22">C47/C46</f>
        <v>0.2</v>
      </c>
      <c r="D49" s="33">
        <f t="shared" si="22"/>
        <v>0.66666666666666663</v>
      </c>
      <c r="E49" s="33">
        <f t="shared" si="22"/>
        <v>0.45454545454545453</v>
      </c>
      <c r="F49" s="33">
        <f t="shared" si="22"/>
        <v>0.38461538461538464</v>
      </c>
      <c r="G49" s="33">
        <f t="shared" si="22"/>
        <v>0.44444444444444442</v>
      </c>
      <c r="H49" s="142" t="e">
        <f t="shared" si="22"/>
        <v>#DIV/0!</v>
      </c>
      <c r="I49" s="150" t="e">
        <f t="shared" si="22"/>
        <v>#DIV/0!</v>
      </c>
      <c r="J49" s="33" t="e">
        <f t="shared" si="22"/>
        <v>#DIV/0!</v>
      </c>
      <c r="K49" s="33" t="e">
        <f t="shared" si="22"/>
        <v>#DIV/0!</v>
      </c>
      <c r="L49" s="33" t="e">
        <f t="shared" si="22"/>
        <v>#DIV/0!</v>
      </c>
      <c r="M49" s="33" t="e">
        <f t="shared" si="22"/>
        <v>#DIV/0!</v>
      </c>
      <c r="N49" s="7"/>
      <c r="O49" s="7"/>
    </row>
    <row r="50" spans="1:15" x14ac:dyDescent="0.2">
      <c r="A50" s="262" t="s">
        <v>114</v>
      </c>
      <c r="B50" s="37" t="s">
        <v>115</v>
      </c>
      <c r="C50" s="135">
        <v>9</v>
      </c>
      <c r="D50" s="135">
        <v>8</v>
      </c>
      <c r="E50" s="135">
        <v>9</v>
      </c>
      <c r="F50" s="135">
        <v>5</v>
      </c>
      <c r="G50" s="135">
        <v>9</v>
      </c>
      <c r="H50" s="32">
        <v>0</v>
      </c>
      <c r="I50" s="138">
        <v>0</v>
      </c>
      <c r="J50" s="138">
        <v>0</v>
      </c>
      <c r="K50" s="32">
        <v>0</v>
      </c>
      <c r="L50" s="32">
        <v>0</v>
      </c>
      <c r="M50" s="32">
        <v>0</v>
      </c>
      <c r="N50" s="7"/>
      <c r="O50" s="7"/>
    </row>
    <row r="51" spans="1:15" x14ac:dyDescent="0.2">
      <c r="A51" s="263"/>
      <c r="B51" s="38" t="s">
        <v>116</v>
      </c>
      <c r="C51" s="135">
        <v>3</v>
      </c>
      <c r="D51" s="135">
        <v>2</v>
      </c>
      <c r="E51" s="135">
        <v>4</v>
      </c>
      <c r="F51" s="135">
        <v>1</v>
      </c>
      <c r="G51" s="135">
        <v>1</v>
      </c>
      <c r="H51" s="32">
        <v>0</v>
      </c>
      <c r="I51" s="138">
        <v>0</v>
      </c>
      <c r="J51" s="138">
        <v>0</v>
      </c>
      <c r="K51" s="32">
        <v>0</v>
      </c>
      <c r="L51" s="32">
        <v>0</v>
      </c>
      <c r="M51" s="32">
        <v>0</v>
      </c>
      <c r="N51" s="7"/>
      <c r="O51" s="7"/>
    </row>
    <row r="52" spans="1:15" x14ac:dyDescent="0.2">
      <c r="A52" s="263"/>
      <c r="B52" s="38" t="s">
        <v>117</v>
      </c>
      <c r="C52" s="33">
        <f t="shared" ref="C52:M52" si="23">C51/C50</f>
        <v>0.33333333333333331</v>
      </c>
      <c r="D52" s="33">
        <f t="shared" si="23"/>
        <v>0.25</v>
      </c>
      <c r="E52" s="33">
        <f t="shared" si="23"/>
        <v>0.44444444444444442</v>
      </c>
      <c r="F52" s="33">
        <f t="shared" si="23"/>
        <v>0.2</v>
      </c>
      <c r="G52" s="33">
        <f t="shared" si="23"/>
        <v>0.1111111111111111</v>
      </c>
      <c r="H52" s="142" t="e">
        <f t="shared" si="23"/>
        <v>#DIV/0!</v>
      </c>
      <c r="I52" s="150" t="e">
        <f t="shared" si="23"/>
        <v>#DIV/0!</v>
      </c>
      <c r="J52" s="33" t="e">
        <f t="shared" si="23"/>
        <v>#DIV/0!</v>
      </c>
      <c r="K52" s="33" t="e">
        <f t="shared" si="23"/>
        <v>#DIV/0!</v>
      </c>
      <c r="L52" s="33" t="e">
        <f t="shared" si="23"/>
        <v>#DIV/0!</v>
      </c>
      <c r="M52" s="33" t="e">
        <f t="shared" si="23"/>
        <v>#DIV/0!</v>
      </c>
      <c r="N52" s="7"/>
      <c r="O52" s="7"/>
    </row>
    <row r="53" spans="1:15" x14ac:dyDescent="0.2">
      <c r="A53" s="263"/>
      <c r="B53" s="38" t="s">
        <v>118</v>
      </c>
      <c r="C53" s="136">
        <v>0</v>
      </c>
      <c r="D53" s="136">
        <v>0</v>
      </c>
      <c r="E53" s="136">
        <v>0</v>
      </c>
      <c r="F53" s="136">
        <v>1</v>
      </c>
      <c r="G53" s="136">
        <v>1</v>
      </c>
      <c r="H53" s="34">
        <v>0</v>
      </c>
      <c r="I53" s="139">
        <v>0</v>
      </c>
      <c r="J53" s="139">
        <v>0</v>
      </c>
      <c r="K53" s="34">
        <v>0</v>
      </c>
      <c r="L53" s="34">
        <v>0</v>
      </c>
      <c r="M53" s="34">
        <v>0</v>
      </c>
      <c r="N53" s="7"/>
      <c r="O53" s="7"/>
    </row>
    <row r="54" spans="1:15" x14ac:dyDescent="0.2">
      <c r="A54" s="263"/>
      <c r="B54" s="38" t="s">
        <v>119</v>
      </c>
      <c r="C54" s="135">
        <v>0</v>
      </c>
      <c r="D54" s="135">
        <v>0</v>
      </c>
      <c r="E54" s="135">
        <v>0</v>
      </c>
      <c r="F54" s="135">
        <v>1</v>
      </c>
      <c r="G54" s="135">
        <v>0</v>
      </c>
      <c r="H54" s="32">
        <v>0</v>
      </c>
      <c r="I54" s="138">
        <v>0</v>
      </c>
      <c r="J54" s="138">
        <v>0</v>
      </c>
      <c r="K54" s="32">
        <v>0</v>
      </c>
      <c r="L54" s="32">
        <v>0</v>
      </c>
      <c r="M54" s="32">
        <v>0</v>
      </c>
      <c r="N54" s="7"/>
      <c r="O54" s="7"/>
    </row>
    <row r="55" spans="1:15" x14ac:dyDescent="0.2">
      <c r="A55" s="263"/>
      <c r="B55" s="38" t="s">
        <v>120</v>
      </c>
      <c r="C55" s="33" t="e">
        <f t="shared" ref="C55:M55" si="24">C54/C53</f>
        <v>#DIV/0!</v>
      </c>
      <c r="D55" s="33" t="e">
        <f t="shared" si="24"/>
        <v>#DIV/0!</v>
      </c>
      <c r="E55" s="33" t="e">
        <f t="shared" si="24"/>
        <v>#DIV/0!</v>
      </c>
      <c r="F55" s="33">
        <f t="shared" si="24"/>
        <v>1</v>
      </c>
      <c r="G55" s="33">
        <f t="shared" si="24"/>
        <v>0</v>
      </c>
      <c r="H55" s="142" t="e">
        <f t="shared" si="24"/>
        <v>#DIV/0!</v>
      </c>
      <c r="I55" s="150" t="e">
        <f t="shared" si="24"/>
        <v>#DIV/0!</v>
      </c>
      <c r="J55" s="33" t="e">
        <f t="shared" si="24"/>
        <v>#DIV/0!</v>
      </c>
      <c r="K55" s="33" t="e">
        <f t="shared" si="24"/>
        <v>#DIV/0!</v>
      </c>
      <c r="L55" s="33" t="e">
        <f t="shared" si="24"/>
        <v>#DIV/0!</v>
      </c>
      <c r="M55" s="33" t="e">
        <f t="shared" si="24"/>
        <v>#DIV/0!</v>
      </c>
      <c r="N55" s="7"/>
      <c r="O55" s="7"/>
    </row>
    <row r="56" spans="1:15" x14ac:dyDescent="0.2">
      <c r="A56" s="263"/>
      <c r="B56" s="38" t="s">
        <v>121</v>
      </c>
      <c r="C56" s="135">
        <v>0</v>
      </c>
      <c r="D56" s="135">
        <v>0</v>
      </c>
      <c r="E56" s="135">
        <v>2</v>
      </c>
      <c r="F56" s="135">
        <v>0</v>
      </c>
      <c r="G56" s="135">
        <v>0</v>
      </c>
      <c r="H56" s="32">
        <v>0</v>
      </c>
      <c r="I56" s="138">
        <v>0</v>
      </c>
      <c r="J56" s="138">
        <v>0</v>
      </c>
      <c r="K56" s="32">
        <v>0</v>
      </c>
      <c r="L56" s="32">
        <v>0</v>
      </c>
      <c r="M56" s="32">
        <v>0</v>
      </c>
      <c r="N56" s="7"/>
      <c r="O56" s="7"/>
    </row>
    <row r="57" spans="1:15" x14ac:dyDescent="0.2">
      <c r="A57" s="263"/>
      <c r="B57" s="38" t="s">
        <v>122</v>
      </c>
      <c r="C57" s="135">
        <v>0</v>
      </c>
      <c r="D57" s="135">
        <v>0</v>
      </c>
      <c r="E57" s="135">
        <v>1</v>
      </c>
      <c r="F57" s="135">
        <v>0</v>
      </c>
      <c r="G57" s="135">
        <v>0</v>
      </c>
      <c r="H57" s="32">
        <v>0</v>
      </c>
      <c r="I57" s="138">
        <v>0</v>
      </c>
      <c r="J57" s="138">
        <v>0</v>
      </c>
      <c r="K57" s="32">
        <v>0</v>
      </c>
      <c r="L57" s="32">
        <v>0</v>
      </c>
      <c r="M57" s="32">
        <v>0</v>
      </c>
      <c r="N57" s="7"/>
      <c r="O57" s="7"/>
    </row>
    <row r="58" spans="1:15" x14ac:dyDescent="0.2">
      <c r="A58" s="263"/>
      <c r="B58" s="40" t="s">
        <v>123</v>
      </c>
      <c r="C58" s="33" t="e">
        <f t="shared" ref="C58:M58" si="25">C57/C56</f>
        <v>#DIV/0!</v>
      </c>
      <c r="D58" s="33" t="e">
        <f t="shared" si="25"/>
        <v>#DIV/0!</v>
      </c>
      <c r="E58" s="33">
        <f t="shared" si="25"/>
        <v>0.5</v>
      </c>
      <c r="F58" s="33" t="e">
        <f t="shared" si="25"/>
        <v>#DIV/0!</v>
      </c>
      <c r="G58" s="33" t="e">
        <f t="shared" si="25"/>
        <v>#DIV/0!</v>
      </c>
      <c r="H58" s="142" t="e">
        <f t="shared" si="25"/>
        <v>#DIV/0!</v>
      </c>
      <c r="I58" s="150" t="e">
        <f t="shared" si="25"/>
        <v>#DIV/0!</v>
      </c>
      <c r="J58" s="33" t="e">
        <f t="shared" si="25"/>
        <v>#DIV/0!</v>
      </c>
      <c r="K58" s="33" t="e">
        <f t="shared" si="25"/>
        <v>#DIV/0!</v>
      </c>
      <c r="L58" s="33" t="e">
        <f t="shared" si="25"/>
        <v>#DIV/0!</v>
      </c>
      <c r="M58" s="33" t="e">
        <f t="shared" si="25"/>
        <v>#DIV/0!</v>
      </c>
      <c r="N58" s="7"/>
      <c r="O58" s="7"/>
    </row>
    <row r="59" spans="1:15" x14ac:dyDescent="0.2">
      <c r="A59" s="263"/>
      <c r="B59" s="38" t="s">
        <v>124</v>
      </c>
      <c r="C59" s="135">
        <v>1</v>
      </c>
      <c r="D59" s="135">
        <v>1</v>
      </c>
      <c r="E59" s="135">
        <v>4</v>
      </c>
      <c r="F59" s="135">
        <v>4</v>
      </c>
      <c r="G59" s="135">
        <v>2</v>
      </c>
      <c r="H59" s="32">
        <v>0</v>
      </c>
      <c r="I59" s="138">
        <v>0</v>
      </c>
      <c r="J59" s="138">
        <v>0</v>
      </c>
      <c r="K59" s="32">
        <v>0</v>
      </c>
      <c r="L59" s="32">
        <v>0</v>
      </c>
      <c r="M59" s="32">
        <v>0</v>
      </c>
      <c r="N59" s="7"/>
      <c r="O59" s="7"/>
    </row>
    <row r="60" spans="1:15" x14ac:dyDescent="0.2">
      <c r="A60" s="263"/>
      <c r="B60" s="38" t="s">
        <v>125</v>
      </c>
      <c r="C60" s="135">
        <v>0</v>
      </c>
      <c r="D60" s="135">
        <v>1</v>
      </c>
      <c r="E60" s="135">
        <v>4</v>
      </c>
      <c r="F60" s="135">
        <v>2</v>
      </c>
      <c r="G60" s="135">
        <v>2</v>
      </c>
      <c r="H60" s="32">
        <v>0</v>
      </c>
      <c r="I60" s="138">
        <v>0</v>
      </c>
      <c r="J60" s="138">
        <v>0</v>
      </c>
      <c r="K60" s="32">
        <v>0</v>
      </c>
      <c r="L60" s="32">
        <v>0</v>
      </c>
      <c r="M60" s="32">
        <v>0</v>
      </c>
      <c r="N60" s="7"/>
      <c r="O60" s="7"/>
    </row>
    <row r="61" spans="1:15" ht="16" customHeight="1" thickBot="1" x14ac:dyDescent="0.25">
      <c r="A61" s="264"/>
      <c r="B61" s="41" t="s">
        <v>126</v>
      </c>
      <c r="C61" s="33">
        <f t="shared" ref="C61:M61" si="26">C60/C59</f>
        <v>0</v>
      </c>
      <c r="D61" s="33">
        <f t="shared" si="26"/>
        <v>1</v>
      </c>
      <c r="E61" s="33">
        <f t="shared" si="26"/>
        <v>1</v>
      </c>
      <c r="F61" s="33">
        <f t="shared" si="26"/>
        <v>0.5</v>
      </c>
      <c r="G61" s="33">
        <f t="shared" si="26"/>
        <v>1</v>
      </c>
      <c r="H61" s="142" t="e">
        <f t="shared" si="26"/>
        <v>#DIV/0!</v>
      </c>
      <c r="I61" s="150" t="e">
        <f t="shared" si="26"/>
        <v>#DIV/0!</v>
      </c>
      <c r="J61" s="33" t="e">
        <f t="shared" si="26"/>
        <v>#DIV/0!</v>
      </c>
      <c r="K61" s="33" t="e">
        <f t="shared" si="26"/>
        <v>#DIV/0!</v>
      </c>
      <c r="L61" s="33" t="e">
        <f t="shared" si="26"/>
        <v>#DIV/0!</v>
      </c>
      <c r="M61" s="33" t="e">
        <f t="shared" si="26"/>
        <v>#DIV/0!</v>
      </c>
      <c r="N61" s="7"/>
      <c r="O61" s="7"/>
    </row>
    <row r="62" spans="1:15" x14ac:dyDescent="0.2">
      <c r="A62" s="262" t="s">
        <v>216</v>
      </c>
      <c r="B62" s="210" t="s">
        <v>204</v>
      </c>
      <c r="C62" s="183">
        <f>AVERAGEIFS($F$86:$F$404,$B$86:$B$404,C$3,$E$86:$E$404,"FB")</f>
        <v>83.213597153846166</v>
      </c>
      <c r="D62" s="183">
        <f t="shared" ref="D62:J62" si="27">AVERAGEIFS($F$86:$F$404,$B$86:$B$404,D$3,$E$86:$E$404,"FB")</f>
        <v>83.509897706250001</v>
      </c>
      <c r="E62" s="183">
        <f t="shared" si="27"/>
        <v>82.402656165217394</v>
      </c>
      <c r="F62" s="183">
        <f t="shared" si="27"/>
        <v>82.134256166666646</v>
      </c>
      <c r="G62" s="183">
        <f t="shared" si="27"/>
        <v>82.890102327913041</v>
      </c>
      <c r="H62" s="183" t="e">
        <f t="shared" si="27"/>
        <v>#DIV/0!</v>
      </c>
      <c r="I62" s="183" t="e">
        <f t="shared" si="27"/>
        <v>#DIV/0!</v>
      </c>
      <c r="J62" s="190" t="e">
        <f t="shared" si="27"/>
        <v>#DIV/0!</v>
      </c>
      <c r="K62" s="194">
        <f>AVERAGEIFS(F86:F404, E86:E404,"FB")</f>
        <v>82.718563609235304</v>
      </c>
      <c r="L62" s="192"/>
      <c r="M62" s="184"/>
      <c r="N62" s="7"/>
      <c r="O62" s="7"/>
    </row>
    <row r="63" spans="1:15" x14ac:dyDescent="0.2">
      <c r="A63" s="263"/>
      <c r="B63" s="211" t="s">
        <v>208</v>
      </c>
      <c r="C63" s="183">
        <f>_xlfn.MINIFS($F$86:$F$404,$B$86:$B$404,C$3,$E$86:$E$404,"FB")</f>
        <v>81.416717199999994</v>
      </c>
      <c r="D63" s="183">
        <f t="shared" ref="D63:J63" si="28">_xlfn.MINIFS($F$86:$F$404,$B$86:$B$404,D$3,$E$86:$E$404,"FB")</f>
        <v>82.2583585</v>
      </c>
      <c r="E63" s="183">
        <f t="shared" si="28"/>
        <v>80.146314899999993</v>
      </c>
      <c r="F63" s="183">
        <f t="shared" si="28"/>
        <v>80.527434700000001</v>
      </c>
      <c r="G63" s="183">
        <f t="shared" si="28"/>
        <v>79.177639314000004</v>
      </c>
      <c r="H63" s="183">
        <f t="shared" si="28"/>
        <v>0</v>
      </c>
      <c r="I63" s="183">
        <f t="shared" si="28"/>
        <v>0</v>
      </c>
      <c r="J63" s="190">
        <f t="shared" si="28"/>
        <v>0</v>
      </c>
      <c r="K63" s="195">
        <f>_xlfn.MINIFS(F86:F404, E86:E404,"FB")</f>
        <v>79.177639314000004</v>
      </c>
      <c r="L63" s="192"/>
      <c r="M63" s="184"/>
      <c r="N63" s="7"/>
      <c r="O63" s="7"/>
    </row>
    <row r="64" spans="1:15" x14ac:dyDescent="0.2">
      <c r="A64" s="263"/>
      <c r="B64" s="211" t="s">
        <v>205</v>
      </c>
      <c r="C64" s="183">
        <f>_xlfn.MAXIFS($F$86:$F$404,$B$86:$B$404,C$3,$E$86:$E$404,"FB")</f>
        <v>84.608590199999995</v>
      </c>
      <c r="D64" s="183">
        <f t="shared" ref="D64:J64" si="29">_xlfn.MAXIFS($F$86:$F$404,$B$86:$B$404,D$3,$E$86:$E$404,"FB")</f>
        <v>85.243795700000007</v>
      </c>
      <c r="E64" s="183">
        <f t="shared" si="29"/>
        <v>84.036914800000005</v>
      </c>
      <c r="F64" s="183">
        <f t="shared" si="29"/>
        <v>83.925752299999999</v>
      </c>
      <c r="G64" s="183">
        <f t="shared" si="29"/>
        <v>84.624470653000003</v>
      </c>
      <c r="H64" s="183">
        <f t="shared" si="29"/>
        <v>0</v>
      </c>
      <c r="I64" s="183">
        <f t="shared" si="29"/>
        <v>0</v>
      </c>
      <c r="J64" s="190">
        <f t="shared" si="29"/>
        <v>0</v>
      </c>
      <c r="K64" s="195">
        <f>_xlfn.MAXIFS(F86:F404, E86:E404,"FB")</f>
        <v>85.243795700000007</v>
      </c>
      <c r="L64" s="192"/>
      <c r="M64" s="184"/>
      <c r="N64" s="7"/>
      <c r="O64" s="7"/>
    </row>
    <row r="65" spans="1:15" ht="17" thickBot="1" x14ac:dyDescent="0.25">
      <c r="A65" s="263"/>
      <c r="B65" s="211" t="s">
        <v>211</v>
      </c>
      <c r="C65" s="189">
        <f>AVERAGEIFS($G$86:$G$404,$B$86:$B$404,C$3,$E$86:$E$404,"FB")</f>
        <v>1802.6325353846155</v>
      </c>
      <c r="D65" s="189">
        <f t="shared" ref="D65:J65" si="30">AVERAGEIFS($G$86:$G$404,$B$86:$B$404,D$3,$E$86:$E$404,"FB")</f>
        <v>1985.0223774999999</v>
      </c>
      <c r="E65" s="189">
        <f t="shared" si="30"/>
        <v>1876.0348499999996</v>
      </c>
      <c r="F65" s="189">
        <f t="shared" si="30"/>
        <v>2035.1943048148144</v>
      </c>
      <c r="G65" s="189">
        <f t="shared" si="30"/>
        <v>2099.4671282608692</v>
      </c>
      <c r="H65" s="189" t="e">
        <f t="shared" si="30"/>
        <v>#DIV/0!</v>
      </c>
      <c r="I65" s="189" t="e">
        <f t="shared" si="30"/>
        <v>#DIV/0!</v>
      </c>
      <c r="J65" s="191" t="e">
        <f t="shared" si="30"/>
        <v>#DIV/0!</v>
      </c>
      <c r="K65" s="236">
        <f>AVERAGEIFS(G86:G404, E86:E404,"FB")</f>
        <v>1976.2879679411772</v>
      </c>
      <c r="L65" s="192"/>
      <c r="M65" s="184"/>
      <c r="N65" s="7"/>
      <c r="O65" s="7"/>
    </row>
    <row r="66" spans="1:15" x14ac:dyDescent="0.2">
      <c r="A66" s="263"/>
      <c r="B66" s="212" t="s">
        <v>206</v>
      </c>
      <c r="C66" s="183">
        <f>AVERAGEIFS($F$86:$F$404,$B$86:$B$404,C$3,$E$86:$E$404,"SL")</f>
        <v>70.939096620000015</v>
      </c>
      <c r="D66" s="183">
        <f t="shared" ref="D66:J66" si="31">AVERAGEIFS($F$86:$F$404,$B$86:$B$404,D$3,$E$86:$E$404,"SL")</f>
        <v>70.459521733333347</v>
      </c>
      <c r="E66" s="183">
        <f t="shared" si="31"/>
        <v>67.904285781818189</v>
      </c>
      <c r="F66" s="183">
        <f t="shared" si="31"/>
        <v>70.333702369230764</v>
      </c>
      <c r="G66" s="183">
        <f t="shared" si="31"/>
        <v>71.073547648111116</v>
      </c>
      <c r="H66" s="183" t="e">
        <f t="shared" si="31"/>
        <v>#DIV/0!</v>
      </c>
      <c r="I66" s="183" t="e">
        <f t="shared" si="31"/>
        <v>#DIV/0!</v>
      </c>
      <c r="J66" s="190" t="e">
        <f t="shared" si="31"/>
        <v>#DIV/0!</v>
      </c>
      <c r="K66" s="194">
        <f>AVERAGEIFS(F86:F404, E86:E404,"SL")</f>
        <v>69.927347598365841</v>
      </c>
      <c r="L66" s="192"/>
      <c r="M66" s="184"/>
      <c r="N66" s="7"/>
      <c r="O66" s="7"/>
    </row>
    <row r="67" spans="1:15" x14ac:dyDescent="0.2">
      <c r="A67" s="263"/>
      <c r="B67" s="212" t="s">
        <v>209</v>
      </c>
      <c r="C67" s="183">
        <f>_xlfn.MINIFS($F$86:$F$404,$B$86:$B$404,C$3,$E$86:$E$404,"SL")</f>
        <v>69.681400400000001</v>
      </c>
      <c r="D67" s="183">
        <f t="shared" ref="D67:J67" si="32">_xlfn.MINIFS($F$86:$F$404,$B$86:$B$404,D$3,$E$86:$E$404,"SL")</f>
        <v>69.109720499999995</v>
      </c>
      <c r="E67" s="183">
        <f t="shared" si="32"/>
        <v>65.616125100000005</v>
      </c>
      <c r="F67" s="183">
        <f t="shared" si="32"/>
        <v>67.585241300000007</v>
      </c>
      <c r="G67" s="183">
        <f t="shared" si="32"/>
        <v>68.919160650999999</v>
      </c>
      <c r="H67" s="183">
        <f t="shared" si="32"/>
        <v>0</v>
      </c>
      <c r="I67" s="183">
        <f t="shared" si="32"/>
        <v>0</v>
      </c>
      <c r="J67" s="190">
        <f t="shared" si="32"/>
        <v>0</v>
      </c>
      <c r="K67" s="195">
        <f>_xlfn.MINIFS(F86:F404, E86:E404,"SL")</f>
        <v>65.616125100000005</v>
      </c>
      <c r="L67" s="192"/>
      <c r="M67" s="184"/>
      <c r="N67" s="7"/>
      <c r="O67" s="7"/>
    </row>
    <row r="68" spans="1:15" x14ac:dyDescent="0.2">
      <c r="A68" s="263"/>
      <c r="B68" s="212" t="s">
        <v>207</v>
      </c>
      <c r="C68" s="183">
        <f>_xlfn.MAXIFS($F$86:$F$404,$B$86:$B$404,C$3,$E$86:$E$404,"SL")</f>
        <v>71.3964395</v>
      </c>
      <c r="D68" s="183">
        <f t="shared" ref="D68:J68" si="33">_xlfn.MAXIFS($F$86:$F$404,$B$86:$B$404,D$3,$E$86:$E$404,"SL")</f>
        <v>71.317042000000001</v>
      </c>
      <c r="E68" s="183">
        <f t="shared" si="33"/>
        <v>69.617883300000003</v>
      </c>
      <c r="F68" s="183">
        <f t="shared" si="33"/>
        <v>73.667278100000004</v>
      </c>
      <c r="G68" s="183">
        <f t="shared" si="33"/>
        <v>72.650961344999999</v>
      </c>
      <c r="H68" s="183">
        <f t="shared" si="33"/>
        <v>0</v>
      </c>
      <c r="I68" s="183">
        <f t="shared" si="33"/>
        <v>0</v>
      </c>
      <c r="J68" s="190">
        <f t="shared" si="33"/>
        <v>0</v>
      </c>
      <c r="K68" s="195">
        <f>_xlfn.MAXIFS(F86:F404, E86:E404,"SL")</f>
        <v>73.667278100000004</v>
      </c>
      <c r="L68" s="192"/>
      <c r="M68" s="184"/>
      <c r="N68" s="7"/>
      <c r="O68" s="7"/>
    </row>
    <row r="69" spans="1:15" ht="17" thickBot="1" x14ac:dyDescent="0.25">
      <c r="A69" s="263"/>
      <c r="B69" s="212" t="s">
        <v>212</v>
      </c>
      <c r="C69" s="189">
        <f>AVERAGEIFS($G$86:$G$404,$B$86:$B$404,C$3,$E$86:$E$404,"SL")</f>
        <v>2230.4708020000007</v>
      </c>
      <c r="D69" s="189">
        <f t="shared" ref="D69:J69" si="34">AVERAGEIFS($G$86:$G$404,$B$86:$B$404,D$3,$E$86:$E$404,"SL")</f>
        <v>1544.7271733333334</v>
      </c>
      <c r="E69" s="189">
        <f t="shared" si="34"/>
        <v>1693.1515563636362</v>
      </c>
      <c r="F69" s="189">
        <f t="shared" si="34"/>
        <v>1791.8301869230768</v>
      </c>
      <c r="G69" s="189">
        <f t="shared" si="34"/>
        <v>2132.7783877777779</v>
      </c>
      <c r="H69" s="189" t="e">
        <f t="shared" si="34"/>
        <v>#DIV/0!</v>
      </c>
      <c r="I69" s="189" t="e">
        <f t="shared" si="34"/>
        <v>#DIV/0!</v>
      </c>
      <c r="J69" s="191" t="e">
        <f t="shared" si="34"/>
        <v>#DIV/0!</v>
      </c>
      <c r="K69" s="236">
        <f>AVERAGEIFS(G86:G404, E86:E404,"SL")</f>
        <v>1875.6097700000007</v>
      </c>
      <c r="L69" s="192"/>
      <c r="M69" s="184"/>
      <c r="N69" s="7"/>
      <c r="O69" s="7"/>
    </row>
    <row r="70" spans="1:15" x14ac:dyDescent="0.2">
      <c r="A70" s="263"/>
      <c r="B70" s="213" t="s">
        <v>227</v>
      </c>
      <c r="C70" s="183">
        <f>AVERAGEIFS($F$86:$F$404,$B$86:$B$404,C$3,$E$86:$E$404,"CB")</f>
        <v>67.807561950000007</v>
      </c>
      <c r="D70" s="183">
        <f t="shared" ref="D70:J70" si="35">AVERAGEIFS($F$86:$F$404,$B$86:$B$404,D$3,$E$86:$E$404,"CB")</f>
        <v>67.803591850000004</v>
      </c>
      <c r="E70" s="183">
        <f t="shared" si="35"/>
        <v>66.27037928</v>
      </c>
      <c r="F70" s="183">
        <f t="shared" si="35"/>
        <v>65.989302750000007</v>
      </c>
      <c r="G70" s="183">
        <f t="shared" si="35"/>
        <v>66.991331760199998</v>
      </c>
      <c r="H70" s="183" t="e">
        <f t="shared" si="35"/>
        <v>#DIV/0!</v>
      </c>
      <c r="I70" s="183" t="e">
        <f t="shared" si="35"/>
        <v>#DIV/0!</v>
      </c>
      <c r="J70" s="183" t="e">
        <f t="shared" si="35"/>
        <v>#DIV/0!</v>
      </c>
      <c r="K70" s="194">
        <f>AVERAGEIFS(F86:F404, E86:E404,"CB")</f>
        <v>66.950925111166669</v>
      </c>
      <c r="L70" s="192"/>
      <c r="M70" s="184"/>
      <c r="N70" s="7"/>
      <c r="O70" s="7"/>
    </row>
    <row r="71" spans="1:15" x14ac:dyDescent="0.2">
      <c r="A71" s="263"/>
      <c r="B71" s="213" t="s">
        <v>228</v>
      </c>
      <c r="C71" s="183">
        <f>_xlfn.MINIFS($F$86:$F$404,$B$86:$B$404,C$3,$E$86:$E$404,"CB")</f>
        <v>66.695963199999994</v>
      </c>
      <c r="D71" s="183">
        <f t="shared" ref="D71:J71" si="36">_xlfn.MINIFS($F$86:$F$404,$B$86:$B$404,D$3,$E$86:$E$404,"CB")</f>
        <v>67.394681399999996</v>
      </c>
      <c r="E71" s="183">
        <f t="shared" si="36"/>
        <v>64.218684400000001</v>
      </c>
      <c r="F71" s="183">
        <f t="shared" si="36"/>
        <v>65.663762000000006</v>
      </c>
      <c r="G71" s="183">
        <f t="shared" si="36"/>
        <v>65.171483975000001</v>
      </c>
      <c r="H71" s="183">
        <f t="shared" si="36"/>
        <v>0</v>
      </c>
      <c r="I71" s="183">
        <f t="shared" si="36"/>
        <v>0</v>
      </c>
      <c r="J71" s="183">
        <f t="shared" si="36"/>
        <v>0</v>
      </c>
      <c r="K71" s="195">
        <f>_xlfn.MINIFS(F86:F404, E86:E404,"CB")</f>
        <v>64.218684400000001</v>
      </c>
      <c r="L71" s="192"/>
      <c r="M71" s="184"/>
      <c r="N71" s="7"/>
      <c r="O71" s="7"/>
    </row>
    <row r="72" spans="1:15" x14ac:dyDescent="0.2">
      <c r="A72" s="263"/>
      <c r="B72" s="213" t="s">
        <v>229</v>
      </c>
      <c r="C72" s="183">
        <f>_xlfn.MAXIFS($F$86:$F$404,$B$86:$B$404,C$3,$E$86:$E$404,"CB")</f>
        <v>68.919160700000006</v>
      </c>
      <c r="D72" s="183">
        <f t="shared" ref="D72:J72" si="37">_xlfn.MAXIFS($F$86:$F$404,$B$86:$B$404,D$3,$E$86:$E$404,"CB")</f>
        <v>68.331600600000002</v>
      </c>
      <c r="E72" s="183">
        <f t="shared" si="37"/>
        <v>68.585682000000006</v>
      </c>
      <c r="F72" s="183">
        <f t="shared" si="37"/>
        <v>66.314843499999995</v>
      </c>
      <c r="G72" s="183">
        <f t="shared" si="37"/>
        <v>69.427323388999994</v>
      </c>
      <c r="H72" s="183">
        <f t="shared" si="37"/>
        <v>0</v>
      </c>
      <c r="I72" s="183">
        <f t="shared" si="37"/>
        <v>0</v>
      </c>
      <c r="J72" s="183">
        <f t="shared" si="37"/>
        <v>0</v>
      </c>
      <c r="K72" s="195">
        <f>_xlfn.MAXIFS(F86:F404, E86:E404,"CB")</f>
        <v>69.427323388999994</v>
      </c>
      <c r="L72" s="192"/>
      <c r="M72" s="184"/>
      <c r="N72" s="7"/>
      <c r="O72" s="7"/>
    </row>
    <row r="73" spans="1:15" ht="17" thickBot="1" x14ac:dyDescent="0.25">
      <c r="A73" s="263"/>
      <c r="B73" s="213" t="s">
        <v>230</v>
      </c>
      <c r="C73" s="183">
        <f>AVERAGEIFS($G$86:$G$404,$B$86:$B$404,C$3,$E$86:$E$404,"CB")</f>
        <v>2052.44983</v>
      </c>
      <c r="D73" s="183">
        <f t="shared" ref="D73:J73" si="38">AVERAGEIFS($G$86:$G$404,$B$86:$B$404,D$3,$E$86:$E$404,"CB")</f>
        <v>1660.60214</v>
      </c>
      <c r="E73" s="183">
        <f t="shared" si="38"/>
        <v>1833.812402</v>
      </c>
      <c r="F73" s="183">
        <f t="shared" si="38"/>
        <v>2025.8604150000001</v>
      </c>
      <c r="G73" s="183">
        <f t="shared" si="38"/>
        <v>1625.1569599999998</v>
      </c>
      <c r="H73" s="183" t="e">
        <f t="shared" si="38"/>
        <v>#DIV/0!</v>
      </c>
      <c r="I73" s="183" t="e">
        <f t="shared" si="38"/>
        <v>#DIV/0!</v>
      </c>
      <c r="J73" s="183" t="e">
        <f t="shared" si="38"/>
        <v>#DIV/0!</v>
      </c>
      <c r="K73" s="236">
        <f>AVERAGEIFS(G86:G404, E86:E404,"CB")</f>
        <v>1782.9931033333332</v>
      </c>
      <c r="L73" s="192"/>
      <c r="M73" s="184"/>
      <c r="N73" s="7"/>
      <c r="O73" s="7"/>
    </row>
    <row r="74" spans="1:15" ht="16" customHeight="1" x14ac:dyDescent="0.2">
      <c r="A74" s="263"/>
      <c r="B74" s="214" t="s">
        <v>215</v>
      </c>
      <c r="C74" s="183">
        <f>AVERAGEIFS($F$86:$F$404,$B$86:$B$404,C$3,$E$86:$E$404,"CH")</f>
        <v>73.603756700000005</v>
      </c>
      <c r="D74" s="183">
        <f t="shared" ref="D74:J74" si="39">AVERAGEIFS($F$86:$F$404,$B$86:$B$404,D$3,$E$86:$E$404,"CH")</f>
        <v>77.589635766666674</v>
      </c>
      <c r="E74" s="183">
        <f t="shared" si="39"/>
        <v>76.896210933333336</v>
      </c>
      <c r="F74" s="183">
        <f t="shared" si="39"/>
        <v>75.040898150000004</v>
      </c>
      <c r="G74" s="183">
        <f t="shared" si="39"/>
        <v>74.088098773500008</v>
      </c>
      <c r="H74" s="183" t="e">
        <f t="shared" si="39"/>
        <v>#DIV/0!</v>
      </c>
      <c r="I74" s="183" t="e">
        <f t="shared" si="39"/>
        <v>#DIV/0!</v>
      </c>
      <c r="J74" s="190" t="e">
        <f t="shared" si="39"/>
        <v>#DIV/0!</v>
      </c>
      <c r="K74" s="194">
        <f>AVERAGEIFS(F86:F404, E86:E404,"CH")</f>
        <v>75.93811733154547</v>
      </c>
      <c r="L74" s="192"/>
      <c r="M74" s="184"/>
      <c r="N74" s="7"/>
      <c r="O74" s="265"/>
    </row>
    <row r="75" spans="1:15" ht="17" customHeight="1" thickBot="1" x14ac:dyDescent="0.25">
      <c r="A75" s="263"/>
      <c r="B75" s="214" t="s">
        <v>210</v>
      </c>
      <c r="C75" s="183">
        <f>_xlfn.MINIFS($F$86:$F$404,$B$86:$B$404,C$3,$E$86:$E$404,"CH")</f>
        <v>73.603756700000005</v>
      </c>
      <c r="D75" s="183">
        <f t="shared" ref="D75:J75" si="40">_xlfn.MINIFS($F$86:$F$404,$B$86:$B$404,D$3,$E$86:$E$404,"CH")</f>
        <v>76.446279200000006</v>
      </c>
      <c r="E75" s="183">
        <f t="shared" si="40"/>
        <v>75.699919899999998</v>
      </c>
      <c r="F75" s="183">
        <f t="shared" si="40"/>
        <v>74.048397600000001</v>
      </c>
      <c r="G75" s="183">
        <f t="shared" si="40"/>
        <v>72.666841801000004</v>
      </c>
      <c r="H75" s="183">
        <f t="shared" si="40"/>
        <v>0</v>
      </c>
      <c r="I75" s="183">
        <f t="shared" si="40"/>
        <v>0</v>
      </c>
      <c r="J75" s="190">
        <f t="shared" si="40"/>
        <v>0</v>
      </c>
      <c r="K75" s="195">
        <f>_xlfn.MINIFS(F86:F404, E86:E404,"CH")</f>
        <v>72.666841801000004</v>
      </c>
      <c r="L75" s="192"/>
      <c r="M75" s="184"/>
      <c r="N75" s="7"/>
      <c r="O75" s="266"/>
    </row>
    <row r="76" spans="1:15" x14ac:dyDescent="0.2">
      <c r="A76" s="263"/>
      <c r="B76" s="214" t="s">
        <v>214</v>
      </c>
      <c r="C76" s="183">
        <f>_xlfn.MAXIFS($F$86:$F$404,$B$86:$B$404,C$3,$E$86:$E$404,"CH")</f>
        <v>73.603756700000005</v>
      </c>
      <c r="D76" s="183">
        <f t="shared" ref="D76:J76" si="41">_xlfn.MAXIFS($F$86:$F$404,$B$86:$B$404,D$3,$E$86:$E$404,"CH")</f>
        <v>78.510673100000005</v>
      </c>
      <c r="E76" s="183">
        <f t="shared" si="41"/>
        <v>77.938997700000002</v>
      </c>
      <c r="F76" s="183">
        <f t="shared" si="41"/>
        <v>76.033398700000006</v>
      </c>
      <c r="G76" s="183">
        <f t="shared" si="41"/>
        <v>75.509355745999997</v>
      </c>
      <c r="H76" s="183">
        <f t="shared" si="41"/>
        <v>0</v>
      </c>
      <c r="I76" s="183">
        <f t="shared" si="41"/>
        <v>0</v>
      </c>
      <c r="J76" s="190">
        <f t="shared" si="41"/>
        <v>0</v>
      </c>
      <c r="K76" s="195">
        <f>_xlfn.MAXIFS(F86:F404, E86:E404,"CH")</f>
        <v>78.510673100000005</v>
      </c>
      <c r="L76" s="192"/>
      <c r="M76" s="184"/>
      <c r="N76" s="7"/>
      <c r="O76" s="7"/>
    </row>
    <row r="77" spans="1:15" ht="17" thickBot="1" x14ac:dyDescent="0.25">
      <c r="A77" s="264"/>
      <c r="B77" s="215" t="s">
        <v>213</v>
      </c>
      <c r="C77" s="189">
        <f>AVERAGEIFS($G$86:$G$404,$B$86:$B$404,C$3,$E$86:$E$404,"CH")</f>
        <v>1280.0640900000001</v>
      </c>
      <c r="D77" s="189">
        <f t="shared" ref="D77:J77" si="42">AVERAGEIFS($G$86:$G$404,$B$86:$B$404,D$3,$E$86:$E$404,"CH")</f>
        <v>1527.8516433333334</v>
      </c>
      <c r="E77" s="189">
        <f t="shared" si="42"/>
        <v>1509.6647533333332</v>
      </c>
      <c r="F77" s="189">
        <f t="shared" si="42"/>
        <v>1429.55322</v>
      </c>
      <c r="G77" s="189">
        <f t="shared" si="42"/>
        <v>1332.877195</v>
      </c>
      <c r="H77" s="189" t="e">
        <f t="shared" si="42"/>
        <v>#DIV/0!</v>
      </c>
      <c r="I77" s="189" t="e">
        <f t="shared" si="42"/>
        <v>#DIV/0!</v>
      </c>
      <c r="J77" s="191" t="e">
        <f t="shared" si="42"/>
        <v>#DIV/0!</v>
      </c>
      <c r="K77" s="237">
        <f>AVERAGEIFS(G86:G404, E86:E404,"CH")</f>
        <v>1447.043100909091</v>
      </c>
      <c r="L77" s="193"/>
      <c r="M77" s="185"/>
      <c r="N77" s="7"/>
      <c r="O77" s="7"/>
    </row>
    <row r="78" spans="1:15" x14ac:dyDescent="0.2">
      <c r="A78" s="267" t="s">
        <v>221</v>
      </c>
      <c r="B78" s="12" t="s">
        <v>217</v>
      </c>
      <c r="C78" s="11">
        <f>AVERAGEIFS($K$86:$K$404,$B$86:$B$404,C$3)</f>
        <v>62.340761220000005</v>
      </c>
      <c r="D78" s="11">
        <f t="shared" ref="D78:J78" si="43">AVERAGEIFS($K$86:$K$404,$B$86:$B$404,D$3)</f>
        <v>82.79927244000001</v>
      </c>
      <c r="E78" s="11">
        <f t="shared" si="43"/>
        <v>86.842082160000004</v>
      </c>
      <c r="F78" s="11">
        <f t="shared" si="43"/>
        <v>77.089932449999992</v>
      </c>
      <c r="G78" s="11">
        <f t="shared" si="43"/>
        <v>82.903313979399996</v>
      </c>
      <c r="H78" s="11" t="e">
        <f t="shared" si="43"/>
        <v>#DIV/0!</v>
      </c>
      <c r="I78" s="11" t="e">
        <f t="shared" si="43"/>
        <v>#DIV/0!</v>
      </c>
      <c r="J78" s="11" t="e">
        <f t="shared" si="43"/>
        <v>#DIV/0!</v>
      </c>
      <c r="K78" s="198">
        <f>AVERAGE(K86:K404)</f>
        <v>78.573046086227265</v>
      </c>
      <c r="L78" s="10"/>
      <c r="M78" s="10"/>
      <c r="N78" s="7"/>
      <c r="O78" s="7"/>
    </row>
    <row r="79" spans="1:15" x14ac:dyDescent="0.2">
      <c r="A79" s="268"/>
      <c r="B79" s="12" t="s">
        <v>218</v>
      </c>
      <c r="C79" s="11">
        <f>AVERAGEIFS($L$86:$L$404,$B$86:$B$404,C$3)</f>
        <v>-13.921025666666665</v>
      </c>
      <c r="D79" s="11">
        <f t="shared" ref="D79:J79" si="44">AVERAGEIFS($L$86:$L$404,$B$86:$B$404,D$3)</f>
        <v>13.710786880000001</v>
      </c>
      <c r="E79" s="11">
        <f t="shared" si="44"/>
        <v>20.74685844</v>
      </c>
      <c r="F79" s="11">
        <f t="shared" si="44"/>
        <v>-6.3579199499999994</v>
      </c>
      <c r="G79" s="11">
        <f t="shared" si="44"/>
        <v>27.553207980000003</v>
      </c>
      <c r="H79" s="11" t="e">
        <f t="shared" si="44"/>
        <v>#DIV/0!</v>
      </c>
      <c r="I79" s="11" t="e">
        <f>AVERAGEIFS($L$86:$L$404,$B$86:$B$404,I$3)</f>
        <v>#DIV/0!</v>
      </c>
      <c r="J79" s="11" t="e">
        <f t="shared" si="44"/>
        <v>#DIV/0!</v>
      </c>
      <c r="K79" s="198">
        <f>AVERAGE(L86:L404)</f>
        <v>9.2961857652173912</v>
      </c>
      <c r="L79" s="10"/>
      <c r="M79" s="10"/>
      <c r="N79" s="7"/>
      <c r="O79" s="7"/>
    </row>
    <row r="80" spans="1:15" x14ac:dyDescent="0.2">
      <c r="A80" s="268"/>
      <c r="B80" s="218" t="s">
        <v>219</v>
      </c>
      <c r="C80" s="11">
        <f>AVERAGEIFS($O$86:$O$404,$B$86:$B$404,C$3)</f>
        <v>79</v>
      </c>
      <c r="D80" s="11">
        <f t="shared" ref="D80:J80" si="45">AVERAGEIFS($O$86:$O$404,$B$86:$B$404,D$3)</f>
        <v>160.19999999999999</v>
      </c>
      <c r="E80" s="11">
        <f t="shared" si="45"/>
        <v>198.8</v>
      </c>
      <c r="F80" s="11">
        <f t="shared" si="45"/>
        <v>78</v>
      </c>
      <c r="G80" s="11">
        <f t="shared" si="45"/>
        <v>241</v>
      </c>
      <c r="H80" s="11" t="e">
        <f t="shared" si="45"/>
        <v>#DIV/0!</v>
      </c>
      <c r="I80" s="11" t="e">
        <f t="shared" si="45"/>
        <v>#DIV/0!</v>
      </c>
      <c r="J80" s="11" t="e">
        <f t="shared" si="45"/>
        <v>#DIV/0!</v>
      </c>
      <c r="K80" s="234" t="e">
        <f>AVERAGE(O374:O404)</f>
        <v>#DIV/0!</v>
      </c>
      <c r="N80" s="7"/>
      <c r="O80" s="7"/>
    </row>
    <row r="81" spans="1:31" x14ac:dyDescent="0.2">
      <c r="A81" s="268"/>
      <c r="B81" s="12" t="s">
        <v>231</v>
      </c>
      <c r="C81" s="33">
        <f>AVERAGEIFS($P$86:$P$404,$B$86:$B$404,C$3)</f>
        <v>0.63927219000000002</v>
      </c>
      <c r="D81" s="33">
        <f t="shared" ref="D81:J81" si="46">AVERAGEIFS($P$86:$P$404,$B$86:$B$404,D$3)</f>
        <v>0.8680910799999999</v>
      </c>
      <c r="E81" s="33">
        <f t="shared" si="46"/>
        <v>0.87506927199999995</v>
      </c>
      <c r="F81" s="33">
        <f t="shared" si="46"/>
        <v>0.74999925500000009</v>
      </c>
      <c r="G81" s="33">
        <f t="shared" si="46"/>
        <v>0.72776951849999971</v>
      </c>
      <c r="H81" s="33" t="e">
        <f t="shared" si="46"/>
        <v>#DIV/0!</v>
      </c>
      <c r="I81" s="33" t="e">
        <f t="shared" si="46"/>
        <v>#DIV/0!</v>
      </c>
      <c r="J81" s="33" t="e">
        <f t="shared" si="46"/>
        <v>#DIV/0!</v>
      </c>
      <c r="K81" s="235" t="e">
        <f>AVERAGE(P374:P404)</f>
        <v>#DIV/0!</v>
      </c>
    </row>
    <row r="82" spans="1:31" ht="17" thickBot="1" x14ac:dyDescent="0.25">
      <c r="A82" s="269"/>
      <c r="B82" s="12" t="s">
        <v>220</v>
      </c>
      <c r="C82" s="33">
        <f>(SUM(C51,C54,C57,C60)/(SUM(C50,C53,C56,C59)))</f>
        <v>0.3</v>
      </c>
      <c r="D82" s="33">
        <f t="shared" ref="D82:F82" si="47">(SUM(D51,D54,D57,D60)/(SUM(D50,D53,D56,D59)))</f>
        <v>0.33333333333333331</v>
      </c>
      <c r="E82" s="33">
        <f t="shared" si="47"/>
        <v>0.6</v>
      </c>
      <c r="F82" s="33">
        <f t="shared" si="47"/>
        <v>0.4</v>
      </c>
      <c r="G82" s="172">
        <f>(SUM(C51:F51)+SUM(C54:F54)+SUM(C57:F57)+SUM(C60:F60))/(SUM(C50:F50)+SUM(C53:F53)+SUM(C56:F56)+SUM(C59:F59))</f>
        <v>0.43181818181818182</v>
      </c>
      <c r="H82" s="172">
        <f t="shared" ref="H82:J82" si="48">(SUM(D51:G51)+SUM(D54:G54)+SUM(D57:G57)+SUM(D60:G60))/(SUM(D50:G50)+SUM(D53:G53)+SUM(D56:G56)+SUM(D59:G59))</f>
        <v>0.41304347826086957</v>
      </c>
      <c r="I82" s="172">
        <f t="shared" si="48"/>
        <v>0.43243243243243246</v>
      </c>
      <c r="J82" s="172">
        <f t="shared" si="48"/>
        <v>0.31818181818181818</v>
      </c>
      <c r="K82" s="200">
        <f>(SUM(D51:G51)+SUM(D54:G54)+SUM(D57:G57)+SUM(D60:G60))/(SUM(D50:G50)+SUM(D53:G53)+SUM(D56:G56)+SUM(D59:G59))</f>
        <v>0.41304347826086957</v>
      </c>
    </row>
    <row r="85" spans="1:31" s="6" customFormat="1" x14ac:dyDescent="0.2">
      <c r="A85" s="6" t="s">
        <v>0</v>
      </c>
      <c r="B85" s="6" t="s">
        <v>1</v>
      </c>
      <c r="C85" s="6" t="s">
        <v>2</v>
      </c>
      <c r="D85" s="6" t="s">
        <v>3</v>
      </c>
      <c r="E85" s="12" t="s">
        <v>31</v>
      </c>
      <c r="F85" s="15" t="s">
        <v>30</v>
      </c>
      <c r="G85" s="202" t="s">
        <v>5</v>
      </c>
      <c r="H85" s="21" t="s">
        <v>32</v>
      </c>
      <c r="I85" s="18" t="s">
        <v>203</v>
      </c>
      <c r="J85" s="6" t="s">
        <v>4</v>
      </c>
      <c r="K85" s="15" t="s">
        <v>6</v>
      </c>
      <c r="L85" s="15" t="s">
        <v>7</v>
      </c>
      <c r="M85" s="15" t="s">
        <v>8</v>
      </c>
      <c r="N85" s="15" t="s">
        <v>9</v>
      </c>
      <c r="O85" s="15" t="s">
        <v>11</v>
      </c>
      <c r="P85" s="171" t="s">
        <v>15</v>
      </c>
      <c r="U85" s="13"/>
      <c r="X85" s="6">
        <v>172</v>
      </c>
    </row>
    <row r="86" spans="1:31" x14ac:dyDescent="0.2">
      <c r="A86">
        <v>287</v>
      </c>
      <c r="B86" s="8">
        <v>46197</v>
      </c>
      <c r="C86" s="9">
        <v>0.61745370370370367</v>
      </c>
      <c r="D86" s="7" t="s">
        <v>24</v>
      </c>
      <c r="E86" s="13" t="s">
        <v>33</v>
      </c>
      <c r="F86" s="16">
        <v>83.274675099999996</v>
      </c>
      <c r="G86" s="129">
        <v>747.18090800000004</v>
      </c>
      <c r="H86" s="22">
        <v>1</v>
      </c>
      <c r="I86" s="19"/>
      <c r="J86" s="7" t="s">
        <v>21</v>
      </c>
      <c r="K86" s="16"/>
      <c r="L86" s="16"/>
      <c r="M86" s="16"/>
      <c r="N86" s="16"/>
      <c r="O86" s="16"/>
      <c r="P86" s="175"/>
      <c r="Q86" s="16"/>
      <c r="R86" s="16"/>
      <c r="S86" s="13" t="s">
        <v>49</v>
      </c>
      <c r="T86" s="22">
        <v>0</v>
      </c>
      <c r="U86" s="19"/>
      <c r="X86" t="s">
        <v>33</v>
      </c>
      <c r="Y86">
        <v>102</v>
      </c>
      <c r="Z86" s="5">
        <f>Y86/X85</f>
        <v>0.59302325581395354</v>
      </c>
      <c r="AB86" s="10" t="s">
        <v>49</v>
      </c>
      <c r="AC86" s="17" t="s">
        <v>254</v>
      </c>
      <c r="AD86" t="s">
        <v>20</v>
      </c>
      <c r="AE86" s="11">
        <v>89.554111204999998</v>
      </c>
    </row>
    <row r="87" spans="1:31" x14ac:dyDescent="0.2">
      <c r="A87">
        <v>288</v>
      </c>
      <c r="B87" s="8">
        <v>46197</v>
      </c>
      <c r="C87" s="9">
        <v>0.61768518518518523</v>
      </c>
      <c r="D87" s="7" t="s">
        <v>24</v>
      </c>
      <c r="E87" s="13" t="s">
        <v>33</v>
      </c>
      <c r="F87" s="16">
        <v>83.973393400000006</v>
      </c>
      <c r="G87" s="129">
        <v>2197.5744599999998</v>
      </c>
      <c r="H87" s="22">
        <v>0</v>
      </c>
      <c r="I87" s="19"/>
      <c r="J87" s="7" t="s">
        <v>21</v>
      </c>
      <c r="K87" s="16"/>
      <c r="L87" s="16"/>
      <c r="M87" s="16"/>
      <c r="N87" s="16"/>
      <c r="O87" s="16"/>
      <c r="P87" s="175"/>
      <c r="Q87" s="16"/>
      <c r="R87" s="16"/>
      <c r="S87" s="13" t="s">
        <v>49</v>
      </c>
      <c r="T87" s="22">
        <v>0</v>
      </c>
      <c r="U87" s="19"/>
      <c r="X87" t="s">
        <v>49</v>
      </c>
      <c r="Y87">
        <v>18</v>
      </c>
      <c r="Z87" s="5">
        <f>Y87/X85</f>
        <v>0.10465116279069768</v>
      </c>
      <c r="AB87" s="13" t="s">
        <v>49</v>
      </c>
      <c r="AC87" s="19" t="s">
        <v>39</v>
      </c>
      <c r="AD87" s="7" t="s">
        <v>21</v>
      </c>
      <c r="AE87" s="16"/>
    </row>
    <row r="88" spans="1:31" x14ac:dyDescent="0.2">
      <c r="A88">
        <v>289</v>
      </c>
      <c r="B88" s="8">
        <v>46197</v>
      </c>
      <c r="C88" s="9">
        <v>0.6178703703703704</v>
      </c>
      <c r="D88" s="7" t="s">
        <v>24</v>
      </c>
      <c r="E88" s="13" t="s">
        <v>37</v>
      </c>
      <c r="F88" s="16">
        <v>69.681400400000001</v>
      </c>
      <c r="G88" s="129">
        <v>2157.5681199999999</v>
      </c>
      <c r="H88" s="22">
        <v>0</v>
      </c>
      <c r="I88" s="19"/>
      <c r="J88" s="7" t="s">
        <v>21</v>
      </c>
      <c r="K88" s="16"/>
      <c r="L88" s="16"/>
      <c r="M88" s="16"/>
      <c r="N88" s="16"/>
      <c r="O88" s="16"/>
      <c r="P88" s="175"/>
      <c r="Q88" s="16"/>
      <c r="R88" s="16"/>
      <c r="S88" s="13" t="s">
        <v>35</v>
      </c>
      <c r="T88" s="22">
        <v>0</v>
      </c>
      <c r="U88" s="19"/>
      <c r="X88" t="s">
        <v>37</v>
      </c>
      <c r="Y88">
        <v>41</v>
      </c>
      <c r="Z88" s="5">
        <f>Y88/X85</f>
        <v>0.23837209302325582</v>
      </c>
      <c r="AB88" s="13" t="s">
        <v>49</v>
      </c>
      <c r="AC88" s="19"/>
      <c r="AD88" s="7" t="s">
        <v>22</v>
      </c>
      <c r="AE88" s="16"/>
    </row>
    <row r="89" spans="1:31" x14ac:dyDescent="0.2">
      <c r="A89">
        <v>290</v>
      </c>
      <c r="B89" s="8">
        <v>46197</v>
      </c>
      <c r="C89" s="9">
        <v>0.61805555555555558</v>
      </c>
      <c r="D89" s="7" t="s">
        <v>24</v>
      </c>
      <c r="E89" s="13" t="s">
        <v>33</v>
      </c>
      <c r="F89" s="16">
        <v>84.227470400000001</v>
      </c>
      <c r="G89" s="129">
        <v>2270.0783700000002</v>
      </c>
      <c r="H89" s="22">
        <v>1</v>
      </c>
      <c r="I89" s="19" t="s">
        <v>38</v>
      </c>
      <c r="J89" s="7" t="s">
        <v>21</v>
      </c>
      <c r="K89" s="16"/>
      <c r="L89" s="16">
        <v>-48.715541999999999</v>
      </c>
      <c r="M89" s="16"/>
      <c r="N89" s="16">
        <v>66.082342600000004</v>
      </c>
      <c r="O89" s="16">
        <v>9</v>
      </c>
      <c r="P89" s="175"/>
      <c r="Q89" s="16"/>
      <c r="R89" s="16"/>
      <c r="S89" s="13" t="s">
        <v>33</v>
      </c>
      <c r="T89" s="22">
        <v>1</v>
      </c>
      <c r="U89" s="19"/>
      <c r="X89" t="s">
        <v>35</v>
      </c>
      <c r="Y89">
        <v>11</v>
      </c>
      <c r="Z89" s="5">
        <f>Y89/X85</f>
        <v>6.3953488372093026E-2</v>
      </c>
      <c r="AB89" s="13" t="s">
        <v>49</v>
      </c>
      <c r="AC89" s="19"/>
      <c r="AD89" s="7" t="s">
        <v>19</v>
      </c>
      <c r="AE89" s="16"/>
    </row>
    <row r="90" spans="1:31" x14ac:dyDescent="0.2">
      <c r="A90">
        <v>291</v>
      </c>
      <c r="B90" s="8">
        <v>46197</v>
      </c>
      <c r="C90" s="9">
        <v>0.61832175925925925</v>
      </c>
      <c r="D90" s="7" t="s">
        <v>24</v>
      </c>
      <c r="E90" s="13" t="s">
        <v>37</v>
      </c>
      <c r="F90" s="16">
        <v>71.0153198</v>
      </c>
      <c r="G90" s="129">
        <v>2129.96045</v>
      </c>
      <c r="H90" s="22">
        <v>0</v>
      </c>
      <c r="I90" s="19"/>
      <c r="J90" s="7" t="s">
        <v>21</v>
      </c>
      <c r="K90" s="16"/>
      <c r="L90" s="16"/>
      <c r="M90" s="16"/>
      <c r="N90" s="16"/>
      <c r="O90" s="16"/>
      <c r="P90" s="175"/>
      <c r="Q90" s="16"/>
      <c r="R90" s="16"/>
      <c r="S90" s="13" t="s">
        <v>33</v>
      </c>
      <c r="T90" s="22">
        <v>0</v>
      </c>
      <c r="U90" s="19"/>
      <c r="AB90" s="13" t="s">
        <v>49</v>
      </c>
      <c r="AC90" s="19"/>
      <c r="AD90" s="7" t="s">
        <v>27</v>
      </c>
      <c r="AE90" s="16"/>
    </row>
    <row r="91" spans="1:31" x14ac:dyDescent="0.2">
      <c r="A91">
        <v>292</v>
      </c>
      <c r="B91" s="8">
        <v>46197</v>
      </c>
      <c r="C91" s="9">
        <v>0.61851851851851847</v>
      </c>
      <c r="D91" s="7" t="s">
        <v>24</v>
      </c>
      <c r="E91" s="13" t="s">
        <v>33</v>
      </c>
      <c r="F91" s="16">
        <v>84.608590199999995</v>
      </c>
      <c r="G91" s="129">
        <v>2150.5063500000001</v>
      </c>
      <c r="H91" s="22">
        <v>1</v>
      </c>
      <c r="I91" s="19" t="s">
        <v>38</v>
      </c>
      <c r="J91" s="7" t="s">
        <v>21</v>
      </c>
      <c r="K91" s="16">
        <v>40.306673600000003</v>
      </c>
      <c r="L91" s="16">
        <v>-53.714995999999999</v>
      </c>
      <c r="M91" s="16">
        <v>3.54410267</v>
      </c>
      <c r="N91" s="16">
        <v>67.796212699999998</v>
      </c>
      <c r="O91" s="16">
        <v>7</v>
      </c>
      <c r="P91" s="175">
        <v>0.39640953000000001</v>
      </c>
      <c r="Q91" s="16"/>
      <c r="R91" s="16"/>
      <c r="S91" s="13" t="s">
        <v>33</v>
      </c>
      <c r="T91" s="22">
        <v>1</v>
      </c>
      <c r="U91" s="19" t="s">
        <v>38</v>
      </c>
      <c r="AB91" s="13" t="s">
        <v>49</v>
      </c>
      <c r="AC91" s="19"/>
      <c r="AD91" s="7" t="s">
        <v>27</v>
      </c>
      <c r="AE91" s="16"/>
    </row>
    <row r="92" spans="1:31" x14ac:dyDescent="0.2">
      <c r="A92">
        <v>293</v>
      </c>
      <c r="B92" s="8">
        <v>46197</v>
      </c>
      <c r="C92" s="9">
        <v>0.61890046296296297</v>
      </c>
      <c r="D92" s="7" t="s">
        <v>24</v>
      </c>
      <c r="E92" s="13" t="s">
        <v>33</v>
      </c>
      <c r="F92" s="16">
        <v>83.338196400000001</v>
      </c>
      <c r="G92" s="129">
        <v>2144.1589399999998</v>
      </c>
      <c r="H92" s="22">
        <v>1</v>
      </c>
      <c r="I92" s="19" t="s">
        <v>255</v>
      </c>
      <c r="J92" s="7" t="s">
        <v>21</v>
      </c>
      <c r="K92" s="16">
        <v>66.701642199999995</v>
      </c>
      <c r="L92" s="16">
        <v>-14.034611</v>
      </c>
      <c r="M92" s="16">
        <v>17.451578099999999</v>
      </c>
      <c r="N92" s="16">
        <v>61.867906699999999</v>
      </c>
      <c r="O92" s="16">
        <v>14</v>
      </c>
      <c r="P92" s="175">
        <v>0.70680799999999999</v>
      </c>
      <c r="Q92" s="16"/>
      <c r="R92" s="16"/>
      <c r="S92" s="13" t="s">
        <v>33</v>
      </c>
      <c r="T92" s="22">
        <v>1</v>
      </c>
      <c r="U92" s="19" t="s">
        <v>38</v>
      </c>
      <c r="AB92" s="13" t="s">
        <v>49</v>
      </c>
      <c r="AC92" s="19"/>
      <c r="AD92" s="7" t="s">
        <v>21</v>
      </c>
      <c r="AE92" s="16"/>
    </row>
    <row r="93" spans="1:31" x14ac:dyDescent="0.2">
      <c r="A93">
        <v>294</v>
      </c>
      <c r="B93" s="8">
        <v>46197</v>
      </c>
      <c r="C93" s="9">
        <v>0.61931712962962959</v>
      </c>
      <c r="D93" s="7" t="s">
        <v>24</v>
      </c>
      <c r="E93" s="13" t="s">
        <v>33</v>
      </c>
      <c r="F93" s="16">
        <v>83.909872100000001</v>
      </c>
      <c r="G93" s="129">
        <v>2218.7048300000001</v>
      </c>
      <c r="H93" s="22">
        <v>1</v>
      </c>
      <c r="I93" s="19" t="s">
        <v>39</v>
      </c>
      <c r="J93" s="7" t="s">
        <v>27</v>
      </c>
      <c r="K93" s="16"/>
      <c r="L93" s="16"/>
      <c r="M93" s="16"/>
      <c r="N93" s="16">
        <v>66.925229900000005</v>
      </c>
      <c r="O93" s="16"/>
      <c r="P93" s="175"/>
      <c r="Q93" s="16"/>
      <c r="R93" s="16"/>
      <c r="S93" s="13" t="s">
        <v>33</v>
      </c>
      <c r="T93" s="22">
        <v>1</v>
      </c>
      <c r="U93" s="19" t="s">
        <v>40</v>
      </c>
      <c r="AB93" s="13" t="s">
        <v>49</v>
      </c>
      <c r="AC93" s="19"/>
      <c r="AD93" s="7" t="s">
        <v>23</v>
      </c>
      <c r="AE93" s="16"/>
    </row>
    <row r="94" spans="1:31" x14ac:dyDescent="0.2">
      <c r="A94">
        <v>295</v>
      </c>
      <c r="B94" s="8">
        <v>46197</v>
      </c>
      <c r="C94" s="9">
        <v>0.61956018518518519</v>
      </c>
      <c r="D94" s="7" t="s">
        <v>24</v>
      </c>
      <c r="E94" s="13" t="s">
        <v>37</v>
      </c>
      <c r="F94" s="16">
        <v>71.332922400000001</v>
      </c>
      <c r="G94" s="129">
        <v>2218.5173300000001</v>
      </c>
      <c r="H94" s="22">
        <v>0</v>
      </c>
      <c r="I94" s="19"/>
      <c r="J94" s="7" t="s">
        <v>27</v>
      </c>
      <c r="K94" s="16"/>
      <c r="L94" s="16"/>
      <c r="M94" s="16"/>
      <c r="N94" s="16"/>
      <c r="O94" s="16"/>
      <c r="P94" s="175"/>
      <c r="Q94" s="16"/>
      <c r="R94" s="16"/>
      <c r="S94" s="13" t="s">
        <v>33</v>
      </c>
      <c r="T94" s="22">
        <v>1</v>
      </c>
      <c r="U94" s="19" t="s">
        <v>39</v>
      </c>
      <c r="AB94" s="13" t="s">
        <v>49</v>
      </c>
      <c r="AC94" s="19"/>
      <c r="AD94" s="7" t="s">
        <v>22</v>
      </c>
      <c r="AE94" s="16"/>
    </row>
    <row r="95" spans="1:31" x14ac:dyDescent="0.2">
      <c r="A95">
        <v>296</v>
      </c>
      <c r="B95" s="8">
        <v>46197</v>
      </c>
      <c r="C95" s="9">
        <v>0.61982638888888886</v>
      </c>
      <c r="D95" s="7" t="s">
        <v>24</v>
      </c>
      <c r="E95" s="13" t="s">
        <v>37</v>
      </c>
      <c r="F95" s="16">
        <v>71.3964395</v>
      </c>
      <c r="G95" s="129">
        <v>2225.7854000000002</v>
      </c>
      <c r="H95" s="22">
        <v>1</v>
      </c>
      <c r="I95" s="19" t="s">
        <v>254</v>
      </c>
      <c r="J95" s="7" t="s">
        <v>27</v>
      </c>
      <c r="K95" s="16">
        <v>70.877345800000001</v>
      </c>
      <c r="L95" s="16">
        <v>23.564739200000002</v>
      </c>
      <c r="M95" s="16">
        <v>-17.705020999999999</v>
      </c>
      <c r="N95" s="16">
        <v>67.430960499999998</v>
      </c>
      <c r="O95" s="16">
        <v>199</v>
      </c>
      <c r="P95" s="175">
        <v>0.72384117000000003</v>
      </c>
      <c r="Q95" s="16"/>
      <c r="R95" s="16"/>
      <c r="S95" s="13" t="s">
        <v>33</v>
      </c>
      <c r="T95" s="22">
        <v>1</v>
      </c>
      <c r="U95" s="19" t="s">
        <v>40</v>
      </c>
      <c r="AB95" s="13" t="s">
        <v>49</v>
      </c>
      <c r="AC95" s="19"/>
      <c r="AD95" s="7" t="s">
        <v>21</v>
      </c>
      <c r="AE95" s="16"/>
    </row>
    <row r="96" spans="1:31" x14ac:dyDescent="0.2">
      <c r="A96">
        <v>297</v>
      </c>
      <c r="B96" s="8">
        <v>46197</v>
      </c>
      <c r="C96" s="9">
        <v>0.62033564814814812</v>
      </c>
      <c r="D96" s="7" t="s">
        <v>24</v>
      </c>
      <c r="E96" s="13" t="s">
        <v>33</v>
      </c>
      <c r="F96" s="16">
        <v>84.148077099999995</v>
      </c>
      <c r="G96" s="129">
        <v>1096.6944599999999</v>
      </c>
      <c r="H96" s="22">
        <v>1</v>
      </c>
      <c r="I96" s="19" t="s">
        <v>254</v>
      </c>
      <c r="J96" s="7" t="s">
        <v>29</v>
      </c>
      <c r="K96" s="16">
        <v>74.240446899999995</v>
      </c>
      <c r="L96" s="16">
        <v>27.607896799999999</v>
      </c>
      <c r="M96" s="16">
        <v>17.356590300000001</v>
      </c>
      <c r="N96" s="16">
        <v>65.9418601</v>
      </c>
      <c r="O96" s="16">
        <v>231</v>
      </c>
      <c r="P96" s="175">
        <v>0.75079834000000001</v>
      </c>
      <c r="Q96" s="16"/>
      <c r="R96" s="16"/>
      <c r="S96" s="13" t="s">
        <v>33</v>
      </c>
      <c r="T96" s="22">
        <v>0</v>
      </c>
      <c r="U96" s="19"/>
      <c r="AB96" s="13" t="s">
        <v>49</v>
      </c>
      <c r="AC96" s="19"/>
      <c r="AD96" s="7" t="s">
        <v>20</v>
      </c>
      <c r="AE96" s="16"/>
    </row>
    <row r="97" spans="1:31" x14ac:dyDescent="0.2">
      <c r="A97">
        <v>298</v>
      </c>
      <c r="B97" s="8">
        <v>46197</v>
      </c>
      <c r="C97" s="9">
        <v>0.62086805555555558</v>
      </c>
      <c r="D97" s="7" t="s">
        <v>24</v>
      </c>
      <c r="E97" s="13" t="s">
        <v>35</v>
      </c>
      <c r="F97" s="16">
        <v>73.603756700000005</v>
      </c>
      <c r="G97" s="129">
        <v>1280.0640900000001</v>
      </c>
      <c r="H97" s="22">
        <v>0</v>
      </c>
      <c r="I97" s="19"/>
      <c r="J97" s="7" t="s">
        <v>22</v>
      </c>
      <c r="K97" s="16"/>
      <c r="L97" s="16"/>
      <c r="M97" s="16"/>
      <c r="N97" s="16"/>
      <c r="O97" s="16"/>
      <c r="P97" s="175"/>
      <c r="Q97" s="16"/>
      <c r="R97" s="16"/>
      <c r="S97" s="13" t="s">
        <v>33</v>
      </c>
      <c r="T97" s="22">
        <v>1</v>
      </c>
      <c r="U97" s="19" t="s">
        <v>38</v>
      </c>
      <c r="AB97" s="13" t="s">
        <v>49</v>
      </c>
      <c r="AC97" s="19"/>
      <c r="AD97" s="7" t="s">
        <v>21</v>
      </c>
      <c r="AE97" s="16"/>
    </row>
    <row r="98" spans="1:31" x14ac:dyDescent="0.2">
      <c r="A98">
        <v>299</v>
      </c>
      <c r="B98" s="8">
        <v>46197</v>
      </c>
      <c r="C98" s="9">
        <v>0.62124999999999997</v>
      </c>
      <c r="D98" s="7" t="s">
        <v>24</v>
      </c>
      <c r="E98" s="13" t="s">
        <v>33</v>
      </c>
      <c r="F98" s="16">
        <v>82.830033900000004</v>
      </c>
      <c r="G98" s="129">
        <v>1127.23071</v>
      </c>
      <c r="H98" s="22">
        <v>0</v>
      </c>
      <c r="I98" s="19"/>
      <c r="J98" s="7" t="s">
        <v>22</v>
      </c>
      <c r="K98" s="16"/>
      <c r="L98" s="16"/>
      <c r="M98" s="16"/>
      <c r="N98" s="16"/>
      <c r="O98" s="16"/>
      <c r="P98" s="175"/>
      <c r="Q98" s="16"/>
      <c r="R98" s="16"/>
      <c r="S98" s="13" t="s">
        <v>33</v>
      </c>
      <c r="T98" s="22">
        <v>1</v>
      </c>
      <c r="U98" s="19" t="s">
        <v>40</v>
      </c>
      <c r="AB98" s="13" t="s">
        <v>49</v>
      </c>
      <c r="AC98" s="19"/>
      <c r="AD98" s="7" t="s">
        <v>19</v>
      </c>
      <c r="AE98" s="16"/>
    </row>
    <row r="99" spans="1:31" x14ac:dyDescent="0.2">
      <c r="A99">
        <v>300</v>
      </c>
      <c r="B99" s="8">
        <v>46197</v>
      </c>
      <c r="C99" s="9">
        <v>0.62151620370370375</v>
      </c>
      <c r="D99" s="7" t="s">
        <v>24</v>
      </c>
      <c r="E99" s="13" t="s">
        <v>49</v>
      </c>
      <c r="F99" s="16">
        <v>66.695963199999994</v>
      </c>
      <c r="G99" s="129">
        <v>1770.44849</v>
      </c>
      <c r="H99" s="22">
        <v>0</v>
      </c>
      <c r="I99" s="19"/>
      <c r="J99" s="7" t="s">
        <v>22</v>
      </c>
      <c r="K99" s="16"/>
      <c r="L99" s="16"/>
      <c r="M99" s="16"/>
      <c r="N99" s="16"/>
      <c r="O99" s="16"/>
      <c r="P99" s="175"/>
      <c r="Q99" s="16"/>
      <c r="R99" s="16"/>
      <c r="S99" s="13" t="s">
        <v>33</v>
      </c>
      <c r="T99" s="22">
        <v>1</v>
      </c>
      <c r="U99" s="19"/>
      <c r="AB99" s="13" t="s">
        <v>49</v>
      </c>
      <c r="AC99" s="19"/>
      <c r="AD99" s="7" t="s">
        <v>17</v>
      </c>
      <c r="AE99" s="16"/>
    </row>
    <row r="100" spans="1:31" x14ac:dyDescent="0.2">
      <c r="A100">
        <v>301</v>
      </c>
      <c r="B100" s="8">
        <v>46197</v>
      </c>
      <c r="C100" s="9">
        <v>0.62193287037037037</v>
      </c>
      <c r="D100" s="7" t="s">
        <v>24</v>
      </c>
      <c r="E100" s="13" t="s">
        <v>33</v>
      </c>
      <c r="F100" s="16">
        <v>81.416717199999994</v>
      </c>
      <c r="G100" s="129">
        <v>2211.5273400000001</v>
      </c>
      <c r="H100" s="22">
        <v>1</v>
      </c>
      <c r="I100" s="19" t="s">
        <v>38</v>
      </c>
      <c r="J100" s="7" t="s">
        <v>22</v>
      </c>
      <c r="K100" s="16"/>
      <c r="L100" s="16"/>
      <c r="M100" s="16"/>
      <c r="N100" s="16">
        <v>62.654602400000002</v>
      </c>
      <c r="O100" s="16"/>
      <c r="P100" s="175"/>
      <c r="Q100" s="16"/>
      <c r="R100" s="16"/>
      <c r="S100" s="13" t="s">
        <v>33</v>
      </c>
      <c r="T100" s="22">
        <v>1</v>
      </c>
      <c r="U100" s="19" t="s">
        <v>39</v>
      </c>
      <c r="AB100" s="10" t="s">
        <v>49</v>
      </c>
      <c r="AC100" s="17"/>
      <c r="AD100" t="s">
        <v>19</v>
      </c>
      <c r="AE100" s="11"/>
    </row>
    <row r="101" spans="1:31" x14ac:dyDescent="0.2">
      <c r="A101">
        <v>302</v>
      </c>
      <c r="B101" s="8">
        <v>46197</v>
      </c>
      <c r="C101" s="9">
        <v>0.62229166666666669</v>
      </c>
      <c r="D101" s="7" t="s">
        <v>24</v>
      </c>
      <c r="E101" s="13" t="s">
        <v>33</v>
      </c>
      <c r="F101" s="16">
        <v>81.940755199999998</v>
      </c>
      <c r="G101" s="129">
        <v>2157.8859900000002</v>
      </c>
      <c r="H101" s="22">
        <v>1</v>
      </c>
      <c r="I101" s="19" t="s">
        <v>255</v>
      </c>
      <c r="J101" s="7" t="s">
        <v>22</v>
      </c>
      <c r="K101" s="16">
        <v>59.5776976</v>
      </c>
      <c r="L101" s="16">
        <v>-18.233640999999999</v>
      </c>
      <c r="M101" s="16">
        <v>-13.201433</v>
      </c>
      <c r="N101" s="16">
        <v>63.834642000000002</v>
      </c>
      <c r="O101" s="16">
        <v>14</v>
      </c>
      <c r="P101" s="175">
        <v>0.61850391000000005</v>
      </c>
      <c r="Q101" s="16"/>
      <c r="R101" s="16"/>
      <c r="S101" s="13" t="s">
        <v>33</v>
      </c>
      <c r="T101" s="22">
        <v>1</v>
      </c>
      <c r="U101" s="19" t="s">
        <v>45</v>
      </c>
      <c r="AB101" s="10" t="s">
        <v>49</v>
      </c>
      <c r="AC101" s="17"/>
      <c r="AD101" t="s">
        <v>19</v>
      </c>
      <c r="AE101" s="11"/>
    </row>
    <row r="102" spans="1:31" x14ac:dyDescent="0.2">
      <c r="A102">
        <v>303</v>
      </c>
      <c r="B102" s="8">
        <v>46197</v>
      </c>
      <c r="C102" s="9">
        <v>0.62318287037037035</v>
      </c>
      <c r="D102" s="7" t="s">
        <v>24</v>
      </c>
      <c r="E102" s="13" t="s">
        <v>33</v>
      </c>
      <c r="F102" s="16">
        <v>82.321871400000006</v>
      </c>
      <c r="G102" s="129">
        <v>2111.8710900000001</v>
      </c>
      <c r="H102" s="22">
        <v>1</v>
      </c>
      <c r="I102" s="19"/>
      <c r="J102" s="7" t="s">
        <v>19</v>
      </c>
      <c r="K102" s="16"/>
      <c r="L102" s="16"/>
      <c r="M102" s="16"/>
      <c r="N102" s="16"/>
      <c r="O102" s="16"/>
      <c r="P102" s="175"/>
      <c r="Q102" s="16"/>
      <c r="R102" s="16"/>
      <c r="S102" s="13" t="s">
        <v>37</v>
      </c>
      <c r="T102" s="22">
        <v>0</v>
      </c>
      <c r="U102" s="19"/>
      <c r="AB102" s="10" t="s">
        <v>49</v>
      </c>
      <c r="AC102" s="17"/>
      <c r="AD102" t="s">
        <v>17</v>
      </c>
      <c r="AE102" s="11"/>
    </row>
    <row r="103" spans="1:31" x14ac:dyDescent="0.2">
      <c r="A103">
        <v>304</v>
      </c>
      <c r="B103" s="8">
        <v>46197</v>
      </c>
      <c r="C103" s="9">
        <v>0.62343749999999998</v>
      </c>
      <c r="D103" s="7" t="s">
        <v>24</v>
      </c>
      <c r="E103" s="13" t="s">
        <v>37</v>
      </c>
      <c r="F103" s="16">
        <v>71.269401000000002</v>
      </c>
      <c r="G103" s="129">
        <v>2420.5227100000002</v>
      </c>
      <c r="H103" s="22">
        <v>0</v>
      </c>
      <c r="I103" s="19"/>
      <c r="J103" s="7" t="s">
        <v>19</v>
      </c>
      <c r="K103" s="16"/>
      <c r="L103" s="16"/>
      <c r="M103" s="16"/>
      <c r="N103" s="16"/>
      <c r="O103" s="16"/>
      <c r="P103" s="175"/>
      <c r="Q103" s="16"/>
      <c r="R103" s="16"/>
      <c r="S103" s="13" t="s">
        <v>37</v>
      </c>
      <c r="T103" s="22">
        <v>0</v>
      </c>
      <c r="U103" s="19"/>
      <c r="AB103" s="10" t="s">
        <v>49</v>
      </c>
      <c r="AC103" s="17"/>
      <c r="AD103" t="s">
        <v>20</v>
      </c>
      <c r="AE103" s="11"/>
    </row>
    <row r="104" spans="1:31" x14ac:dyDescent="0.2">
      <c r="A104">
        <v>305</v>
      </c>
      <c r="B104" s="8">
        <v>46197</v>
      </c>
      <c r="C104" s="9">
        <v>0.62362268518518515</v>
      </c>
      <c r="D104" s="7" t="s">
        <v>24</v>
      </c>
      <c r="E104" s="13" t="s">
        <v>49</v>
      </c>
      <c r="F104" s="16">
        <v>68.919160700000006</v>
      </c>
      <c r="G104" s="129">
        <v>2334.4511699999998</v>
      </c>
      <c r="H104" s="22">
        <v>0</v>
      </c>
      <c r="I104" s="19"/>
      <c r="J104" s="7" t="s">
        <v>19</v>
      </c>
      <c r="K104" s="16"/>
      <c r="L104" s="16"/>
      <c r="M104" s="16"/>
      <c r="N104" s="16"/>
      <c r="O104" s="16"/>
      <c r="P104" s="175"/>
      <c r="Q104" s="16"/>
      <c r="R104" s="16"/>
      <c r="S104" s="13" t="s">
        <v>37</v>
      </c>
      <c r="T104" s="22">
        <v>0</v>
      </c>
      <c r="U104" s="19"/>
      <c r="AB104" s="13" t="s">
        <v>35</v>
      </c>
      <c r="AC104" s="19" t="s">
        <v>38</v>
      </c>
      <c r="AD104" s="7" t="s">
        <v>29</v>
      </c>
      <c r="AE104" s="16"/>
    </row>
    <row r="105" spans="1:31" x14ac:dyDescent="0.2">
      <c r="A105">
        <v>306</v>
      </c>
      <c r="B105" s="8">
        <v>46197</v>
      </c>
      <c r="C105" s="9">
        <v>0.62380787037037033</v>
      </c>
      <c r="D105" s="7" t="s">
        <v>24</v>
      </c>
      <c r="E105" s="13" t="s">
        <v>33</v>
      </c>
      <c r="F105" s="16">
        <v>82.575956899999994</v>
      </c>
      <c r="G105" s="129">
        <v>750.03729199999998</v>
      </c>
      <c r="H105" s="22">
        <v>1</v>
      </c>
      <c r="I105" s="19" t="s">
        <v>39</v>
      </c>
      <c r="J105" s="7" t="s">
        <v>19</v>
      </c>
      <c r="K105" s="16"/>
      <c r="L105" s="16"/>
      <c r="M105" s="16"/>
      <c r="N105" s="16">
        <v>61.0812107</v>
      </c>
      <c r="O105" s="16"/>
      <c r="P105" s="175"/>
      <c r="Q105" s="16"/>
      <c r="R105" s="16"/>
      <c r="S105" s="13" t="s">
        <v>37</v>
      </c>
      <c r="T105" s="22">
        <v>1</v>
      </c>
      <c r="U105" s="19" t="s">
        <v>40</v>
      </c>
      <c r="AB105" s="13" t="s">
        <v>35</v>
      </c>
      <c r="AC105" s="19" t="s">
        <v>45</v>
      </c>
      <c r="AD105" s="7" t="s">
        <v>20</v>
      </c>
      <c r="AE105" s="16"/>
    </row>
    <row r="106" spans="1:31" s="155" customFormat="1" x14ac:dyDescent="0.2">
      <c r="A106" s="155">
        <v>307</v>
      </c>
      <c r="B106" s="163">
        <v>46197</v>
      </c>
      <c r="C106" s="164">
        <v>0.62413194444444442</v>
      </c>
      <c r="D106" s="165" t="s">
        <v>24</v>
      </c>
      <c r="E106" s="166" t="s">
        <v>33</v>
      </c>
      <c r="F106" s="167">
        <v>83.211153699999997</v>
      </c>
      <c r="G106" s="168">
        <v>2250.7722199999998</v>
      </c>
      <c r="H106" s="169">
        <v>1</v>
      </c>
      <c r="I106" s="170" t="s">
        <v>45</v>
      </c>
      <c r="J106" s="165" t="s">
        <v>19</v>
      </c>
      <c r="K106" s="167"/>
      <c r="L106" s="167"/>
      <c r="M106" s="167"/>
      <c r="N106" s="167">
        <v>63.1041417</v>
      </c>
      <c r="O106" s="167"/>
      <c r="P106" s="176"/>
      <c r="Q106" s="167"/>
      <c r="R106" s="167"/>
      <c r="S106" s="166" t="s">
        <v>37</v>
      </c>
      <c r="T106" s="169">
        <v>0</v>
      </c>
      <c r="U106" s="170"/>
      <c r="AB106" s="166" t="s">
        <v>35</v>
      </c>
      <c r="AC106" s="170"/>
      <c r="AD106" s="165" t="s">
        <v>22</v>
      </c>
      <c r="AE106" s="167"/>
    </row>
    <row r="107" spans="1:31" x14ac:dyDescent="0.2">
      <c r="A107">
        <v>385</v>
      </c>
      <c r="B107" s="8">
        <v>46200</v>
      </c>
      <c r="C107" s="9">
        <v>0.76465277777777774</v>
      </c>
      <c r="D107" s="7" t="s">
        <v>24</v>
      </c>
      <c r="E107" s="13" t="s">
        <v>33</v>
      </c>
      <c r="F107" s="16">
        <v>82.734751900000006</v>
      </c>
      <c r="G107" s="129">
        <v>1042.2207000000001</v>
      </c>
      <c r="H107" s="22">
        <v>1</v>
      </c>
      <c r="I107" s="19"/>
      <c r="J107" s="7" t="s">
        <v>27</v>
      </c>
      <c r="K107" s="16"/>
      <c r="L107" s="16"/>
      <c r="M107" s="16"/>
      <c r="N107" s="16"/>
      <c r="O107" s="16"/>
      <c r="P107" s="175"/>
      <c r="Q107" s="16"/>
      <c r="R107" s="16"/>
      <c r="S107" s="13" t="s">
        <v>49</v>
      </c>
      <c r="T107" s="22">
        <v>1</v>
      </c>
      <c r="U107" s="19"/>
      <c r="AB107" s="13" t="s">
        <v>35</v>
      </c>
      <c r="AC107" s="19"/>
      <c r="AD107" s="7" t="s">
        <v>29</v>
      </c>
      <c r="AE107" s="16"/>
    </row>
    <row r="108" spans="1:31" x14ac:dyDescent="0.2">
      <c r="A108">
        <v>386</v>
      </c>
      <c r="B108" s="8">
        <v>46200</v>
      </c>
      <c r="C108" s="9">
        <v>0.76484953703703706</v>
      </c>
      <c r="D108" s="7" t="s">
        <v>24</v>
      </c>
      <c r="E108" s="13" t="s">
        <v>33</v>
      </c>
      <c r="F108" s="16">
        <v>82.2583585</v>
      </c>
      <c r="G108" s="129">
        <v>2117.9523899999999</v>
      </c>
      <c r="H108" s="22">
        <v>0</v>
      </c>
      <c r="I108" s="19"/>
      <c r="J108" s="7" t="s">
        <v>27</v>
      </c>
      <c r="K108" s="16"/>
      <c r="L108" s="16"/>
      <c r="M108" s="16"/>
      <c r="N108" s="16"/>
      <c r="O108" s="16"/>
      <c r="P108" s="175"/>
      <c r="Q108" s="16"/>
      <c r="R108" s="16"/>
      <c r="S108" s="13" t="s">
        <v>49</v>
      </c>
      <c r="T108" s="22">
        <v>0</v>
      </c>
      <c r="U108" s="19"/>
      <c r="AB108" s="13" t="s">
        <v>35</v>
      </c>
      <c r="AC108" s="19"/>
      <c r="AD108" s="7" t="s">
        <v>29</v>
      </c>
      <c r="AE108" s="16"/>
    </row>
    <row r="109" spans="1:31" x14ac:dyDescent="0.2">
      <c r="A109">
        <v>387</v>
      </c>
      <c r="B109" s="8">
        <v>46200</v>
      </c>
      <c r="C109" s="9">
        <v>0.76503472222222224</v>
      </c>
      <c r="D109" s="7" t="s">
        <v>24</v>
      </c>
      <c r="E109" s="13" t="s">
        <v>49</v>
      </c>
      <c r="F109" s="16">
        <v>68.331600600000002</v>
      </c>
      <c r="G109" s="129">
        <v>1840.8439900000001</v>
      </c>
      <c r="H109" s="22">
        <v>1</v>
      </c>
      <c r="I109" s="19"/>
      <c r="J109" s="7" t="s">
        <v>27</v>
      </c>
      <c r="K109" s="16"/>
      <c r="L109" s="16"/>
      <c r="M109" s="16"/>
      <c r="N109" s="16"/>
      <c r="O109" s="16"/>
      <c r="P109" s="175"/>
      <c r="Q109" s="16"/>
      <c r="R109" s="16"/>
      <c r="S109" s="13" t="s">
        <v>49</v>
      </c>
      <c r="T109" s="22">
        <v>0</v>
      </c>
      <c r="U109" s="19"/>
      <c r="AB109" s="13" t="s">
        <v>35</v>
      </c>
      <c r="AC109" s="19"/>
      <c r="AD109" s="7" t="s">
        <v>23</v>
      </c>
      <c r="AE109" s="16"/>
    </row>
    <row r="110" spans="1:31" x14ac:dyDescent="0.2">
      <c r="A110">
        <v>388</v>
      </c>
      <c r="B110" s="8">
        <v>46200</v>
      </c>
      <c r="C110" s="9">
        <v>0.76524305555555561</v>
      </c>
      <c r="D110" s="7" t="s">
        <v>24</v>
      </c>
      <c r="E110" s="13" t="s">
        <v>33</v>
      </c>
      <c r="F110" s="16">
        <v>84.338632700000005</v>
      </c>
      <c r="G110" s="129">
        <v>2215.09058</v>
      </c>
      <c r="H110" s="22">
        <v>1</v>
      </c>
      <c r="I110" s="19" t="s">
        <v>38</v>
      </c>
      <c r="J110" s="7" t="s">
        <v>27</v>
      </c>
      <c r="K110" s="16">
        <v>70.909503299999997</v>
      </c>
      <c r="L110" s="16">
        <v>55.311222100000002</v>
      </c>
      <c r="M110" s="16"/>
      <c r="N110" s="16">
        <v>66.194725399999996</v>
      </c>
      <c r="O110" s="16">
        <v>220</v>
      </c>
      <c r="P110" s="175">
        <v>0.71038628000000004</v>
      </c>
      <c r="Q110" s="16"/>
      <c r="R110" s="16"/>
      <c r="S110" s="13" t="s">
        <v>49</v>
      </c>
      <c r="T110" s="22">
        <v>0</v>
      </c>
      <c r="U110" s="19"/>
      <c r="AB110" s="13" t="s">
        <v>35</v>
      </c>
      <c r="AC110" s="19"/>
      <c r="AD110" s="7" t="s">
        <v>19</v>
      </c>
      <c r="AE110" s="16"/>
    </row>
    <row r="111" spans="1:31" x14ac:dyDescent="0.2">
      <c r="A111">
        <v>389</v>
      </c>
      <c r="B111" s="8">
        <v>46200</v>
      </c>
      <c r="C111" s="9">
        <v>0.76548611111111109</v>
      </c>
      <c r="D111" s="7" t="s">
        <v>24</v>
      </c>
      <c r="E111" s="13" t="s">
        <v>49</v>
      </c>
      <c r="F111" s="16">
        <v>67.394681399999996</v>
      </c>
      <c r="G111" s="129">
        <v>1493.48425</v>
      </c>
      <c r="H111" s="22">
        <v>0</v>
      </c>
      <c r="I111" s="19"/>
      <c r="J111" s="7" t="s">
        <v>27</v>
      </c>
      <c r="K111" s="16"/>
      <c r="L111" s="16"/>
      <c r="M111" s="16"/>
      <c r="N111" s="16"/>
      <c r="O111" s="16"/>
      <c r="P111" s="175"/>
      <c r="Q111" s="16"/>
      <c r="R111" s="16"/>
      <c r="S111" s="13" t="s">
        <v>35</v>
      </c>
      <c r="T111" s="22">
        <v>1</v>
      </c>
      <c r="U111" s="19"/>
      <c r="AB111" s="13" t="s">
        <v>35</v>
      </c>
      <c r="AC111" s="19"/>
      <c r="AD111" s="7" t="s">
        <v>20</v>
      </c>
      <c r="AE111" s="16"/>
    </row>
    <row r="112" spans="1:31" x14ac:dyDescent="0.2">
      <c r="A112">
        <v>390</v>
      </c>
      <c r="B112" s="8">
        <v>46200</v>
      </c>
      <c r="C112" s="9">
        <v>0.7658449074074074</v>
      </c>
      <c r="D112" s="7" t="s">
        <v>24</v>
      </c>
      <c r="E112" s="13" t="s">
        <v>33</v>
      </c>
      <c r="F112" s="16">
        <v>83.528756099999995</v>
      </c>
      <c r="G112" s="129">
        <v>2214.28955</v>
      </c>
      <c r="H112" s="22">
        <v>1</v>
      </c>
      <c r="I112" s="19"/>
      <c r="J112" s="7" t="s">
        <v>21</v>
      </c>
      <c r="K112" s="16"/>
      <c r="L112" s="16"/>
      <c r="M112" s="16"/>
      <c r="N112" s="16"/>
      <c r="O112" s="16"/>
      <c r="P112" s="175"/>
      <c r="Q112" s="16"/>
      <c r="R112" s="16"/>
      <c r="S112" s="13" t="s">
        <v>35</v>
      </c>
      <c r="T112" s="22">
        <v>0</v>
      </c>
      <c r="U112" s="19"/>
      <c r="AB112" s="13" t="s">
        <v>35</v>
      </c>
      <c r="AC112" s="19"/>
      <c r="AD112" s="7" t="s">
        <v>17</v>
      </c>
      <c r="AE112" s="16"/>
    </row>
    <row r="113" spans="1:31" x14ac:dyDescent="0.2">
      <c r="A113">
        <v>391</v>
      </c>
      <c r="B113" s="8">
        <v>46200</v>
      </c>
      <c r="C113" s="9">
        <v>0.76603009259259258</v>
      </c>
      <c r="D113" s="7" t="s">
        <v>24</v>
      </c>
      <c r="E113" s="13" t="s">
        <v>49</v>
      </c>
      <c r="F113" s="16">
        <v>67.966361300000003</v>
      </c>
      <c r="G113" s="129">
        <v>1440.53296</v>
      </c>
      <c r="H113" s="22">
        <v>0</v>
      </c>
      <c r="I113" s="19"/>
      <c r="J113" s="7" t="s">
        <v>21</v>
      </c>
      <c r="K113" s="16"/>
      <c r="L113" s="16"/>
      <c r="M113" s="16"/>
      <c r="N113" s="16"/>
      <c r="O113" s="16"/>
      <c r="P113" s="175"/>
      <c r="Q113" s="16"/>
      <c r="R113" s="16"/>
      <c r="S113" s="13" t="s">
        <v>35</v>
      </c>
      <c r="T113" s="22">
        <v>0</v>
      </c>
      <c r="U113" s="19"/>
      <c r="AB113" s="10" t="s">
        <v>35</v>
      </c>
      <c r="AC113" s="17"/>
      <c r="AD113" t="s">
        <v>20</v>
      </c>
      <c r="AE113" s="11"/>
    </row>
    <row r="114" spans="1:31" x14ac:dyDescent="0.2">
      <c r="A114">
        <v>392</v>
      </c>
      <c r="B114" s="8">
        <v>46200</v>
      </c>
      <c r="C114" s="9">
        <v>0.76621527777777776</v>
      </c>
      <c r="D114" s="7" t="s">
        <v>24</v>
      </c>
      <c r="E114" s="13" t="s">
        <v>33</v>
      </c>
      <c r="F114" s="16">
        <v>83.211153699999997</v>
      </c>
      <c r="G114" s="129">
        <v>1127.0896</v>
      </c>
      <c r="H114" s="22">
        <v>1</v>
      </c>
      <c r="I114" s="19" t="s">
        <v>38</v>
      </c>
      <c r="J114" s="7" t="s">
        <v>21</v>
      </c>
      <c r="K114" s="16">
        <v>82.075337599999997</v>
      </c>
      <c r="L114" s="16">
        <v>-39.431614000000003</v>
      </c>
      <c r="M114" s="16">
        <v>40.192627000000002</v>
      </c>
      <c r="N114" s="16">
        <v>66.222821100000004</v>
      </c>
      <c r="O114" s="16">
        <v>6</v>
      </c>
      <c r="P114" s="175">
        <v>0.82924065000000002</v>
      </c>
      <c r="Q114" s="16"/>
      <c r="R114" s="16"/>
      <c r="S114" s="13" t="s">
        <v>33</v>
      </c>
      <c r="T114" s="22">
        <v>1</v>
      </c>
      <c r="U114" s="19"/>
      <c r="AB114" s="10" t="s">
        <v>35</v>
      </c>
      <c r="AC114" s="17"/>
      <c r="AD114" t="s">
        <v>20</v>
      </c>
      <c r="AE114" s="11"/>
    </row>
    <row r="115" spans="1:31" x14ac:dyDescent="0.2">
      <c r="A115">
        <v>393</v>
      </c>
      <c r="B115" s="8">
        <v>46200</v>
      </c>
      <c r="C115" s="9">
        <v>0.76656250000000004</v>
      </c>
      <c r="D115" s="7" t="s">
        <v>24</v>
      </c>
      <c r="E115" s="13" t="s">
        <v>37</v>
      </c>
      <c r="F115" s="16">
        <v>69.109720499999995</v>
      </c>
      <c r="G115" s="129">
        <v>2277.82593</v>
      </c>
      <c r="H115" s="22">
        <v>0</v>
      </c>
      <c r="I115" s="19"/>
      <c r="J115" s="7" t="s">
        <v>21</v>
      </c>
      <c r="K115" s="16"/>
      <c r="L115" s="16"/>
      <c r="M115" s="16"/>
      <c r="N115" s="16"/>
      <c r="O115" s="16"/>
      <c r="P115" s="175"/>
      <c r="Q115" s="16"/>
      <c r="R115" s="16"/>
      <c r="S115" s="13" t="s">
        <v>33</v>
      </c>
      <c r="T115" s="22">
        <v>0</v>
      </c>
      <c r="U115" s="19"/>
      <c r="AB115" s="13" t="s">
        <v>33</v>
      </c>
      <c r="AC115" s="19" t="s">
        <v>48</v>
      </c>
      <c r="AD115" s="7" t="s">
        <v>21</v>
      </c>
      <c r="AE115" s="16"/>
    </row>
    <row r="116" spans="1:31" x14ac:dyDescent="0.2">
      <c r="A116">
        <v>394</v>
      </c>
      <c r="B116" s="8">
        <v>46200</v>
      </c>
      <c r="C116" s="9">
        <v>0.76680555555555552</v>
      </c>
      <c r="D116" s="7" t="s">
        <v>24</v>
      </c>
      <c r="E116" s="13" t="s">
        <v>33</v>
      </c>
      <c r="F116" s="16">
        <v>83.909872100000001</v>
      </c>
      <c r="G116" s="129">
        <v>1130.6803</v>
      </c>
      <c r="H116" s="22">
        <v>1</v>
      </c>
      <c r="I116" s="19" t="s">
        <v>40</v>
      </c>
      <c r="J116" s="7" t="s">
        <v>21</v>
      </c>
      <c r="K116" s="16">
        <v>90.070192500000005</v>
      </c>
      <c r="L116" s="16">
        <v>18.940935100000001</v>
      </c>
      <c r="M116" s="16">
        <v>2.3064459999999998E-2</v>
      </c>
      <c r="N116" s="16">
        <v>62.261254399999999</v>
      </c>
      <c r="O116" s="16">
        <v>254</v>
      </c>
      <c r="P116" s="175">
        <v>0.95324843999999997</v>
      </c>
      <c r="Q116" s="16"/>
      <c r="R116" s="16"/>
      <c r="S116" s="13" t="s">
        <v>33</v>
      </c>
      <c r="T116" s="22">
        <v>1</v>
      </c>
      <c r="U116" s="19" t="s">
        <v>38</v>
      </c>
      <c r="AB116" s="13" t="s">
        <v>33</v>
      </c>
      <c r="AC116" s="19" t="s">
        <v>48</v>
      </c>
      <c r="AD116" s="7" t="s">
        <v>17</v>
      </c>
      <c r="AE116" s="16"/>
    </row>
    <row r="117" spans="1:31" x14ac:dyDescent="0.2">
      <c r="A117">
        <v>395</v>
      </c>
      <c r="B117" s="8">
        <v>46200</v>
      </c>
      <c r="C117" s="9">
        <v>0.76715277777777779</v>
      </c>
      <c r="D117" s="7" t="s">
        <v>24</v>
      </c>
      <c r="E117" s="13" t="s">
        <v>33</v>
      </c>
      <c r="F117" s="16">
        <v>82.385392800000005</v>
      </c>
      <c r="G117" s="129">
        <v>2271.0537100000001</v>
      </c>
      <c r="H117" s="22">
        <v>1</v>
      </c>
      <c r="I117" s="19" t="s">
        <v>40</v>
      </c>
      <c r="J117" s="7" t="s">
        <v>29</v>
      </c>
      <c r="K117" s="16">
        <v>84.582094600000005</v>
      </c>
      <c r="L117" s="16">
        <v>-15.621677</v>
      </c>
      <c r="M117" s="16">
        <v>7.7651524500000004</v>
      </c>
      <c r="N117" s="16">
        <v>55.855313299999999</v>
      </c>
      <c r="O117" s="16">
        <v>10</v>
      </c>
      <c r="P117" s="175">
        <v>0.97068947000000005</v>
      </c>
      <c r="Q117" s="16"/>
      <c r="R117" s="16"/>
      <c r="S117" s="13" t="s">
        <v>33</v>
      </c>
      <c r="T117" s="22">
        <v>1</v>
      </c>
      <c r="U117" s="19"/>
      <c r="AB117" s="13" t="s">
        <v>33</v>
      </c>
      <c r="AC117" s="19" t="s">
        <v>48</v>
      </c>
      <c r="AD117" s="7" t="s">
        <v>20</v>
      </c>
      <c r="AE117" s="16"/>
    </row>
    <row r="118" spans="1:31" x14ac:dyDescent="0.2">
      <c r="A118">
        <v>396</v>
      </c>
      <c r="B118" s="8">
        <v>46200</v>
      </c>
      <c r="C118" s="9">
        <v>0.76738425925925924</v>
      </c>
      <c r="D118" s="7" t="s">
        <v>24</v>
      </c>
      <c r="E118" s="13" t="s">
        <v>35</v>
      </c>
      <c r="F118" s="16">
        <v>76.446279200000006</v>
      </c>
      <c r="G118" s="129">
        <v>1529.8250700000001</v>
      </c>
      <c r="H118" s="22">
        <v>1</v>
      </c>
      <c r="I118" s="19"/>
      <c r="J118" s="7" t="s">
        <v>29</v>
      </c>
      <c r="K118" s="16"/>
      <c r="L118" s="16"/>
      <c r="M118" s="16"/>
      <c r="N118" s="16"/>
      <c r="O118" s="16"/>
      <c r="P118" s="175"/>
      <c r="Q118" s="16"/>
      <c r="R118" s="16"/>
      <c r="S118" s="13" t="s">
        <v>33</v>
      </c>
      <c r="T118" s="22">
        <v>1</v>
      </c>
      <c r="U118" s="19" t="s">
        <v>38</v>
      </c>
      <c r="AB118" s="13" t="s">
        <v>33</v>
      </c>
      <c r="AC118" s="19" t="s">
        <v>48</v>
      </c>
      <c r="AD118" s="7" t="s">
        <v>21</v>
      </c>
      <c r="AE118" s="16"/>
    </row>
    <row r="119" spans="1:31" x14ac:dyDescent="0.2">
      <c r="A119">
        <v>397</v>
      </c>
      <c r="B119" s="8">
        <v>46200</v>
      </c>
      <c r="C119" s="9">
        <v>0.76754629629629634</v>
      </c>
      <c r="D119" s="7" t="s">
        <v>24</v>
      </c>
      <c r="E119" s="13" t="s">
        <v>33</v>
      </c>
      <c r="F119" s="16">
        <v>84.926197099999996</v>
      </c>
      <c r="G119" s="129">
        <v>2205.1508800000001</v>
      </c>
      <c r="H119" s="22">
        <v>0</v>
      </c>
      <c r="I119" s="19"/>
      <c r="J119" s="7" t="s">
        <v>29</v>
      </c>
      <c r="K119" s="16"/>
      <c r="L119" s="16"/>
      <c r="M119" s="16"/>
      <c r="N119" s="16"/>
      <c r="O119" s="16"/>
      <c r="P119" s="175"/>
      <c r="Q119" s="16"/>
      <c r="R119" s="16"/>
      <c r="S119" s="13" t="s">
        <v>33</v>
      </c>
      <c r="T119" s="22">
        <v>1</v>
      </c>
      <c r="U119" s="19" t="s">
        <v>40</v>
      </c>
      <c r="AB119" s="10" t="s">
        <v>33</v>
      </c>
      <c r="AC119" s="17" t="s">
        <v>48</v>
      </c>
      <c r="AD119" t="s">
        <v>21</v>
      </c>
      <c r="AE119" s="11"/>
    </row>
    <row r="120" spans="1:31" x14ac:dyDescent="0.2">
      <c r="A120">
        <v>398</v>
      </c>
      <c r="B120" s="8">
        <v>46200</v>
      </c>
      <c r="C120" s="9">
        <v>0.76771990740740736</v>
      </c>
      <c r="D120" s="7" t="s">
        <v>24</v>
      </c>
      <c r="E120" s="13" t="s">
        <v>35</v>
      </c>
      <c r="F120" s="16">
        <v>78.510673100000005</v>
      </c>
      <c r="G120" s="129">
        <v>1584.1873800000001</v>
      </c>
      <c r="H120" s="22">
        <v>0</v>
      </c>
      <c r="I120" s="19"/>
      <c r="J120" s="7" t="s">
        <v>29</v>
      </c>
      <c r="K120" s="16"/>
      <c r="L120" s="16"/>
      <c r="M120" s="16"/>
      <c r="N120" s="16"/>
      <c r="O120" s="16"/>
      <c r="P120" s="175"/>
      <c r="Q120" s="16"/>
      <c r="R120" s="16"/>
      <c r="S120" s="13" t="s">
        <v>33</v>
      </c>
      <c r="T120" s="22">
        <v>1</v>
      </c>
      <c r="U120" s="19" t="s">
        <v>40</v>
      </c>
      <c r="AB120" s="10" t="s">
        <v>33</v>
      </c>
      <c r="AC120" s="17" t="s">
        <v>48</v>
      </c>
      <c r="AD120" t="s">
        <v>17</v>
      </c>
      <c r="AE120" s="11"/>
    </row>
    <row r="121" spans="1:31" x14ac:dyDescent="0.2">
      <c r="A121">
        <v>399</v>
      </c>
      <c r="B121" s="8">
        <v>46200</v>
      </c>
      <c r="C121" s="9">
        <v>0.76796296296296296</v>
      </c>
      <c r="D121" s="7" t="s">
        <v>24</v>
      </c>
      <c r="E121" s="13" t="s">
        <v>33</v>
      </c>
      <c r="F121" s="16">
        <v>84.148077099999995</v>
      </c>
      <c r="G121" s="129">
        <v>2105.5153799999998</v>
      </c>
      <c r="H121" s="22">
        <v>1</v>
      </c>
      <c r="I121" s="19" t="s">
        <v>40</v>
      </c>
      <c r="J121" s="7" t="s">
        <v>29</v>
      </c>
      <c r="K121" s="16">
        <v>86.359234200000003</v>
      </c>
      <c r="L121" s="16">
        <v>49.355068199999998</v>
      </c>
      <c r="M121" s="16">
        <v>4.4596352599999998</v>
      </c>
      <c r="N121" s="16">
        <v>65.183264100000002</v>
      </c>
      <c r="O121" s="16">
        <v>311</v>
      </c>
      <c r="P121" s="175">
        <v>0.87689055999999999</v>
      </c>
      <c r="Q121" s="16"/>
      <c r="R121" s="16"/>
      <c r="S121" s="13" t="s">
        <v>33</v>
      </c>
      <c r="T121" s="22">
        <v>0</v>
      </c>
      <c r="U121" s="19"/>
      <c r="AB121" s="13" t="s">
        <v>33</v>
      </c>
      <c r="AC121" s="19" t="s">
        <v>42</v>
      </c>
      <c r="AD121" s="7" t="s">
        <v>19</v>
      </c>
      <c r="AE121" s="16"/>
    </row>
    <row r="122" spans="1:31" x14ac:dyDescent="0.2">
      <c r="A122">
        <v>400</v>
      </c>
      <c r="B122" s="8">
        <v>46200</v>
      </c>
      <c r="C122" s="9">
        <v>0.76849537037037041</v>
      </c>
      <c r="D122" s="7" t="s">
        <v>24</v>
      </c>
      <c r="E122" s="13" t="s">
        <v>33</v>
      </c>
      <c r="F122" s="16">
        <v>83.385837600000002</v>
      </c>
      <c r="G122" s="129">
        <v>2117.87842</v>
      </c>
      <c r="H122" s="22">
        <v>0</v>
      </c>
      <c r="I122" s="19"/>
      <c r="J122" s="7" t="s">
        <v>19</v>
      </c>
      <c r="K122" s="16"/>
      <c r="L122" s="16"/>
      <c r="M122" s="16"/>
      <c r="N122" s="16"/>
      <c r="O122" s="16"/>
      <c r="P122" s="175"/>
      <c r="Q122" s="16"/>
      <c r="R122" s="16"/>
      <c r="S122" s="13" t="s">
        <v>33</v>
      </c>
      <c r="T122" s="22">
        <v>1</v>
      </c>
      <c r="U122" s="19" t="s">
        <v>40</v>
      </c>
      <c r="AB122" s="13" t="s">
        <v>33</v>
      </c>
      <c r="AC122" s="19" t="s">
        <v>42</v>
      </c>
      <c r="AD122" s="7" t="s">
        <v>19</v>
      </c>
      <c r="AE122" s="16"/>
    </row>
    <row r="123" spans="1:31" x14ac:dyDescent="0.2">
      <c r="A123">
        <v>401</v>
      </c>
      <c r="B123" s="8">
        <v>46200</v>
      </c>
      <c r="C123" s="9">
        <v>0.76864583333333336</v>
      </c>
      <c r="D123" s="7" t="s">
        <v>24</v>
      </c>
      <c r="E123" s="13" t="s">
        <v>37</v>
      </c>
      <c r="F123" s="16">
        <v>70.951802700000002</v>
      </c>
      <c r="G123" s="129">
        <v>1193.1593</v>
      </c>
      <c r="H123" s="22">
        <v>1</v>
      </c>
      <c r="I123" s="19"/>
      <c r="J123" s="7" t="s">
        <v>19</v>
      </c>
      <c r="K123" s="16"/>
      <c r="L123" s="16"/>
      <c r="M123" s="16"/>
      <c r="N123" s="16"/>
      <c r="O123" s="16"/>
      <c r="P123" s="175"/>
      <c r="Q123" s="16"/>
      <c r="R123" s="16"/>
      <c r="S123" s="13" t="s">
        <v>33</v>
      </c>
      <c r="T123" s="22">
        <v>0</v>
      </c>
      <c r="U123" s="19"/>
      <c r="AB123" s="13" t="s">
        <v>33</v>
      </c>
      <c r="AC123" s="19" t="s">
        <v>42</v>
      </c>
      <c r="AD123" s="7" t="s">
        <v>20</v>
      </c>
      <c r="AE123" s="16"/>
    </row>
    <row r="124" spans="1:31" x14ac:dyDescent="0.2">
      <c r="A124">
        <v>402</v>
      </c>
      <c r="B124" s="8">
        <v>46200</v>
      </c>
      <c r="C124" s="9">
        <v>0.7688194444444445</v>
      </c>
      <c r="D124" s="7" t="s">
        <v>24</v>
      </c>
      <c r="E124" s="13" t="s">
        <v>33</v>
      </c>
      <c r="F124" s="16">
        <v>83.004717799999995</v>
      </c>
      <c r="G124" s="129">
        <v>2141.68262</v>
      </c>
      <c r="H124" s="22">
        <v>1</v>
      </c>
      <c r="I124" s="19" t="s">
        <v>38</v>
      </c>
      <c r="J124" s="7" t="s">
        <v>19</v>
      </c>
      <c r="K124" s="16"/>
      <c r="L124" s="16"/>
      <c r="M124" s="16"/>
      <c r="N124" s="16">
        <v>63.666063600000001</v>
      </c>
      <c r="O124" s="16"/>
      <c r="P124" s="175"/>
      <c r="Q124" s="16"/>
      <c r="R124" s="16"/>
      <c r="S124" s="13" t="s">
        <v>33</v>
      </c>
      <c r="T124" s="22">
        <v>1</v>
      </c>
      <c r="U124" s="19" t="s">
        <v>38</v>
      </c>
      <c r="AB124" s="10" t="s">
        <v>33</v>
      </c>
      <c r="AC124" s="17" t="s">
        <v>42</v>
      </c>
      <c r="AD124" t="s">
        <v>19</v>
      </c>
      <c r="AE124" s="11"/>
    </row>
    <row r="125" spans="1:31" x14ac:dyDescent="0.2">
      <c r="A125">
        <v>403</v>
      </c>
      <c r="B125" s="8">
        <v>46200</v>
      </c>
      <c r="C125" s="9">
        <v>0.76905092592592594</v>
      </c>
      <c r="D125" s="7" t="s">
        <v>24</v>
      </c>
      <c r="E125" s="13" t="s">
        <v>37</v>
      </c>
      <c r="F125" s="16">
        <v>71.317042000000001</v>
      </c>
      <c r="G125" s="129">
        <v>1163.1962900000001</v>
      </c>
      <c r="H125" s="22">
        <v>1</v>
      </c>
      <c r="I125" s="19" t="s">
        <v>39</v>
      </c>
      <c r="J125" s="7" t="s">
        <v>19</v>
      </c>
      <c r="K125" s="16"/>
      <c r="L125" s="16"/>
      <c r="M125" s="16"/>
      <c r="N125" s="16">
        <v>56.810583100000002</v>
      </c>
      <c r="O125" s="16"/>
      <c r="P125" s="175"/>
      <c r="Q125" s="16"/>
      <c r="R125" s="16"/>
      <c r="S125" s="13" t="s">
        <v>33</v>
      </c>
      <c r="T125" s="22">
        <v>1</v>
      </c>
      <c r="U125" s="19" t="s">
        <v>42</v>
      </c>
      <c r="AB125" s="13" t="s">
        <v>33</v>
      </c>
      <c r="AC125" s="19" t="s">
        <v>38</v>
      </c>
      <c r="AD125" s="7" t="s">
        <v>21</v>
      </c>
      <c r="AE125" s="16">
        <v>82.075337599999997</v>
      </c>
    </row>
    <row r="126" spans="1:31" x14ac:dyDescent="0.2">
      <c r="A126">
        <v>404</v>
      </c>
      <c r="B126" s="8">
        <v>46200</v>
      </c>
      <c r="C126" s="9">
        <v>0.76924768518518516</v>
      </c>
      <c r="D126" s="7" t="s">
        <v>24</v>
      </c>
      <c r="E126" s="13" t="s">
        <v>33</v>
      </c>
      <c r="F126" s="16">
        <v>83.639914599999997</v>
      </c>
      <c r="G126" s="129">
        <v>2207.7748999999999</v>
      </c>
      <c r="H126" s="22">
        <v>1</v>
      </c>
      <c r="I126" s="19" t="s">
        <v>42</v>
      </c>
      <c r="J126" s="7" t="s">
        <v>19</v>
      </c>
      <c r="K126" s="16"/>
      <c r="L126" s="16"/>
      <c r="M126" s="16"/>
      <c r="N126" s="16"/>
      <c r="O126" s="16"/>
      <c r="P126" s="175"/>
      <c r="Q126" s="16"/>
      <c r="R126" s="16"/>
      <c r="S126" s="13" t="s">
        <v>33</v>
      </c>
      <c r="T126" s="22">
        <v>0</v>
      </c>
      <c r="U126" s="19"/>
      <c r="AB126" s="10" t="s">
        <v>33</v>
      </c>
      <c r="AC126" s="17" t="s">
        <v>38</v>
      </c>
      <c r="AD126" t="s">
        <v>21</v>
      </c>
      <c r="AE126" s="11">
        <v>72.211465607999997</v>
      </c>
    </row>
    <row r="127" spans="1:31" x14ac:dyDescent="0.2">
      <c r="A127">
        <v>405</v>
      </c>
      <c r="B127" s="8">
        <v>46200</v>
      </c>
      <c r="C127" s="9">
        <v>0.76981481481481484</v>
      </c>
      <c r="D127" s="7" t="s">
        <v>24</v>
      </c>
      <c r="E127" s="13" t="s">
        <v>35</v>
      </c>
      <c r="F127" s="16">
        <v>77.811954999999998</v>
      </c>
      <c r="G127" s="129">
        <v>1469.5424800000001</v>
      </c>
      <c r="H127" s="22">
        <v>0</v>
      </c>
      <c r="I127" s="19"/>
      <c r="J127" s="7" t="s">
        <v>23</v>
      </c>
      <c r="K127" s="16"/>
      <c r="L127" s="16"/>
      <c r="M127" s="16"/>
      <c r="N127" s="16"/>
      <c r="O127" s="16"/>
      <c r="P127" s="175"/>
      <c r="Q127" s="16"/>
      <c r="R127" s="16"/>
      <c r="S127" s="13" t="s">
        <v>33</v>
      </c>
      <c r="T127" s="22">
        <v>1</v>
      </c>
      <c r="U127" s="19"/>
      <c r="AB127" s="13" t="s">
        <v>33</v>
      </c>
      <c r="AC127" s="19" t="s">
        <v>38</v>
      </c>
      <c r="AD127" s="7" t="s">
        <v>27</v>
      </c>
      <c r="AE127" s="16">
        <v>70.909503299999997</v>
      </c>
    </row>
    <row r="128" spans="1:31" x14ac:dyDescent="0.2">
      <c r="A128">
        <v>406</v>
      </c>
      <c r="B128" s="8">
        <v>46200</v>
      </c>
      <c r="C128" s="9">
        <v>0.77001157407407406</v>
      </c>
      <c r="D128" s="7" t="s">
        <v>24</v>
      </c>
      <c r="E128" s="13" t="s">
        <v>33</v>
      </c>
      <c r="F128" s="16">
        <v>83.719316399999997</v>
      </c>
      <c r="G128" s="129">
        <v>2197.09058</v>
      </c>
      <c r="H128" s="22">
        <v>0</v>
      </c>
      <c r="I128" s="19"/>
      <c r="J128" s="7" t="s">
        <v>23</v>
      </c>
      <c r="K128" s="16"/>
      <c r="L128" s="16"/>
      <c r="M128" s="16"/>
      <c r="N128" s="16"/>
      <c r="O128" s="16"/>
      <c r="P128" s="175"/>
      <c r="Q128" s="16"/>
      <c r="R128" s="16"/>
      <c r="S128" s="13" t="s">
        <v>33</v>
      </c>
      <c r="T128" s="22">
        <v>1</v>
      </c>
      <c r="U128" s="19" t="s">
        <v>39</v>
      </c>
      <c r="AB128" s="10" t="s">
        <v>33</v>
      </c>
      <c r="AC128" s="17" t="s">
        <v>38</v>
      </c>
      <c r="AD128" t="s">
        <v>21</v>
      </c>
      <c r="AE128" s="11">
        <v>69.947368506999993</v>
      </c>
    </row>
    <row r="129" spans="1:31" x14ac:dyDescent="0.2">
      <c r="A129">
        <v>407</v>
      </c>
      <c r="B129" s="8">
        <v>46200</v>
      </c>
      <c r="C129" s="9">
        <v>0.77019675925925923</v>
      </c>
      <c r="D129" s="7" t="s">
        <v>24</v>
      </c>
      <c r="E129" s="13" t="s">
        <v>33</v>
      </c>
      <c r="F129" s="16">
        <v>83.084110899999999</v>
      </c>
      <c r="G129" s="129">
        <v>2147.9558099999999</v>
      </c>
      <c r="H129" s="22">
        <v>1</v>
      </c>
      <c r="I129" s="19"/>
      <c r="J129" s="7" t="s">
        <v>23</v>
      </c>
      <c r="K129" s="16"/>
      <c r="L129" s="16"/>
      <c r="M129" s="16"/>
      <c r="N129" s="16"/>
      <c r="O129" s="16"/>
      <c r="P129" s="175"/>
      <c r="Q129" s="16"/>
      <c r="R129" s="16"/>
      <c r="S129" s="13" t="s">
        <v>33</v>
      </c>
      <c r="T129" s="22">
        <v>1</v>
      </c>
      <c r="U129" s="19" t="s">
        <v>45</v>
      </c>
      <c r="AB129" s="13" t="s">
        <v>33</v>
      </c>
      <c r="AC129" s="19" t="s">
        <v>38</v>
      </c>
      <c r="AD129" s="7" t="s">
        <v>21</v>
      </c>
      <c r="AE129" s="16">
        <v>40.306673600000003</v>
      </c>
    </row>
    <row r="130" spans="1:31" x14ac:dyDescent="0.2">
      <c r="A130">
        <v>408</v>
      </c>
      <c r="B130" s="8">
        <v>46200</v>
      </c>
      <c r="C130" s="9">
        <v>0.77057870370370374</v>
      </c>
      <c r="D130" s="7" t="s">
        <v>24</v>
      </c>
      <c r="E130" s="13" t="s">
        <v>49</v>
      </c>
      <c r="F130" s="16">
        <v>67.5217241</v>
      </c>
      <c r="G130" s="129">
        <v>1867.54736</v>
      </c>
      <c r="H130" s="22">
        <v>0</v>
      </c>
      <c r="I130" s="19"/>
      <c r="J130" s="7" t="s">
        <v>23</v>
      </c>
      <c r="K130" s="16"/>
      <c r="L130" s="16"/>
      <c r="M130" s="16"/>
      <c r="N130" s="16"/>
      <c r="O130" s="16"/>
      <c r="P130" s="175"/>
      <c r="Q130" s="16"/>
      <c r="R130" s="16"/>
      <c r="S130" s="13" t="s">
        <v>37</v>
      </c>
      <c r="T130" s="22">
        <v>0</v>
      </c>
      <c r="U130" s="19"/>
      <c r="AB130" s="13" t="s">
        <v>33</v>
      </c>
      <c r="AC130" s="19" t="s">
        <v>38</v>
      </c>
      <c r="AD130" s="7" t="s">
        <v>21</v>
      </c>
      <c r="AE130" s="16"/>
    </row>
    <row r="131" spans="1:31" x14ac:dyDescent="0.2">
      <c r="A131">
        <v>409</v>
      </c>
      <c r="B131" s="8">
        <v>46200</v>
      </c>
      <c r="C131" s="9">
        <v>0.77076388888888892</v>
      </c>
      <c r="D131" s="7" t="s">
        <v>24</v>
      </c>
      <c r="E131" s="13" t="s">
        <v>33</v>
      </c>
      <c r="F131" s="16">
        <v>82.639478299999993</v>
      </c>
      <c r="G131" s="129">
        <v>2192.5537100000001</v>
      </c>
      <c r="H131" s="22">
        <v>1</v>
      </c>
      <c r="I131" s="19" t="s">
        <v>39</v>
      </c>
      <c r="J131" s="7" t="s">
        <v>23</v>
      </c>
      <c r="K131" s="16"/>
      <c r="L131" s="16"/>
      <c r="M131" s="16"/>
      <c r="N131" s="16">
        <v>58.552548999999999</v>
      </c>
      <c r="O131" s="16"/>
      <c r="P131" s="175"/>
      <c r="Q131" s="16"/>
      <c r="R131" s="16"/>
      <c r="S131" s="13" t="s">
        <v>37</v>
      </c>
      <c r="T131" s="22">
        <v>1</v>
      </c>
      <c r="U131" s="19"/>
      <c r="AB131" s="13" t="s">
        <v>33</v>
      </c>
      <c r="AC131" s="19" t="s">
        <v>38</v>
      </c>
      <c r="AD131" s="7" t="s">
        <v>22</v>
      </c>
      <c r="AE131" s="16"/>
    </row>
    <row r="132" spans="1:31" s="155" customFormat="1" x14ac:dyDescent="0.2">
      <c r="A132" s="155">
        <v>410</v>
      </c>
      <c r="B132" s="163">
        <v>46200</v>
      </c>
      <c r="C132" s="164">
        <v>0.77098379629629632</v>
      </c>
      <c r="D132" s="165" t="s">
        <v>24</v>
      </c>
      <c r="E132" s="166" t="s">
        <v>33</v>
      </c>
      <c r="F132" s="167">
        <v>85.243795700000007</v>
      </c>
      <c r="G132" s="168">
        <v>2326.3789099999999</v>
      </c>
      <c r="H132" s="169">
        <v>1</v>
      </c>
      <c r="I132" s="170" t="s">
        <v>45</v>
      </c>
      <c r="J132" s="165" t="s">
        <v>23</v>
      </c>
      <c r="K132" s="167"/>
      <c r="L132" s="167"/>
      <c r="M132" s="167"/>
      <c r="N132" s="167">
        <v>60.238323399999999</v>
      </c>
      <c r="O132" s="167"/>
      <c r="P132" s="176"/>
      <c r="Q132" s="167"/>
      <c r="R132" s="167"/>
      <c r="S132" s="166" t="s">
        <v>37</v>
      </c>
      <c r="T132" s="169">
        <v>1</v>
      </c>
      <c r="U132" s="170" t="s">
        <v>39</v>
      </c>
      <c r="AB132" s="166" t="s">
        <v>33</v>
      </c>
      <c r="AC132" s="170" t="s">
        <v>38</v>
      </c>
      <c r="AD132" s="165" t="s">
        <v>19</v>
      </c>
      <c r="AE132" s="167"/>
    </row>
    <row r="133" spans="1:31" x14ac:dyDescent="0.2">
      <c r="A133">
        <v>470</v>
      </c>
      <c r="B133" s="8">
        <v>46203</v>
      </c>
      <c r="C133" s="9">
        <v>0.7756481481481482</v>
      </c>
      <c r="D133" s="7" t="s">
        <v>24</v>
      </c>
      <c r="E133" s="13" t="s">
        <v>49</v>
      </c>
      <c r="F133" s="16">
        <v>64.218684400000001</v>
      </c>
      <c r="G133" s="129">
        <v>2018.4032</v>
      </c>
      <c r="H133" s="22">
        <v>0</v>
      </c>
      <c r="I133" s="19"/>
      <c r="J133" s="7" t="s">
        <v>22</v>
      </c>
      <c r="K133" s="16"/>
      <c r="L133" s="16"/>
      <c r="M133" s="16"/>
      <c r="N133" s="16"/>
      <c r="O133" s="16"/>
      <c r="P133" s="175"/>
      <c r="Q133" s="16"/>
      <c r="R133" s="16"/>
      <c r="S133" s="13" t="s">
        <v>49</v>
      </c>
      <c r="T133" s="22">
        <v>0</v>
      </c>
      <c r="U133" s="19"/>
      <c r="AB133" s="13" t="s">
        <v>33</v>
      </c>
      <c r="AC133" s="19" t="s">
        <v>38</v>
      </c>
      <c r="AD133" s="7" t="s">
        <v>17</v>
      </c>
      <c r="AE133" s="16"/>
    </row>
    <row r="134" spans="1:31" x14ac:dyDescent="0.2">
      <c r="A134">
        <v>471</v>
      </c>
      <c r="B134" s="8">
        <v>46203</v>
      </c>
      <c r="C134" s="9">
        <v>0.77605324074074078</v>
      </c>
      <c r="D134" s="7" t="s">
        <v>24</v>
      </c>
      <c r="E134" s="13" t="s">
        <v>33</v>
      </c>
      <c r="F134" s="16">
        <v>82.099555100000003</v>
      </c>
      <c r="G134" s="129">
        <v>2114.7385300000001</v>
      </c>
      <c r="H134" s="22">
        <v>1</v>
      </c>
      <c r="I134" s="19" t="s">
        <v>254</v>
      </c>
      <c r="J134" s="7" t="s">
        <v>22</v>
      </c>
      <c r="K134" s="16">
        <v>84.090691199999995</v>
      </c>
      <c r="L134" s="16">
        <v>25.603441199999999</v>
      </c>
      <c r="M134" s="16">
        <v>23.296526</v>
      </c>
      <c r="N134" s="16">
        <v>59.283054200000002</v>
      </c>
      <c r="O134" s="16">
        <v>269</v>
      </c>
      <c r="P134" s="175">
        <v>0.92400700000000002</v>
      </c>
      <c r="Q134" s="16"/>
      <c r="R134" s="16"/>
      <c r="S134" s="13" t="s">
        <v>49</v>
      </c>
      <c r="T134" s="22">
        <v>0</v>
      </c>
      <c r="U134" s="19"/>
      <c r="AB134" s="13" t="s">
        <v>33</v>
      </c>
      <c r="AC134" s="19" t="s">
        <v>38</v>
      </c>
      <c r="AD134" s="7" t="s">
        <v>17</v>
      </c>
      <c r="AE134" s="16"/>
    </row>
    <row r="135" spans="1:31" x14ac:dyDescent="0.2">
      <c r="A135">
        <v>472</v>
      </c>
      <c r="B135" s="8">
        <v>46203</v>
      </c>
      <c r="C135" s="9">
        <v>0.77653935185185186</v>
      </c>
      <c r="D135" s="7" t="s">
        <v>24</v>
      </c>
      <c r="E135" s="13" t="s">
        <v>33</v>
      </c>
      <c r="F135" s="16">
        <v>82.893555300000003</v>
      </c>
      <c r="G135" s="129">
        <v>2135.6894499999999</v>
      </c>
      <c r="H135" s="22">
        <v>0</v>
      </c>
      <c r="I135" s="19"/>
      <c r="J135" s="7" t="s">
        <v>20</v>
      </c>
      <c r="K135" s="16"/>
      <c r="L135" s="16"/>
      <c r="M135" s="16"/>
      <c r="N135" s="16"/>
      <c r="O135" s="16"/>
      <c r="P135" s="175"/>
      <c r="Q135" s="16"/>
      <c r="R135" s="16"/>
      <c r="S135" s="13" t="s">
        <v>49</v>
      </c>
      <c r="T135" s="22">
        <v>1</v>
      </c>
      <c r="U135" s="19"/>
      <c r="AB135" s="13" t="s">
        <v>33</v>
      </c>
      <c r="AC135" s="19" t="s">
        <v>38</v>
      </c>
      <c r="AD135" s="7" t="s">
        <v>17</v>
      </c>
      <c r="AE135" s="16"/>
    </row>
    <row r="136" spans="1:31" x14ac:dyDescent="0.2">
      <c r="A136">
        <v>473</v>
      </c>
      <c r="B136" s="8">
        <v>46203</v>
      </c>
      <c r="C136" s="9">
        <v>0.7768518518518519</v>
      </c>
      <c r="D136" s="7" t="s">
        <v>24</v>
      </c>
      <c r="E136" s="13" t="s">
        <v>37</v>
      </c>
      <c r="F136" s="16">
        <v>65.679642200000004</v>
      </c>
      <c r="G136" s="129">
        <v>1788.16418</v>
      </c>
      <c r="H136" s="22">
        <v>0</v>
      </c>
      <c r="I136" s="19"/>
      <c r="J136" s="7" t="s">
        <v>20</v>
      </c>
      <c r="K136" s="16"/>
      <c r="L136" s="16"/>
      <c r="M136" s="16"/>
      <c r="N136" s="16"/>
      <c r="O136" s="16"/>
      <c r="P136" s="175"/>
      <c r="Q136" s="16"/>
      <c r="R136" s="16"/>
      <c r="S136" s="13" t="s">
        <v>49</v>
      </c>
      <c r="T136" s="22">
        <v>0</v>
      </c>
      <c r="U136" s="19"/>
      <c r="AB136" s="10" t="s">
        <v>33</v>
      </c>
      <c r="AC136" s="17" t="s">
        <v>38</v>
      </c>
      <c r="AD136" t="s">
        <v>21</v>
      </c>
      <c r="AE136" s="11"/>
    </row>
    <row r="137" spans="1:31" x14ac:dyDescent="0.2">
      <c r="A137">
        <v>474</v>
      </c>
      <c r="B137" s="8">
        <v>46203</v>
      </c>
      <c r="C137" s="9">
        <v>0.77709490740740739</v>
      </c>
      <c r="D137" s="7" t="s">
        <v>24</v>
      </c>
      <c r="E137" s="13" t="s">
        <v>37</v>
      </c>
      <c r="F137" s="16">
        <v>66.695963199999994</v>
      </c>
      <c r="G137" s="129">
        <v>2235.5302700000002</v>
      </c>
      <c r="H137" s="22">
        <v>1</v>
      </c>
      <c r="I137" s="19" t="s">
        <v>39</v>
      </c>
      <c r="J137" s="7" t="s">
        <v>20</v>
      </c>
      <c r="K137" s="16"/>
      <c r="L137" s="16"/>
      <c r="M137" s="16"/>
      <c r="N137" s="16">
        <v>64.733720500000004</v>
      </c>
      <c r="O137" s="16"/>
      <c r="P137" s="175"/>
      <c r="Q137" s="16"/>
      <c r="R137" s="16"/>
      <c r="S137" s="13" t="s">
        <v>49</v>
      </c>
      <c r="T137" s="22">
        <v>1</v>
      </c>
      <c r="U137" s="19"/>
      <c r="AB137" s="10" t="s">
        <v>33</v>
      </c>
      <c r="AC137" s="17" t="s">
        <v>38</v>
      </c>
      <c r="AD137" t="s">
        <v>21</v>
      </c>
      <c r="AE137" s="11"/>
    </row>
    <row r="138" spans="1:31" x14ac:dyDescent="0.2">
      <c r="A138">
        <v>475</v>
      </c>
      <c r="B138" s="8">
        <v>46203</v>
      </c>
      <c r="C138" s="9">
        <v>0.77731481481481479</v>
      </c>
      <c r="D138" s="7" t="s">
        <v>24</v>
      </c>
      <c r="E138" s="13" t="s">
        <v>33</v>
      </c>
      <c r="F138" s="16">
        <v>83.4017178</v>
      </c>
      <c r="G138" s="129">
        <v>1153.99316</v>
      </c>
      <c r="H138" s="22">
        <v>0</v>
      </c>
      <c r="I138" s="19"/>
      <c r="J138" s="7" t="s">
        <v>20</v>
      </c>
      <c r="K138" s="16"/>
      <c r="L138" s="16"/>
      <c r="M138" s="16"/>
      <c r="N138" s="16"/>
      <c r="O138" s="16"/>
      <c r="P138" s="175"/>
      <c r="Q138" s="16"/>
      <c r="R138" s="16"/>
      <c r="S138" s="13" t="s">
        <v>35</v>
      </c>
      <c r="T138" s="22">
        <v>1</v>
      </c>
      <c r="U138" s="19" t="s">
        <v>45</v>
      </c>
      <c r="AB138" s="10" t="s">
        <v>33</v>
      </c>
      <c r="AC138" s="17" t="s">
        <v>38</v>
      </c>
      <c r="AD138" t="s">
        <v>20</v>
      </c>
      <c r="AE138" s="11"/>
    </row>
    <row r="139" spans="1:31" x14ac:dyDescent="0.2">
      <c r="A139">
        <v>476</v>
      </c>
      <c r="B139" s="8">
        <v>46203</v>
      </c>
      <c r="C139" s="9">
        <v>0.77754629629629635</v>
      </c>
      <c r="D139" s="7" t="s">
        <v>24</v>
      </c>
      <c r="E139" s="13" t="s">
        <v>37</v>
      </c>
      <c r="F139" s="16">
        <v>67.124724099999995</v>
      </c>
      <c r="G139" s="129">
        <v>1209.34265</v>
      </c>
      <c r="H139" s="22">
        <v>0</v>
      </c>
      <c r="I139" s="19" t="s">
        <v>48</v>
      </c>
      <c r="J139" s="7" t="s">
        <v>20</v>
      </c>
      <c r="K139" s="16"/>
      <c r="L139" s="16"/>
      <c r="M139" s="16"/>
      <c r="N139" s="16"/>
      <c r="O139" s="16"/>
      <c r="P139" s="175"/>
      <c r="Q139" s="16"/>
      <c r="R139" s="16"/>
      <c r="S139" s="13" t="s">
        <v>35</v>
      </c>
      <c r="T139" s="22">
        <v>1</v>
      </c>
      <c r="U139" s="19" t="s">
        <v>38</v>
      </c>
      <c r="AB139" s="10" t="s">
        <v>33</v>
      </c>
      <c r="AC139" s="17" t="s">
        <v>38</v>
      </c>
      <c r="AD139" t="s">
        <v>20</v>
      </c>
      <c r="AE139" s="11"/>
    </row>
    <row r="140" spans="1:31" x14ac:dyDescent="0.2">
      <c r="A140">
        <v>477</v>
      </c>
      <c r="B140" s="8">
        <v>46203</v>
      </c>
      <c r="C140" s="9">
        <v>0.77774305555555556</v>
      </c>
      <c r="D140" s="7" t="s">
        <v>24</v>
      </c>
      <c r="E140" s="13" t="s">
        <v>33</v>
      </c>
      <c r="F140" s="16">
        <v>81.623153000000002</v>
      </c>
      <c r="G140" s="129">
        <v>2314.29</v>
      </c>
      <c r="H140" s="22">
        <v>1</v>
      </c>
      <c r="I140" s="19" t="s">
        <v>254</v>
      </c>
      <c r="J140" s="7" t="s">
        <v>20</v>
      </c>
      <c r="K140" s="16">
        <v>99.827185700000001</v>
      </c>
      <c r="L140" s="16">
        <v>25.608684499999999</v>
      </c>
      <c r="M140" s="16">
        <v>-39.645114999999997</v>
      </c>
      <c r="N140" s="16">
        <v>71.195856800000001</v>
      </c>
      <c r="O140" s="16">
        <v>341</v>
      </c>
      <c r="P140" s="175">
        <v>0.95070350999999997</v>
      </c>
      <c r="Q140" s="16"/>
      <c r="R140" s="16"/>
      <c r="S140" s="13" t="s">
        <v>35</v>
      </c>
      <c r="T140" s="22">
        <v>0</v>
      </c>
      <c r="U140" s="19"/>
      <c r="AB140" s="13" t="s">
        <v>33</v>
      </c>
      <c r="AC140" s="19" t="s">
        <v>40</v>
      </c>
      <c r="AD140" s="7" t="s">
        <v>21</v>
      </c>
      <c r="AE140" s="16">
        <v>90.070192500000005</v>
      </c>
    </row>
    <row r="141" spans="1:31" x14ac:dyDescent="0.2">
      <c r="A141">
        <v>478</v>
      </c>
      <c r="B141" s="8">
        <v>46203</v>
      </c>
      <c r="C141" s="9">
        <v>0.77815972222222218</v>
      </c>
      <c r="D141" s="7" t="s">
        <v>24</v>
      </c>
      <c r="E141" s="13" t="s">
        <v>49</v>
      </c>
      <c r="F141" s="16">
        <v>66.743604199999993</v>
      </c>
      <c r="G141" s="129">
        <v>2196.2717299999999</v>
      </c>
      <c r="H141" s="22">
        <v>0</v>
      </c>
      <c r="I141" s="19"/>
      <c r="J141" s="7" t="s">
        <v>21</v>
      </c>
      <c r="K141" s="16"/>
      <c r="L141" s="16"/>
      <c r="M141" s="16"/>
      <c r="N141" s="16"/>
      <c r="O141" s="16"/>
      <c r="P141" s="175"/>
      <c r="Q141" s="16"/>
      <c r="R141" s="16"/>
      <c r="S141" s="13" t="s">
        <v>33</v>
      </c>
      <c r="T141" s="22">
        <v>1</v>
      </c>
      <c r="U141" s="19" t="s">
        <v>40</v>
      </c>
      <c r="AB141" s="13" t="s">
        <v>33</v>
      </c>
      <c r="AC141" s="19" t="s">
        <v>40</v>
      </c>
      <c r="AD141" s="7" t="s">
        <v>29</v>
      </c>
      <c r="AE141" s="16">
        <v>86.359234200000003</v>
      </c>
    </row>
    <row r="142" spans="1:31" x14ac:dyDescent="0.2">
      <c r="A142">
        <v>479</v>
      </c>
      <c r="B142" s="8">
        <v>46203</v>
      </c>
      <c r="C142" s="9">
        <v>0.77841435185185182</v>
      </c>
      <c r="D142" s="7" t="s">
        <v>24</v>
      </c>
      <c r="E142" s="13" t="s">
        <v>33</v>
      </c>
      <c r="F142" s="16">
        <v>82.877675100000005</v>
      </c>
      <c r="G142" s="129">
        <v>2298.72192</v>
      </c>
      <c r="H142" s="22">
        <v>0</v>
      </c>
      <c r="I142" s="19"/>
      <c r="J142" s="7" t="s">
        <v>21</v>
      </c>
      <c r="K142" s="16"/>
      <c r="L142" s="16"/>
      <c r="M142" s="16"/>
      <c r="N142" s="16"/>
      <c r="O142" s="16"/>
      <c r="P142" s="175"/>
      <c r="Q142" s="16"/>
      <c r="R142" s="16"/>
      <c r="S142" s="13" t="s">
        <v>33</v>
      </c>
      <c r="T142" s="22">
        <v>0</v>
      </c>
      <c r="U142" s="19"/>
      <c r="AB142" s="13" t="s">
        <v>33</v>
      </c>
      <c r="AC142" s="19" t="s">
        <v>40</v>
      </c>
      <c r="AD142" s="7" t="s">
        <v>29</v>
      </c>
      <c r="AE142" s="16">
        <v>84.582094600000005</v>
      </c>
    </row>
    <row r="143" spans="1:31" x14ac:dyDescent="0.2">
      <c r="A143">
        <v>480</v>
      </c>
      <c r="B143" s="8">
        <v>46203</v>
      </c>
      <c r="C143" s="9">
        <v>0.77863425925925922</v>
      </c>
      <c r="D143" s="7" t="s">
        <v>24</v>
      </c>
      <c r="E143" s="13" t="s">
        <v>37</v>
      </c>
      <c r="F143" s="16">
        <v>67.775801400000006</v>
      </c>
      <c r="G143" s="129">
        <v>1130.54736</v>
      </c>
      <c r="H143" s="22">
        <v>0</v>
      </c>
      <c r="I143" s="19"/>
      <c r="J143" s="7" t="s">
        <v>21</v>
      </c>
      <c r="K143" s="16"/>
      <c r="L143" s="16"/>
      <c r="M143" s="16"/>
      <c r="N143" s="16"/>
      <c r="O143" s="16"/>
      <c r="P143" s="175"/>
      <c r="Q143" s="16"/>
      <c r="R143" s="16"/>
      <c r="S143" s="13" t="s">
        <v>33</v>
      </c>
      <c r="T143" s="22">
        <v>0</v>
      </c>
      <c r="U143" s="19"/>
      <c r="AB143" s="13" t="s">
        <v>33</v>
      </c>
      <c r="AC143" s="19" t="s">
        <v>254</v>
      </c>
      <c r="AD143" s="7" t="s">
        <v>20</v>
      </c>
      <c r="AE143" s="16">
        <v>99.827185700000001</v>
      </c>
    </row>
    <row r="144" spans="1:31" x14ac:dyDescent="0.2">
      <c r="A144">
        <v>481</v>
      </c>
      <c r="B144" s="8">
        <v>46203</v>
      </c>
      <c r="C144" s="9">
        <v>0.77888888888888885</v>
      </c>
      <c r="D144" s="7" t="s">
        <v>24</v>
      </c>
      <c r="E144" s="13" t="s">
        <v>33</v>
      </c>
      <c r="F144" s="16">
        <v>82.115435300000001</v>
      </c>
      <c r="G144" s="129">
        <v>2109.36841</v>
      </c>
      <c r="H144" s="22">
        <v>1</v>
      </c>
      <c r="I144" s="19" t="s">
        <v>39</v>
      </c>
      <c r="J144" s="7" t="s">
        <v>21</v>
      </c>
      <c r="K144" s="16"/>
      <c r="L144" s="16"/>
      <c r="M144" s="16"/>
      <c r="N144" s="16">
        <v>64.171798600000002</v>
      </c>
      <c r="O144" s="16"/>
      <c r="P144" s="175"/>
      <c r="Q144" s="16"/>
      <c r="R144" s="16"/>
      <c r="S144" s="13" t="s">
        <v>33</v>
      </c>
      <c r="T144" s="22">
        <v>1</v>
      </c>
      <c r="U144" s="19" t="s">
        <v>40</v>
      </c>
      <c r="AB144" s="10" t="s">
        <v>33</v>
      </c>
      <c r="AC144" s="17" t="s">
        <v>254</v>
      </c>
      <c r="AD144" t="s">
        <v>20</v>
      </c>
      <c r="AE144" s="11">
        <v>96.303062767</v>
      </c>
    </row>
    <row r="145" spans="1:31" x14ac:dyDescent="0.2">
      <c r="A145">
        <v>482</v>
      </c>
      <c r="B145" s="8">
        <v>46203</v>
      </c>
      <c r="C145" s="9">
        <v>0.77909722222222222</v>
      </c>
      <c r="D145" s="7" t="s">
        <v>24</v>
      </c>
      <c r="E145" s="13" t="s">
        <v>33</v>
      </c>
      <c r="F145" s="16">
        <v>81.480238600000007</v>
      </c>
      <c r="G145" s="129">
        <v>2207.2609900000002</v>
      </c>
      <c r="H145" s="22">
        <v>0</v>
      </c>
      <c r="I145" s="19" t="s">
        <v>48</v>
      </c>
      <c r="J145" s="7" t="s">
        <v>21</v>
      </c>
      <c r="K145" s="16"/>
      <c r="L145" s="16"/>
      <c r="M145" s="16"/>
      <c r="N145" s="16"/>
      <c r="O145" s="16"/>
      <c r="P145" s="175"/>
      <c r="Q145" s="16"/>
      <c r="R145" s="16"/>
      <c r="S145" s="13" t="s">
        <v>33</v>
      </c>
      <c r="T145" s="22">
        <v>0</v>
      </c>
      <c r="U145" s="19"/>
      <c r="AB145" s="13" t="s">
        <v>33</v>
      </c>
      <c r="AC145" s="19" t="s">
        <v>254</v>
      </c>
      <c r="AD145" s="7" t="s">
        <v>22</v>
      </c>
      <c r="AE145" s="16">
        <v>84.090691199999995</v>
      </c>
    </row>
    <row r="146" spans="1:31" x14ac:dyDescent="0.2">
      <c r="A146">
        <v>483</v>
      </c>
      <c r="B146" s="8">
        <v>46203</v>
      </c>
      <c r="C146" s="9">
        <v>0.77927083333333336</v>
      </c>
      <c r="D146" s="7" t="s">
        <v>24</v>
      </c>
      <c r="E146" s="13" t="s">
        <v>33</v>
      </c>
      <c r="F146" s="16">
        <v>80.845033099999995</v>
      </c>
      <c r="G146" s="129">
        <v>1105.7655</v>
      </c>
      <c r="H146" s="22">
        <v>0</v>
      </c>
      <c r="I146" s="19"/>
      <c r="J146" s="7" t="s">
        <v>21</v>
      </c>
      <c r="K146" s="16"/>
      <c r="L146" s="16"/>
      <c r="M146" s="16"/>
      <c r="N146" s="16"/>
      <c r="O146" s="16"/>
      <c r="P146" s="175"/>
      <c r="Q146" s="16"/>
      <c r="R146" s="16"/>
      <c r="S146" s="13" t="s">
        <v>33</v>
      </c>
      <c r="T146" s="22">
        <v>1</v>
      </c>
      <c r="U146" s="19" t="s">
        <v>39</v>
      </c>
      <c r="AB146" s="13" t="s">
        <v>33</v>
      </c>
      <c r="AC146" s="19" t="s">
        <v>254</v>
      </c>
      <c r="AD146" s="7" t="s">
        <v>21</v>
      </c>
      <c r="AE146" s="16">
        <v>82.053449799999996</v>
      </c>
    </row>
    <row r="147" spans="1:31" x14ac:dyDescent="0.2">
      <c r="A147">
        <v>484</v>
      </c>
      <c r="B147" s="8">
        <v>46203</v>
      </c>
      <c r="C147" s="9">
        <v>0.77984953703703708</v>
      </c>
      <c r="D147" s="7" t="s">
        <v>24</v>
      </c>
      <c r="E147" s="13" t="s">
        <v>33</v>
      </c>
      <c r="F147" s="16">
        <v>82.734751900000006</v>
      </c>
      <c r="G147" s="129">
        <v>2151.36841</v>
      </c>
      <c r="H147" s="22">
        <v>0</v>
      </c>
      <c r="I147" s="19"/>
      <c r="J147" s="7" t="s">
        <v>27</v>
      </c>
      <c r="K147" s="16"/>
      <c r="L147" s="16"/>
      <c r="M147" s="16"/>
      <c r="N147" s="16"/>
      <c r="O147" s="16"/>
      <c r="P147" s="175"/>
      <c r="Q147" s="16"/>
      <c r="R147" s="16"/>
      <c r="S147" s="13" t="s">
        <v>33</v>
      </c>
      <c r="T147" s="22">
        <v>0</v>
      </c>
      <c r="U147" s="19"/>
      <c r="AB147" s="13" t="s">
        <v>33</v>
      </c>
      <c r="AC147" s="19" t="s">
        <v>254</v>
      </c>
      <c r="AD147" s="7" t="s">
        <v>29</v>
      </c>
      <c r="AE147" s="16">
        <v>74.240446899999995</v>
      </c>
    </row>
    <row r="148" spans="1:31" x14ac:dyDescent="0.2">
      <c r="A148">
        <v>485</v>
      </c>
      <c r="B148" s="8">
        <v>46203</v>
      </c>
      <c r="C148" s="9">
        <v>0.78008101851851852</v>
      </c>
      <c r="D148" s="7" t="s">
        <v>24</v>
      </c>
      <c r="E148" s="13" t="s">
        <v>33</v>
      </c>
      <c r="F148" s="16">
        <v>82.830033900000004</v>
      </c>
      <c r="G148" s="129">
        <v>2111.7058099999999</v>
      </c>
      <c r="H148" s="22">
        <v>1</v>
      </c>
      <c r="I148" s="19" t="s">
        <v>255</v>
      </c>
      <c r="J148" s="7" t="s">
        <v>27</v>
      </c>
      <c r="K148" s="16">
        <v>90.159245299999995</v>
      </c>
      <c r="L148" s="16">
        <v>-25.232268999999999</v>
      </c>
      <c r="M148" s="16">
        <v>-41.822555999999999</v>
      </c>
      <c r="N148" s="16">
        <v>71.420626900000002</v>
      </c>
      <c r="O148" s="16">
        <v>7</v>
      </c>
      <c r="P148" s="175">
        <v>0.85468453</v>
      </c>
      <c r="Q148" s="16"/>
      <c r="R148" s="16"/>
      <c r="S148" s="13" t="s">
        <v>33</v>
      </c>
      <c r="T148" s="22">
        <v>0</v>
      </c>
      <c r="U148" s="19"/>
      <c r="AB148" s="13" t="s">
        <v>33</v>
      </c>
      <c r="AC148" s="19" t="s">
        <v>255</v>
      </c>
      <c r="AD148" s="7" t="s">
        <v>27</v>
      </c>
      <c r="AE148" s="16">
        <v>90.159245299999995</v>
      </c>
    </row>
    <row r="149" spans="1:31" x14ac:dyDescent="0.2">
      <c r="A149">
        <v>486</v>
      </c>
      <c r="B149" s="8">
        <v>46203</v>
      </c>
      <c r="C149" s="9">
        <v>0.78057870370370375</v>
      </c>
      <c r="D149" s="7" t="s">
        <v>24</v>
      </c>
      <c r="E149" s="13" t="s">
        <v>33</v>
      </c>
      <c r="F149" s="16">
        <v>81.940755199999998</v>
      </c>
      <c r="G149" s="129">
        <v>1056.19128</v>
      </c>
      <c r="H149" s="22">
        <v>1</v>
      </c>
      <c r="I149" s="19" t="s">
        <v>255</v>
      </c>
      <c r="J149" s="7" t="s">
        <v>29</v>
      </c>
      <c r="K149" s="16">
        <v>78.079838800000005</v>
      </c>
      <c r="L149" s="16">
        <v>11.649668699999999</v>
      </c>
      <c r="M149" s="16">
        <v>5.5475926400000004</v>
      </c>
      <c r="N149" s="16">
        <v>62.682698100000003</v>
      </c>
      <c r="O149" s="16">
        <v>154</v>
      </c>
      <c r="P149" s="175">
        <v>0.82635400000000003</v>
      </c>
      <c r="Q149" s="16"/>
      <c r="R149" s="16"/>
      <c r="S149" s="13" t="s">
        <v>33</v>
      </c>
      <c r="T149" s="22">
        <v>0</v>
      </c>
      <c r="U149" s="19"/>
      <c r="AB149" s="10" t="s">
        <v>33</v>
      </c>
      <c r="AC149" s="17" t="s">
        <v>255</v>
      </c>
      <c r="AD149" t="s">
        <v>21</v>
      </c>
      <c r="AE149" s="11">
        <v>86.500561809999994</v>
      </c>
    </row>
    <row r="150" spans="1:31" x14ac:dyDescent="0.2">
      <c r="A150">
        <v>487</v>
      </c>
      <c r="B150" s="8">
        <v>46203</v>
      </c>
      <c r="C150" s="9">
        <v>0.78108796296296301</v>
      </c>
      <c r="D150" s="7" t="s">
        <v>24</v>
      </c>
      <c r="E150" s="13" t="s">
        <v>37</v>
      </c>
      <c r="F150" s="16">
        <v>68.728600799999995</v>
      </c>
      <c r="G150" s="129">
        <v>2410.7888200000002</v>
      </c>
      <c r="H150" s="22">
        <v>1</v>
      </c>
      <c r="I150" s="19" t="s">
        <v>39</v>
      </c>
      <c r="J150" s="7" t="s">
        <v>19</v>
      </c>
      <c r="K150" s="16"/>
      <c r="L150" s="16"/>
      <c r="M150" s="16"/>
      <c r="N150" s="16">
        <v>61.137406300000002</v>
      </c>
      <c r="O150" s="16"/>
      <c r="P150" s="175"/>
      <c r="Q150" s="16"/>
      <c r="R150" s="16"/>
      <c r="S150" s="13" t="s">
        <v>33</v>
      </c>
      <c r="T150" s="22">
        <v>1</v>
      </c>
      <c r="U150" s="19" t="s">
        <v>40</v>
      </c>
      <c r="AB150" s="13" t="s">
        <v>33</v>
      </c>
      <c r="AC150" s="19" t="s">
        <v>255</v>
      </c>
      <c r="AD150" s="7" t="s">
        <v>29</v>
      </c>
      <c r="AE150" s="16">
        <v>78.079838800000005</v>
      </c>
    </row>
    <row r="151" spans="1:31" x14ac:dyDescent="0.2">
      <c r="A151">
        <v>488</v>
      </c>
      <c r="B151" s="8">
        <v>46203</v>
      </c>
      <c r="C151" s="9">
        <v>0.78127314814814819</v>
      </c>
      <c r="D151" s="7" t="s">
        <v>24</v>
      </c>
      <c r="E151" s="13" t="s">
        <v>33</v>
      </c>
      <c r="F151" s="16">
        <v>84.036914800000005</v>
      </c>
      <c r="G151" s="129">
        <v>1123.4853499999999</v>
      </c>
      <c r="H151" s="22">
        <v>1</v>
      </c>
      <c r="I151" s="19" t="s">
        <v>39</v>
      </c>
      <c r="J151" s="7" t="s">
        <v>19</v>
      </c>
      <c r="K151" s="16"/>
      <c r="L151" s="16"/>
      <c r="M151" s="16"/>
      <c r="N151" s="16">
        <v>59.3954363</v>
      </c>
      <c r="O151" s="16"/>
      <c r="P151" s="175"/>
      <c r="Q151" s="16"/>
      <c r="R151" s="16"/>
      <c r="S151" s="13" t="s">
        <v>33</v>
      </c>
      <c r="T151" s="22">
        <v>1</v>
      </c>
      <c r="U151" s="19" t="s">
        <v>40</v>
      </c>
      <c r="AB151" s="13" t="s">
        <v>33</v>
      </c>
      <c r="AC151" s="19" t="s">
        <v>255</v>
      </c>
      <c r="AD151" s="7" t="s">
        <v>21</v>
      </c>
      <c r="AE151" s="16">
        <v>66.701642199999995</v>
      </c>
    </row>
    <row r="152" spans="1:31" x14ac:dyDescent="0.2">
      <c r="A152">
        <v>489</v>
      </c>
      <c r="B152" s="8">
        <v>46203</v>
      </c>
      <c r="C152" s="9">
        <v>0.78151620370370367</v>
      </c>
      <c r="D152" s="7" t="s">
        <v>24</v>
      </c>
      <c r="E152" s="13" t="s">
        <v>37</v>
      </c>
      <c r="F152" s="16">
        <v>68.411002400000001</v>
      </c>
      <c r="G152" s="129">
        <v>1140.02332</v>
      </c>
      <c r="H152" s="169">
        <v>1</v>
      </c>
      <c r="I152" s="170" t="s">
        <v>45</v>
      </c>
      <c r="J152" s="165" t="s">
        <v>19</v>
      </c>
      <c r="K152" s="16"/>
      <c r="L152" s="16"/>
      <c r="M152" s="16"/>
      <c r="N152" s="16">
        <v>60.350710399999997</v>
      </c>
      <c r="O152" s="16"/>
      <c r="P152" s="175"/>
      <c r="Q152" s="16"/>
      <c r="R152" s="16"/>
      <c r="S152" s="13" t="s">
        <v>33</v>
      </c>
      <c r="T152" s="169">
        <v>1</v>
      </c>
      <c r="U152" s="170" t="s">
        <v>39</v>
      </c>
      <c r="AB152" s="13" t="s">
        <v>33</v>
      </c>
      <c r="AC152" s="170" t="s">
        <v>255</v>
      </c>
      <c r="AD152" s="165" t="s">
        <v>17</v>
      </c>
      <c r="AE152" s="16">
        <v>64.292266600000005</v>
      </c>
    </row>
    <row r="153" spans="1:31" x14ac:dyDescent="0.2">
      <c r="A153">
        <v>510</v>
      </c>
      <c r="B153" s="8">
        <v>46203</v>
      </c>
      <c r="C153" s="9">
        <v>0.79173611111111108</v>
      </c>
      <c r="D153" s="7" t="s">
        <v>24</v>
      </c>
      <c r="E153" s="13" t="s">
        <v>37</v>
      </c>
      <c r="F153" s="16">
        <v>65.616125100000005</v>
      </c>
      <c r="G153" s="129">
        <v>1855.1508799999999</v>
      </c>
      <c r="H153" s="22">
        <v>0</v>
      </c>
      <c r="I153" s="19"/>
      <c r="J153" s="7" t="s">
        <v>20</v>
      </c>
      <c r="K153" s="16"/>
      <c r="L153" s="16"/>
      <c r="M153" s="16"/>
      <c r="N153" s="16"/>
      <c r="O153" s="16"/>
      <c r="P153" s="175"/>
      <c r="Q153" s="16"/>
      <c r="R153" s="16"/>
      <c r="S153" s="13" t="s">
        <v>33</v>
      </c>
      <c r="T153" s="22">
        <v>0</v>
      </c>
      <c r="U153" s="19"/>
      <c r="AB153" s="13" t="s">
        <v>33</v>
      </c>
      <c r="AC153" s="19" t="s">
        <v>255</v>
      </c>
      <c r="AD153" s="7" t="s">
        <v>22</v>
      </c>
      <c r="AE153" s="16">
        <v>59.5776976</v>
      </c>
    </row>
    <row r="154" spans="1:31" x14ac:dyDescent="0.2">
      <c r="A154">
        <v>511</v>
      </c>
      <c r="B154" s="8">
        <v>46203</v>
      </c>
      <c r="C154" s="9">
        <v>0.79193287037037041</v>
      </c>
      <c r="D154" s="7" t="s">
        <v>24</v>
      </c>
      <c r="E154" s="13" t="s">
        <v>33</v>
      </c>
      <c r="F154" s="16">
        <v>80.146314899999993</v>
      </c>
      <c r="G154" s="129">
        <v>2017.61121</v>
      </c>
      <c r="H154" s="22">
        <v>0</v>
      </c>
      <c r="I154" s="19"/>
      <c r="J154" s="7" t="s">
        <v>20</v>
      </c>
      <c r="K154" s="16"/>
      <c r="L154" s="16"/>
      <c r="M154" s="16"/>
      <c r="N154" s="16"/>
      <c r="O154" s="16"/>
      <c r="P154" s="175"/>
      <c r="Q154" s="16"/>
      <c r="R154" s="16"/>
      <c r="S154" s="13" t="s">
        <v>33</v>
      </c>
      <c r="T154" s="22">
        <v>1</v>
      </c>
      <c r="U154" s="19" t="s">
        <v>39</v>
      </c>
      <c r="AB154" s="13" t="s">
        <v>33</v>
      </c>
      <c r="AC154" s="19" t="s">
        <v>45</v>
      </c>
      <c r="AD154" s="7" t="s">
        <v>19</v>
      </c>
      <c r="AE154" s="16"/>
    </row>
    <row r="155" spans="1:31" x14ac:dyDescent="0.2">
      <c r="A155">
        <v>512</v>
      </c>
      <c r="B155" s="8">
        <v>46203</v>
      </c>
      <c r="C155" s="9">
        <v>0.79211805555555559</v>
      </c>
      <c r="D155" s="7" t="s">
        <v>24</v>
      </c>
      <c r="E155" s="13" t="s">
        <v>33</v>
      </c>
      <c r="F155" s="16">
        <v>81.480238600000007</v>
      </c>
      <c r="G155" s="129">
        <v>2141.88013</v>
      </c>
      <c r="H155" s="22">
        <v>1</v>
      </c>
      <c r="I155" s="19" t="s">
        <v>39</v>
      </c>
      <c r="J155" s="7" t="s">
        <v>20</v>
      </c>
      <c r="K155" s="16"/>
      <c r="L155" s="16"/>
      <c r="M155" s="16"/>
      <c r="N155" s="16">
        <v>63.947028799999998</v>
      </c>
      <c r="O155" s="16"/>
      <c r="P155" s="175"/>
      <c r="Q155" s="16"/>
      <c r="R155" s="16"/>
      <c r="S155" s="13" t="s">
        <v>33</v>
      </c>
      <c r="T155" s="22">
        <v>0</v>
      </c>
      <c r="U155" s="19"/>
      <c r="AB155" s="13" t="s">
        <v>33</v>
      </c>
      <c r="AC155" s="19" t="s">
        <v>45</v>
      </c>
      <c r="AD155" s="7" t="s">
        <v>23</v>
      </c>
      <c r="AE155" s="16"/>
    </row>
    <row r="156" spans="1:31" x14ac:dyDescent="0.2">
      <c r="A156">
        <v>513</v>
      </c>
      <c r="B156" s="8">
        <v>46203</v>
      </c>
      <c r="C156" s="9">
        <v>0.79233796296296299</v>
      </c>
      <c r="D156" s="7" t="s">
        <v>24</v>
      </c>
      <c r="E156" s="13" t="s">
        <v>49</v>
      </c>
      <c r="F156" s="16">
        <v>67.013561600000003</v>
      </c>
      <c r="G156" s="129">
        <v>1077.6239</v>
      </c>
      <c r="H156" s="22">
        <v>1</v>
      </c>
      <c r="I156" s="19"/>
      <c r="J156" s="7" t="s">
        <v>20</v>
      </c>
      <c r="K156" s="16"/>
      <c r="L156" s="16"/>
      <c r="M156" s="16"/>
      <c r="N156" s="16"/>
      <c r="O156" s="16"/>
      <c r="P156" s="175"/>
      <c r="Q156" s="16"/>
      <c r="R156" s="16"/>
      <c r="S156" s="13" t="s">
        <v>33</v>
      </c>
      <c r="T156" s="22">
        <v>1</v>
      </c>
      <c r="U156" s="19" t="s">
        <v>40</v>
      </c>
      <c r="AB156" s="13" t="s">
        <v>33</v>
      </c>
      <c r="AC156" s="19" t="s">
        <v>39</v>
      </c>
      <c r="AD156" s="7" t="s">
        <v>27</v>
      </c>
      <c r="AE156" s="16"/>
    </row>
    <row r="157" spans="1:31" x14ac:dyDescent="0.2">
      <c r="A157">
        <v>514</v>
      </c>
      <c r="B157" s="8">
        <v>46203</v>
      </c>
      <c r="C157" s="9">
        <v>0.7925578703703704</v>
      </c>
      <c r="D157" s="7" t="s">
        <v>24</v>
      </c>
      <c r="E157" s="13" t="s">
        <v>33</v>
      </c>
      <c r="F157" s="16">
        <v>81.178511900000004</v>
      </c>
      <c r="G157" s="129">
        <v>2005.6179199999999</v>
      </c>
      <c r="H157" s="22">
        <v>0</v>
      </c>
      <c r="I157" s="19"/>
      <c r="J157" s="7" t="s">
        <v>20</v>
      </c>
      <c r="K157" s="16"/>
      <c r="L157" s="16"/>
      <c r="M157" s="16"/>
      <c r="N157" s="16"/>
      <c r="O157" s="16"/>
      <c r="P157" s="175"/>
      <c r="Q157" s="16"/>
      <c r="R157" s="16"/>
      <c r="S157" s="13" t="s">
        <v>33</v>
      </c>
      <c r="T157" s="22">
        <v>1</v>
      </c>
      <c r="U157" s="19"/>
      <c r="AB157" s="13" t="s">
        <v>33</v>
      </c>
      <c r="AC157" s="19" t="s">
        <v>39</v>
      </c>
      <c r="AD157" s="7" t="s">
        <v>19</v>
      </c>
      <c r="AE157" s="16"/>
    </row>
    <row r="158" spans="1:31" x14ac:dyDescent="0.2">
      <c r="A158">
        <v>515</v>
      </c>
      <c r="B158" s="8">
        <v>46203</v>
      </c>
      <c r="C158" s="9">
        <v>0.79287037037037034</v>
      </c>
      <c r="D158" s="7" t="s">
        <v>24</v>
      </c>
      <c r="E158" s="13" t="s">
        <v>35</v>
      </c>
      <c r="F158" s="16">
        <v>77.938997700000002</v>
      </c>
      <c r="G158" s="129">
        <v>1049.8923299999999</v>
      </c>
      <c r="H158" s="22">
        <v>1</v>
      </c>
      <c r="I158" s="19" t="s">
        <v>45</v>
      </c>
      <c r="J158" s="7" t="s">
        <v>20</v>
      </c>
      <c r="K158" s="16"/>
      <c r="L158" s="16"/>
      <c r="M158" s="16"/>
      <c r="N158" s="16">
        <v>65.969955600000006</v>
      </c>
      <c r="O158" s="16"/>
      <c r="P158" s="175"/>
      <c r="Q158" s="16"/>
      <c r="R158" s="16"/>
      <c r="S158" s="13" t="s">
        <v>33</v>
      </c>
      <c r="T158" s="22">
        <v>1</v>
      </c>
      <c r="U158" s="19"/>
      <c r="AB158" s="13" t="s">
        <v>33</v>
      </c>
      <c r="AC158" s="19" t="s">
        <v>39</v>
      </c>
      <c r="AD158" s="7" t="s">
        <v>23</v>
      </c>
      <c r="AE158" s="16"/>
    </row>
    <row r="159" spans="1:31" x14ac:dyDescent="0.2">
      <c r="A159">
        <v>516</v>
      </c>
      <c r="B159" s="8">
        <v>46203</v>
      </c>
      <c r="C159" s="9">
        <v>0.79326388888888888</v>
      </c>
      <c r="D159" s="7" t="s">
        <v>24</v>
      </c>
      <c r="E159" s="13" t="s">
        <v>49</v>
      </c>
      <c r="F159" s="16">
        <v>68.585682000000006</v>
      </c>
      <c r="G159" s="129">
        <v>1941.17859</v>
      </c>
      <c r="H159" s="22">
        <v>0</v>
      </c>
      <c r="I159" s="19"/>
      <c r="J159" s="7" t="s">
        <v>21</v>
      </c>
      <c r="K159" s="16"/>
      <c r="L159" s="16"/>
      <c r="M159" s="16"/>
      <c r="N159" s="16"/>
      <c r="O159" s="16"/>
      <c r="P159" s="175"/>
      <c r="Q159" s="16"/>
      <c r="R159" s="16"/>
      <c r="S159" s="13" t="s">
        <v>33</v>
      </c>
      <c r="T159" s="22">
        <v>1</v>
      </c>
      <c r="U159" s="19" t="s">
        <v>39</v>
      </c>
      <c r="AB159" s="13" t="s">
        <v>33</v>
      </c>
      <c r="AC159" s="19" t="s">
        <v>39</v>
      </c>
      <c r="AD159" s="7" t="s">
        <v>21</v>
      </c>
      <c r="AE159" s="16"/>
    </row>
    <row r="160" spans="1:31" x14ac:dyDescent="0.2">
      <c r="A160">
        <v>517</v>
      </c>
      <c r="B160" s="8">
        <v>46203</v>
      </c>
      <c r="C160" s="9">
        <v>0.79343750000000002</v>
      </c>
      <c r="D160" s="7" t="s">
        <v>24</v>
      </c>
      <c r="E160" s="13" t="s">
        <v>33</v>
      </c>
      <c r="F160" s="16">
        <v>83.655794999999998</v>
      </c>
      <c r="G160" s="129">
        <v>1089.7476799999999</v>
      </c>
      <c r="H160" s="22">
        <v>1</v>
      </c>
      <c r="I160" s="19" t="s">
        <v>254</v>
      </c>
      <c r="J160" s="7" t="s">
        <v>21</v>
      </c>
      <c r="K160" s="16">
        <v>82.053449799999996</v>
      </c>
      <c r="L160" s="16">
        <v>66.104766799999993</v>
      </c>
      <c r="M160" s="16">
        <v>-18.000069</v>
      </c>
      <c r="N160" s="16">
        <v>67.093803899999997</v>
      </c>
      <c r="O160" s="16">
        <v>223</v>
      </c>
      <c r="P160" s="175">
        <v>0.81959731999999996</v>
      </c>
      <c r="Q160" s="16"/>
      <c r="R160" s="16"/>
      <c r="S160" s="13" t="s">
        <v>33</v>
      </c>
      <c r="T160" s="22">
        <v>0</v>
      </c>
      <c r="U160" s="19"/>
      <c r="AB160" s="13" t="s">
        <v>33</v>
      </c>
      <c r="AC160" s="19" t="s">
        <v>39</v>
      </c>
      <c r="AD160" s="7" t="s">
        <v>19</v>
      </c>
      <c r="AE160" s="16"/>
    </row>
    <row r="161" spans="1:31" x14ac:dyDescent="0.2">
      <c r="A161">
        <v>518</v>
      </c>
      <c r="B161" s="8">
        <v>46203</v>
      </c>
      <c r="C161" s="9">
        <v>0.7946064814814815</v>
      </c>
      <c r="D161" s="7" t="s">
        <v>24</v>
      </c>
      <c r="E161" s="13" t="s">
        <v>33</v>
      </c>
      <c r="F161" s="16">
        <v>82.877675100000005</v>
      </c>
      <c r="G161" s="129">
        <v>2199.0908199999999</v>
      </c>
      <c r="H161" s="22">
        <v>1</v>
      </c>
      <c r="I161" s="19"/>
      <c r="J161" s="7" t="s">
        <v>27</v>
      </c>
      <c r="K161" s="16"/>
      <c r="L161" s="16"/>
      <c r="M161" s="16"/>
      <c r="N161" s="16"/>
      <c r="O161" s="16"/>
      <c r="P161" s="175"/>
      <c r="Q161" s="16"/>
      <c r="R161" s="16"/>
      <c r="S161" s="13" t="s">
        <v>33</v>
      </c>
      <c r="T161" s="22">
        <v>0</v>
      </c>
      <c r="U161" s="19"/>
      <c r="AB161" s="13" t="s">
        <v>33</v>
      </c>
      <c r="AC161" s="19" t="s">
        <v>39</v>
      </c>
      <c r="AD161" s="7" t="s">
        <v>20</v>
      </c>
      <c r="AE161" s="16"/>
    </row>
    <row r="162" spans="1:31" x14ac:dyDescent="0.2">
      <c r="A162">
        <v>519</v>
      </c>
      <c r="B162" s="8">
        <v>46203</v>
      </c>
      <c r="C162" s="9">
        <v>0.79493055555555558</v>
      </c>
      <c r="D162" s="7" t="s">
        <v>24</v>
      </c>
      <c r="E162" s="13" t="s">
        <v>33</v>
      </c>
      <c r="F162" s="16">
        <v>83.004717799999995</v>
      </c>
      <c r="G162" s="129">
        <v>1084.05627</v>
      </c>
      <c r="H162" s="22">
        <v>1</v>
      </c>
      <c r="I162" s="19"/>
      <c r="J162" s="7" t="s">
        <v>27</v>
      </c>
      <c r="K162" s="16"/>
      <c r="L162" s="16"/>
      <c r="M162" s="16"/>
      <c r="N162" s="16"/>
      <c r="O162" s="16"/>
      <c r="P162" s="175"/>
      <c r="Q162" s="16"/>
      <c r="R162" s="16"/>
      <c r="S162" s="13" t="s">
        <v>33</v>
      </c>
      <c r="T162" s="22">
        <v>1</v>
      </c>
      <c r="U162" s="19" t="s">
        <v>42</v>
      </c>
      <c r="AB162" s="13" t="s">
        <v>33</v>
      </c>
      <c r="AC162" s="19" t="s">
        <v>39</v>
      </c>
      <c r="AD162" s="7" t="s">
        <v>29</v>
      </c>
      <c r="AE162" s="16"/>
    </row>
    <row r="163" spans="1:31" x14ac:dyDescent="0.2">
      <c r="A163">
        <v>520</v>
      </c>
      <c r="B163" s="8">
        <v>46203</v>
      </c>
      <c r="C163" s="9">
        <v>0.79515046296296299</v>
      </c>
      <c r="D163" s="7" t="s">
        <v>24</v>
      </c>
      <c r="E163" s="13" t="s">
        <v>37</v>
      </c>
      <c r="F163" s="16">
        <v>69.617883300000003</v>
      </c>
      <c r="G163" s="129">
        <v>2216.0825199999999</v>
      </c>
      <c r="H163" s="22">
        <v>1</v>
      </c>
      <c r="I163" s="19" t="s">
        <v>45</v>
      </c>
      <c r="J163" s="7" t="s">
        <v>27</v>
      </c>
      <c r="K163" s="16"/>
      <c r="L163" s="16"/>
      <c r="M163" s="16"/>
      <c r="N163" s="16">
        <v>66.981421100000006</v>
      </c>
      <c r="O163" s="16"/>
      <c r="P163" s="175"/>
      <c r="Q163" s="16"/>
      <c r="R163" s="16"/>
      <c r="S163" s="13" t="s">
        <v>33</v>
      </c>
      <c r="T163" s="22">
        <v>0</v>
      </c>
      <c r="U163" s="19"/>
      <c r="AB163" s="13" t="s">
        <v>33</v>
      </c>
      <c r="AC163" s="19" t="s">
        <v>39</v>
      </c>
      <c r="AD163" s="7" t="s">
        <v>20</v>
      </c>
      <c r="AE163" s="16"/>
    </row>
    <row r="164" spans="1:31" x14ac:dyDescent="0.2">
      <c r="A164">
        <v>521</v>
      </c>
      <c r="B164" s="8">
        <v>46203</v>
      </c>
      <c r="C164" s="9">
        <v>0.79548611111111112</v>
      </c>
      <c r="D164" s="7" t="s">
        <v>24</v>
      </c>
      <c r="E164" s="13" t="s">
        <v>37</v>
      </c>
      <c r="F164" s="16">
        <v>69.109720499999995</v>
      </c>
      <c r="G164" s="129">
        <v>1103.8912399999999</v>
      </c>
      <c r="H164" s="22">
        <v>0</v>
      </c>
      <c r="I164" s="19"/>
      <c r="J164" s="7" t="s">
        <v>29</v>
      </c>
      <c r="K164" s="16"/>
      <c r="L164" s="16"/>
      <c r="M164" s="16"/>
      <c r="N164" s="16"/>
      <c r="O164" s="16"/>
      <c r="P164" s="175"/>
      <c r="Q164" s="16"/>
      <c r="R164" s="16"/>
      <c r="S164" s="13" t="s">
        <v>37</v>
      </c>
      <c r="T164" s="22">
        <v>0</v>
      </c>
      <c r="U164" s="19"/>
      <c r="AB164" s="13" t="s">
        <v>33</v>
      </c>
      <c r="AC164" s="19" t="s">
        <v>39</v>
      </c>
      <c r="AD164" s="7" t="s">
        <v>52</v>
      </c>
      <c r="AE164" s="16"/>
    </row>
    <row r="165" spans="1:31" x14ac:dyDescent="0.2">
      <c r="A165">
        <v>522</v>
      </c>
      <c r="B165" s="8">
        <v>46203</v>
      </c>
      <c r="C165" s="9">
        <v>0.79565972222222225</v>
      </c>
      <c r="D165" s="7" t="s">
        <v>24</v>
      </c>
      <c r="E165" s="13" t="s">
        <v>33</v>
      </c>
      <c r="F165" s="16">
        <v>83.719316399999997</v>
      </c>
      <c r="G165" s="129">
        <v>2184.1374500000002</v>
      </c>
      <c r="H165" s="22">
        <v>1</v>
      </c>
      <c r="I165" s="19" t="s">
        <v>39</v>
      </c>
      <c r="J165" s="7" t="s">
        <v>29</v>
      </c>
      <c r="K165" s="16"/>
      <c r="L165" s="16"/>
      <c r="M165" s="16"/>
      <c r="N165" s="16">
        <v>64.115607199999999</v>
      </c>
      <c r="O165" s="16"/>
      <c r="P165" s="175"/>
      <c r="Q165" s="16"/>
      <c r="R165" s="16"/>
      <c r="S165" s="13" t="s">
        <v>37</v>
      </c>
      <c r="T165" s="22">
        <v>1</v>
      </c>
      <c r="U165" s="19" t="s">
        <v>39</v>
      </c>
      <c r="AB165" s="10" t="s">
        <v>33</v>
      </c>
      <c r="AC165" s="17" t="s">
        <v>39</v>
      </c>
      <c r="AD165" t="s">
        <v>21</v>
      </c>
      <c r="AE165" s="11"/>
    </row>
    <row r="166" spans="1:31" x14ac:dyDescent="0.2">
      <c r="A166">
        <v>523</v>
      </c>
      <c r="B166" s="8">
        <v>46203</v>
      </c>
      <c r="C166" s="9">
        <v>0.79591435185185189</v>
      </c>
      <c r="D166" s="7" t="s">
        <v>24</v>
      </c>
      <c r="E166" s="13" t="s">
        <v>35</v>
      </c>
      <c r="F166" s="16">
        <v>75.699919899999998</v>
      </c>
      <c r="G166" s="129">
        <v>1464.8747599999999</v>
      </c>
      <c r="H166" s="22">
        <v>1</v>
      </c>
      <c r="I166" s="19" t="s">
        <v>38</v>
      </c>
      <c r="J166" s="7" t="s">
        <v>29</v>
      </c>
      <c r="K166" s="16"/>
      <c r="L166" s="16"/>
      <c r="M166" s="16"/>
      <c r="N166" s="16">
        <v>54.338117199999999</v>
      </c>
      <c r="O166" s="16"/>
      <c r="P166" s="175"/>
      <c r="Q166" s="16"/>
      <c r="R166" s="16"/>
      <c r="S166" s="13" t="s">
        <v>37</v>
      </c>
      <c r="T166" s="22">
        <v>0</v>
      </c>
      <c r="U166" s="19"/>
      <c r="AB166" s="13" t="s">
        <v>33</v>
      </c>
      <c r="AC166" s="19"/>
      <c r="AD166" s="7" t="s">
        <v>21</v>
      </c>
      <c r="AE166" s="16"/>
    </row>
    <row r="167" spans="1:31" x14ac:dyDescent="0.2">
      <c r="A167">
        <v>524</v>
      </c>
      <c r="B167" s="8">
        <v>46203</v>
      </c>
      <c r="C167" s="9">
        <v>0.79625000000000001</v>
      </c>
      <c r="D167" s="7" t="s">
        <v>24</v>
      </c>
      <c r="E167" s="13" t="s">
        <v>37</v>
      </c>
      <c r="F167" s="16">
        <v>69.474960100000004</v>
      </c>
      <c r="G167" s="129">
        <v>1159.89417</v>
      </c>
      <c r="H167" s="22">
        <v>0</v>
      </c>
      <c r="I167" s="19" t="s">
        <v>41</v>
      </c>
      <c r="J167" s="7" t="s">
        <v>29</v>
      </c>
      <c r="K167" s="16"/>
      <c r="L167" s="16"/>
      <c r="M167" s="16"/>
      <c r="N167" s="16"/>
      <c r="O167" s="16"/>
      <c r="P167" s="175"/>
      <c r="Q167" s="16"/>
      <c r="R167" s="16"/>
      <c r="S167" s="13" t="s">
        <v>37</v>
      </c>
      <c r="T167" s="22">
        <v>0</v>
      </c>
      <c r="U167" s="19"/>
      <c r="AB167" s="13" t="s">
        <v>33</v>
      </c>
      <c r="AC167" s="19"/>
      <c r="AD167" s="7" t="s">
        <v>21</v>
      </c>
      <c r="AE167" s="16"/>
    </row>
    <row r="168" spans="1:31" x14ac:dyDescent="0.2">
      <c r="A168">
        <v>525</v>
      </c>
      <c r="B168" s="8">
        <v>46203</v>
      </c>
      <c r="C168" s="9">
        <v>0.79685185185185181</v>
      </c>
      <c r="D168" s="7" t="s">
        <v>24</v>
      </c>
      <c r="E168" s="13" t="s">
        <v>33</v>
      </c>
      <c r="F168" s="16">
        <v>83.020598100000001</v>
      </c>
      <c r="G168" s="129">
        <v>2125.42</v>
      </c>
      <c r="H168" s="22">
        <v>0</v>
      </c>
      <c r="I168" s="19"/>
      <c r="J168" s="7" t="s">
        <v>19</v>
      </c>
      <c r="K168" s="16"/>
      <c r="L168" s="16"/>
      <c r="M168" s="16"/>
      <c r="N168" s="16"/>
      <c r="O168" s="16"/>
      <c r="P168" s="177"/>
      <c r="Q168" s="16"/>
      <c r="R168" s="16"/>
      <c r="S168" s="13" t="s">
        <v>37</v>
      </c>
      <c r="T168" s="22">
        <v>1</v>
      </c>
      <c r="U168" s="19" t="s">
        <v>39</v>
      </c>
      <c r="AB168" s="13" t="s">
        <v>33</v>
      </c>
      <c r="AC168" s="19"/>
      <c r="AD168" s="7" t="s">
        <v>22</v>
      </c>
      <c r="AE168" s="16"/>
    </row>
    <row r="169" spans="1:31" x14ac:dyDescent="0.2">
      <c r="A169">
        <v>526</v>
      </c>
      <c r="B169" s="8">
        <v>46203</v>
      </c>
      <c r="C169" s="9">
        <v>0.79704861111111114</v>
      </c>
      <c r="D169" s="7" t="s">
        <v>24</v>
      </c>
      <c r="E169" s="13" t="s">
        <v>37</v>
      </c>
      <c r="F169" s="16">
        <v>68.712720500000003</v>
      </c>
      <c r="G169" s="129">
        <v>2375.25171</v>
      </c>
      <c r="H169" s="22">
        <v>1</v>
      </c>
      <c r="I169" s="19"/>
      <c r="J169" s="7" t="s">
        <v>19</v>
      </c>
      <c r="K169" s="16"/>
      <c r="L169" s="16"/>
      <c r="M169" s="16"/>
      <c r="N169" s="16"/>
      <c r="O169" s="16"/>
      <c r="P169" s="175"/>
      <c r="Q169" s="16"/>
      <c r="R169" s="16"/>
      <c r="S169" s="13" t="s">
        <v>37</v>
      </c>
      <c r="T169" s="22">
        <v>1</v>
      </c>
      <c r="U169" s="19" t="s">
        <v>45</v>
      </c>
      <c r="AB169" s="13" t="s">
        <v>33</v>
      </c>
      <c r="AC169" s="19"/>
      <c r="AD169" s="7" t="s">
        <v>19</v>
      </c>
      <c r="AE169" s="16"/>
    </row>
    <row r="170" spans="1:31" x14ac:dyDescent="0.2">
      <c r="A170">
        <v>527</v>
      </c>
      <c r="B170" s="8">
        <v>46203</v>
      </c>
      <c r="C170" s="9">
        <v>0.79736111111111108</v>
      </c>
      <c r="D170" s="7" t="s">
        <v>24</v>
      </c>
      <c r="E170" s="13" t="s">
        <v>49</v>
      </c>
      <c r="F170" s="16">
        <v>64.790364199999999</v>
      </c>
      <c r="G170" s="129">
        <v>1935.5845899999999</v>
      </c>
      <c r="H170" s="22">
        <v>1</v>
      </c>
      <c r="I170" s="19"/>
      <c r="J170" s="7" t="s">
        <v>19</v>
      </c>
      <c r="K170" s="16"/>
      <c r="L170" s="16"/>
      <c r="M170" s="16"/>
      <c r="N170" s="16"/>
      <c r="O170" s="16"/>
      <c r="P170" s="175"/>
      <c r="Q170" s="16"/>
      <c r="R170" s="16"/>
      <c r="S170" s="13" t="s">
        <v>37</v>
      </c>
      <c r="T170" s="22">
        <v>0</v>
      </c>
      <c r="U170" s="19"/>
      <c r="AB170" s="13" t="s">
        <v>33</v>
      </c>
      <c r="AC170" s="19"/>
      <c r="AD170" s="7" t="s">
        <v>27</v>
      </c>
      <c r="AE170" s="16"/>
    </row>
    <row r="171" spans="1:31" x14ac:dyDescent="0.2">
      <c r="A171">
        <v>528</v>
      </c>
      <c r="B171" s="8">
        <v>46203</v>
      </c>
      <c r="C171" s="9">
        <v>0.79762731481481486</v>
      </c>
      <c r="D171" s="7" t="s">
        <v>24</v>
      </c>
      <c r="E171" s="13" t="s">
        <v>33</v>
      </c>
      <c r="F171" s="16">
        <v>82.2424781</v>
      </c>
      <c r="G171" s="129">
        <v>2197.5949700000001</v>
      </c>
      <c r="H171" s="22">
        <v>0</v>
      </c>
      <c r="I171" s="19"/>
      <c r="J171" s="7" t="s">
        <v>19</v>
      </c>
      <c r="K171" s="16"/>
      <c r="L171" s="16"/>
      <c r="M171" s="16"/>
      <c r="N171" s="16"/>
      <c r="O171" s="16"/>
      <c r="P171" s="175"/>
      <c r="Q171" s="16"/>
      <c r="R171" s="16"/>
      <c r="S171" s="13" t="s">
        <v>37</v>
      </c>
      <c r="T171" s="22">
        <v>1</v>
      </c>
      <c r="U171" s="19" t="s">
        <v>45</v>
      </c>
      <c r="AB171" s="13" t="s">
        <v>33</v>
      </c>
      <c r="AC171" s="19"/>
      <c r="AD171" s="7" t="s">
        <v>27</v>
      </c>
      <c r="AE171" s="16"/>
    </row>
    <row r="172" spans="1:31" x14ac:dyDescent="0.2">
      <c r="A172">
        <v>529</v>
      </c>
      <c r="B172" s="8">
        <v>46203</v>
      </c>
      <c r="C172" s="9">
        <v>0.79792824074074076</v>
      </c>
      <c r="D172" s="7" t="s">
        <v>24</v>
      </c>
      <c r="E172" s="13" t="s">
        <v>33</v>
      </c>
      <c r="F172" s="16">
        <v>81.940755199999998</v>
      </c>
      <c r="G172" s="129">
        <v>2192.1518599999999</v>
      </c>
      <c r="H172" s="22">
        <v>1</v>
      </c>
      <c r="I172" s="19" t="s">
        <v>42</v>
      </c>
      <c r="J172" s="7" t="s">
        <v>19</v>
      </c>
      <c r="K172" s="16"/>
      <c r="L172" s="16"/>
      <c r="M172" s="16"/>
      <c r="N172" s="16"/>
      <c r="O172" s="16"/>
      <c r="P172" s="175"/>
      <c r="Q172" s="16"/>
      <c r="R172" s="16"/>
      <c r="S172" s="13" t="s">
        <v>37</v>
      </c>
      <c r="T172" s="22">
        <v>0</v>
      </c>
      <c r="U172" s="19"/>
      <c r="AB172" s="13" t="s">
        <v>33</v>
      </c>
      <c r="AC172" s="19"/>
      <c r="AD172" s="7" t="s">
        <v>21</v>
      </c>
      <c r="AE172" s="16"/>
    </row>
    <row r="173" spans="1:31" x14ac:dyDescent="0.2">
      <c r="A173">
        <v>530</v>
      </c>
      <c r="B173" s="8">
        <v>46203</v>
      </c>
      <c r="C173" s="9">
        <v>0.79818287037037039</v>
      </c>
      <c r="D173" s="7" t="s">
        <v>24</v>
      </c>
      <c r="E173" s="13" t="s">
        <v>33</v>
      </c>
      <c r="F173" s="16">
        <v>83.115871600000006</v>
      </c>
      <c r="G173" s="129">
        <v>2028.91443</v>
      </c>
      <c r="H173" s="22">
        <v>0</v>
      </c>
      <c r="I173" s="19"/>
      <c r="J173" s="7" t="s">
        <v>19</v>
      </c>
      <c r="K173" s="16"/>
      <c r="L173" s="16"/>
      <c r="M173" s="16"/>
      <c r="N173" s="16"/>
      <c r="O173" s="16"/>
      <c r="P173" s="175"/>
      <c r="Q173" s="16"/>
      <c r="R173" s="16"/>
      <c r="S173" s="13" t="s">
        <v>37</v>
      </c>
      <c r="T173" s="22">
        <v>0</v>
      </c>
      <c r="U173" s="19" t="s">
        <v>41</v>
      </c>
      <c r="AB173" s="13" t="s">
        <v>33</v>
      </c>
      <c r="AC173" s="19"/>
      <c r="AD173" s="7" t="s">
        <v>29</v>
      </c>
      <c r="AE173" s="16"/>
    </row>
    <row r="174" spans="1:31" s="155" customFormat="1" x14ac:dyDescent="0.2">
      <c r="A174" s="155">
        <v>531</v>
      </c>
      <c r="B174" s="163">
        <v>46203</v>
      </c>
      <c r="C174" s="164">
        <v>0.79839120370370376</v>
      </c>
      <c r="D174" s="165" t="s">
        <v>24</v>
      </c>
      <c r="E174" s="166" t="s">
        <v>35</v>
      </c>
      <c r="F174" s="167">
        <v>77.049715199999994</v>
      </c>
      <c r="G174" s="168">
        <v>2014.2271699999999</v>
      </c>
      <c r="H174" s="169">
        <v>0</v>
      </c>
      <c r="I174" s="170"/>
      <c r="J174" s="165" t="s">
        <v>19</v>
      </c>
      <c r="K174" s="167"/>
      <c r="L174" s="167"/>
      <c r="M174" s="167"/>
      <c r="N174" s="167"/>
      <c r="O174" s="167"/>
      <c r="P174" s="176"/>
      <c r="Q174" s="167"/>
      <c r="R174" s="167"/>
      <c r="S174" s="166" t="s">
        <v>37</v>
      </c>
      <c r="T174" s="169">
        <v>1</v>
      </c>
      <c r="U174" s="170"/>
      <c r="AB174" s="166" t="s">
        <v>33</v>
      </c>
      <c r="AC174" s="170"/>
      <c r="AD174" s="165" t="s">
        <v>19</v>
      </c>
      <c r="AE174" s="167"/>
    </row>
    <row r="175" spans="1:31" x14ac:dyDescent="0.2">
      <c r="A175">
        <v>913</v>
      </c>
      <c r="B175" s="8">
        <v>46221</v>
      </c>
      <c r="C175" s="9">
        <v>0.43579861111111112</v>
      </c>
      <c r="D175" s="7" t="s">
        <v>24</v>
      </c>
      <c r="E175" s="13" t="s">
        <v>33</v>
      </c>
      <c r="F175" s="16">
        <v>81.877238599999998</v>
      </c>
      <c r="G175" s="129">
        <v>2134.7727100000002</v>
      </c>
      <c r="H175" s="22">
        <v>1</v>
      </c>
      <c r="I175" s="19"/>
      <c r="J175" s="7" t="s">
        <v>21</v>
      </c>
      <c r="K175" s="16"/>
      <c r="L175" s="16"/>
      <c r="M175" s="16"/>
      <c r="N175" s="16"/>
      <c r="O175" s="16"/>
      <c r="P175" s="177"/>
      <c r="Q175" s="16"/>
      <c r="R175" s="16"/>
      <c r="S175" s="13" t="s">
        <v>49</v>
      </c>
      <c r="T175" s="22">
        <v>1</v>
      </c>
      <c r="U175" s="19" t="s">
        <v>39</v>
      </c>
      <c r="AB175" s="13" t="s">
        <v>33</v>
      </c>
      <c r="AC175" s="19"/>
      <c r="AD175" s="7" t="s">
        <v>23</v>
      </c>
      <c r="AE175" s="16"/>
    </row>
    <row r="176" spans="1:31" x14ac:dyDescent="0.2">
      <c r="A176">
        <v>914</v>
      </c>
      <c r="B176" s="8">
        <v>46221</v>
      </c>
      <c r="C176" s="9">
        <v>0.43596064814814817</v>
      </c>
      <c r="D176" s="7" t="s">
        <v>24</v>
      </c>
      <c r="E176" s="13" t="s">
        <v>33</v>
      </c>
      <c r="F176" s="16">
        <v>82.305991000000006</v>
      </c>
      <c r="G176" s="129">
        <v>2192.06909</v>
      </c>
      <c r="H176" s="22">
        <v>0</v>
      </c>
      <c r="I176" s="19"/>
      <c r="J176" s="7" t="s">
        <v>21</v>
      </c>
      <c r="K176" s="16"/>
      <c r="L176" s="16"/>
      <c r="M176" s="16"/>
      <c r="N176" s="16"/>
      <c r="O176" s="16"/>
      <c r="P176" s="175"/>
      <c r="Q176" s="16"/>
      <c r="R176" s="16"/>
      <c r="S176" s="13" t="s">
        <v>49</v>
      </c>
      <c r="T176" s="22">
        <v>0</v>
      </c>
      <c r="U176" s="19"/>
      <c r="AB176" s="13" t="s">
        <v>33</v>
      </c>
      <c r="AC176" s="19"/>
      <c r="AD176" s="7" t="s">
        <v>23</v>
      </c>
      <c r="AE176" s="16"/>
    </row>
    <row r="177" spans="1:31" x14ac:dyDescent="0.2">
      <c r="A177">
        <v>915</v>
      </c>
      <c r="B177" s="8">
        <v>46221</v>
      </c>
      <c r="C177" s="9">
        <v>0.43619212962962961</v>
      </c>
      <c r="D177" s="7" t="s">
        <v>24</v>
      </c>
      <c r="E177" s="13" t="s">
        <v>49</v>
      </c>
      <c r="F177" s="16">
        <v>65.663762000000006</v>
      </c>
      <c r="G177" s="129">
        <v>2032.0752</v>
      </c>
      <c r="H177" s="22">
        <v>1</v>
      </c>
      <c r="I177" s="19" t="s">
        <v>39</v>
      </c>
      <c r="J177" s="7" t="s">
        <v>21</v>
      </c>
      <c r="K177" s="16"/>
      <c r="L177" s="16"/>
      <c r="M177" s="16"/>
      <c r="N177" s="16">
        <v>63.716136800000001</v>
      </c>
      <c r="O177" s="16"/>
      <c r="P177" s="175"/>
      <c r="Q177" s="16"/>
      <c r="R177" s="16"/>
      <c r="S177" s="13" t="s">
        <v>35</v>
      </c>
      <c r="T177" s="22">
        <v>0</v>
      </c>
      <c r="U177" s="19"/>
      <c r="AB177" s="13" t="s">
        <v>33</v>
      </c>
      <c r="AC177" s="19"/>
      <c r="AD177" s="7" t="s">
        <v>20</v>
      </c>
      <c r="AE177" s="16"/>
    </row>
    <row r="178" spans="1:31" x14ac:dyDescent="0.2">
      <c r="A178">
        <v>916</v>
      </c>
      <c r="B178" s="8">
        <v>46221</v>
      </c>
      <c r="C178" s="9">
        <v>0.43641203703703701</v>
      </c>
      <c r="D178" s="7" t="s">
        <v>24</v>
      </c>
      <c r="E178" s="13" t="s">
        <v>37</v>
      </c>
      <c r="F178" s="16">
        <v>68.093404000000007</v>
      </c>
      <c r="G178" s="129">
        <v>2131.6965300000002</v>
      </c>
      <c r="H178" s="22">
        <v>1</v>
      </c>
      <c r="I178" s="19" t="s">
        <v>45</v>
      </c>
      <c r="J178" s="7" t="s">
        <v>21</v>
      </c>
      <c r="K178" s="16"/>
      <c r="L178" s="16"/>
      <c r="M178" s="16"/>
      <c r="N178" s="16">
        <v>64.500682100000006</v>
      </c>
      <c r="O178" s="16"/>
      <c r="P178" s="175"/>
      <c r="Q178" s="16"/>
      <c r="R178" s="16"/>
      <c r="S178" s="13" t="s">
        <v>35</v>
      </c>
      <c r="T178" s="22">
        <v>0</v>
      </c>
      <c r="U178" s="19"/>
      <c r="AB178" s="13" t="s">
        <v>33</v>
      </c>
      <c r="AC178" s="19"/>
      <c r="AD178" s="7" t="s">
        <v>20</v>
      </c>
      <c r="AE178" s="16"/>
    </row>
    <row r="179" spans="1:31" x14ac:dyDescent="0.2">
      <c r="A179">
        <v>917</v>
      </c>
      <c r="B179" s="8">
        <v>46221</v>
      </c>
      <c r="C179" s="9">
        <v>0.43675925925925924</v>
      </c>
      <c r="D179" s="7" t="s">
        <v>24</v>
      </c>
      <c r="E179" s="13" t="s">
        <v>33</v>
      </c>
      <c r="F179" s="16">
        <v>82.163076500000003</v>
      </c>
      <c r="G179" s="129">
        <v>2191.9245599999999</v>
      </c>
      <c r="H179" s="22">
        <v>0</v>
      </c>
      <c r="I179" s="19"/>
      <c r="J179" s="7" t="s">
        <v>17</v>
      </c>
      <c r="K179" s="16"/>
      <c r="L179" s="16"/>
      <c r="M179" s="16"/>
      <c r="N179" s="16"/>
      <c r="O179" s="16"/>
      <c r="P179" s="175"/>
      <c r="Q179" s="16"/>
      <c r="R179" s="16"/>
      <c r="S179" s="13" t="s">
        <v>33</v>
      </c>
      <c r="T179" s="22">
        <v>1</v>
      </c>
      <c r="U179" s="19"/>
      <c r="AB179" s="13" t="s">
        <v>33</v>
      </c>
      <c r="AC179" s="19"/>
      <c r="AD179" s="7" t="s">
        <v>21</v>
      </c>
      <c r="AE179" s="16"/>
    </row>
    <row r="180" spans="1:31" x14ac:dyDescent="0.2">
      <c r="A180">
        <v>918</v>
      </c>
      <c r="B180" s="8">
        <v>46221</v>
      </c>
      <c r="C180" s="9">
        <v>0.43689814814814815</v>
      </c>
      <c r="D180" s="7" t="s">
        <v>24</v>
      </c>
      <c r="E180" s="13" t="s">
        <v>33</v>
      </c>
      <c r="F180" s="16">
        <v>81.686674400000001</v>
      </c>
      <c r="G180" s="129">
        <v>2218.5461399999999</v>
      </c>
      <c r="H180" s="22">
        <v>0</v>
      </c>
      <c r="I180" s="19"/>
      <c r="J180" s="7" t="s">
        <v>17</v>
      </c>
      <c r="K180" s="16"/>
      <c r="L180" s="16"/>
      <c r="M180" s="16"/>
      <c r="N180" s="16"/>
      <c r="O180" s="16"/>
      <c r="P180" s="175"/>
      <c r="Q180" s="16"/>
      <c r="R180" s="16"/>
      <c r="S180" s="13" t="s">
        <v>33</v>
      </c>
      <c r="T180" s="22">
        <v>0</v>
      </c>
      <c r="U180" s="19"/>
      <c r="AB180" s="13" t="s">
        <v>33</v>
      </c>
      <c r="AC180" s="19"/>
      <c r="AD180" s="7" t="s">
        <v>21</v>
      </c>
      <c r="AE180" s="16"/>
    </row>
    <row r="181" spans="1:31" x14ac:dyDescent="0.2">
      <c r="A181">
        <v>919</v>
      </c>
      <c r="B181" s="8">
        <v>46221</v>
      </c>
      <c r="C181" s="9">
        <v>0.43708333333333332</v>
      </c>
      <c r="D181" s="7" t="s">
        <v>24</v>
      </c>
      <c r="E181" s="13" t="s">
        <v>49</v>
      </c>
      <c r="F181" s="16">
        <v>66.314843499999995</v>
      </c>
      <c r="G181" s="129">
        <v>2019.64563</v>
      </c>
      <c r="H181" s="22">
        <v>0</v>
      </c>
      <c r="I181" s="19"/>
      <c r="J181" s="7" t="s">
        <v>17</v>
      </c>
      <c r="K181" s="16"/>
      <c r="L181" s="16"/>
      <c r="M181" s="16"/>
      <c r="N181" s="16"/>
      <c r="O181" s="16"/>
      <c r="P181" s="175"/>
      <c r="Q181" s="16"/>
      <c r="R181" s="16"/>
      <c r="S181" s="13" t="s">
        <v>33</v>
      </c>
      <c r="T181" s="22">
        <v>0</v>
      </c>
      <c r="U181" s="19"/>
      <c r="AB181" s="13" t="s">
        <v>33</v>
      </c>
      <c r="AC181" s="19"/>
      <c r="AD181" s="7" t="s">
        <v>27</v>
      </c>
      <c r="AE181" s="16"/>
    </row>
    <row r="182" spans="1:31" x14ac:dyDescent="0.2">
      <c r="A182">
        <v>920</v>
      </c>
      <c r="B182" s="8">
        <v>46221</v>
      </c>
      <c r="C182" s="9">
        <v>0.4372800925925926</v>
      </c>
      <c r="D182" s="7" t="s">
        <v>24</v>
      </c>
      <c r="E182" s="13" t="s">
        <v>33</v>
      </c>
      <c r="F182" s="16">
        <v>82.575956899999994</v>
      </c>
      <c r="G182" s="129">
        <v>2247.9018599999999</v>
      </c>
      <c r="H182" s="22">
        <v>0</v>
      </c>
      <c r="I182" s="19" t="s">
        <v>48</v>
      </c>
      <c r="J182" s="7" t="s">
        <v>17</v>
      </c>
      <c r="K182" s="16"/>
      <c r="L182" s="16"/>
      <c r="M182" s="16"/>
      <c r="N182" s="16"/>
      <c r="O182" s="16"/>
      <c r="P182" s="175"/>
      <c r="Q182" s="16"/>
      <c r="R182" s="16"/>
      <c r="S182" s="13" t="s">
        <v>33</v>
      </c>
      <c r="T182" s="22">
        <v>0</v>
      </c>
      <c r="U182" s="19"/>
      <c r="AB182" s="13" t="s">
        <v>33</v>
      </c>
      <c r="AC182" s="19"/>
      <c r="AD182" s="7" t="s">
        <v>20</v>
      </c>
      <c r="AE182" s="16"/>
    </row>
    <row r="183" spans="1:31" x14ac:dyDescent="0.2">
      <c r="A183">
        <v>921</v>
      </c>
      <c r="B183" s="8">
        <v>46221</v>
      </c>
      <c r="C183" s="9">
        <v>0.43744212962962964</v>
      </c>
      <c r="D183" s="7" t="s">
        <v>24</v>
      </c>
      <c r="E183" s="13" t="s">
        <v>33</v>
      </c>
      <c r="F183" s="16">
        <v>83.925752299999999</v>
      </c>
      <c r="G183" s="129">
        <v>1109.0682400000001</v>
      </c>
      <c r="H183" s="22">
        <v>1</v>
      </c>
      <c r="I183" s="19" t="s">
        <v>38</v>
      </c>
      <c r="J183" s="7" t="s">
        <v>17</v>
      </c>
      <c r="K183" s="16"/>
      <c r="L183" s="16"/>
      <c r="M183" s="16"/>
      <c r="N183" s="16">
        <v>64.500682100000006</v>
      </c>
      <c r="O183" s="16"/>
      <c r="P183" s="175"/>
      <c r="Q183" s="16"/>
      <c r="R183" s="16"/>
      <c r="S183" s="13" t="s">
        <v>33</v>
      </c>
      <c r="T183" s="22">
        <v>0</v>
      </c>
      <c r="U183" s="19" t="s">
        <v>48</v>
      </c>
      <c r="AB183" s="13" t="s">
        <v>33</v>
      </c>
      <c r="AC183" s="19"/>
      <c r="AD183" s="7" t="s">
        <v>20</v>
      </c>
      <c r="AE183" s="16"/>
    </row>
    <row r="184" spans="1:31" x14ac:dyDescent="0.2">
      <c r="A184">
        <v>922</v>
      </c>
      <c r="B184" s="8">
        <v>46221</v>
      </c>
      <c r="C184" s="9">
        <v>0.43787037037037035</v>
      </c>
      <c r="D184" s="7" t="s">
        <v>24</v>
      </c>
      <c r="E184" s="13" t="s">
        <v>35</v>
      </c>
      <c r="F184" s="16">
        <v>74.048397600000001</v>
      </c>
      <c r="G184" s="129">
        <v>1334.18884</v>
      </c>
      <c r="H184" s="22">
        <v>0</v>
      </c>
      <c r="I184" s="19"/>
      <c r="J184" s="7" t="s">
        <v>20</v>
      </c>
      <c r="K184" s="16"/>
      <c r="L184" s="16"/>
      <c r="M184" s="16"/>
      <c r="N184" s="16"/>
      <c r="O184" s="16"/>
      <c r="P184" s="175"/>
      <c r="Q184" s="16"/>
      <c r="R184" s="16"/>
      <c r="S184" s="13" t="s">
        <v>33</v>
      </c>
      <c r="T184" s="22">
        <v>1</v>
      </c>
      <c r="U184" s="19" t="s">
        <v>38</v>
      </c>
      <c r="AB184" s="13" t="s">
        <v>33</v>
      </c>
      <c r="AC184" s="19"/>
      <c r="AD184" s="7" t="s">
        <v>27</v>
      </c>
      <c r="AE184" s="16"/>
    </row>
    <row r="185" spans="1:31" x14ac:dyDescent="0.2">
      <c r="A185">
        <v>923</v>
      </c>
      <c r="B185" s="8">
        <v>46221</v>
      </c>
      <c r="C185" s="9">
        <v>0.43841435185185185</v>
      </c>
      <c r="D185" s="7" t="s">
        <v>24</v>
      </c>
      <c r="E185" s="13" t="s">
        <v>33</v>
      </c>
      <c r="F185" s="16">
        <v>81.861358300000006</v>
      </c>
      <c r="G185" s="129">
        <v>2232.0998500000001</v>
      </c>
      <c r="H185" s="22">
        <v>0</v>
      </c>
      <c r="I185" s="19"/>
      <c r="J185" s="7" t="s">
        <v>20</v>
      </c>
      <c r="K185" s="16"/>
      <c r="L185" s="16"/>
      <c r="M185" s="16"/>
      <c r="N185" s="16"/>
      <c r="O185" s="16"/>
      <c r="P185" s="175"/>
      <c r="Q185" s="16"/>
      <c r="R185" s="16"/>
      <c r="S185" s="13" t="s">
        <v>33</v>
      </c>
      <c r="T185" s="22">
        <v>0</v>
      </c>
      <c r="U185" s="19"/>
      <c r="AB185" s="13" t="s">
        <v>33</v>
      </c>
      <c r="AC185" s="19"/>
      <c r="AD185" s="7" t="s">
        <v>27</v>
      </c>
      <c r="AE185" s="16"/>
    </row>
    <row r="186" spans="1:31" x14ac:dyDescent="0.2">
      <c r="A186">
        <v>924</v>
      </c>
      <c r="B186" s="8">
        <v>46221</v>
      </c>
      <c r="C186" s="9">
        <v>0.43861111111111112</v>
      </c>
      <c r="D186" s="7" t="s">
        <v>24</v>
      </c>
      <c r="E186" s="13" t="s">
        <v>37</v>
      </c>
      <c r="F186" s="16">
        <v>69.538481399999995</v>
      </c>
      <c r="G186" s="129">
        <v>2131.2807600000001</v>
      </c>
      <c r="H186" s="22">
        <v>1</v>
      </c>
      <c r="I186" s="19" t="s">
        <v>39</v>
      </c>
      <c r="J186" s="7" t="s">
        <v>20</v>
      </c>
      <c r="K186" s="16"/>
      <c r="L186" s="16"/>
      <c r="M186" s="16"/>
      <c r="N186" s="16">
        <v>50.322859600000001</v>
      </c>
      <c r="O186" s="16"/>
      <c r="P186" s="175"/>
      <c r="Q186" s="16"/>
      <c r="R186" s="16"/>
      <c r="S186" s="13" t="s">
        <v>33</v>
      </c>
      <c r="T186" s="22">
        <v>1</v>
      </c>
      <c r="U186" s="19"/>
      <c r="AB186" s="13" t="s">
        <v>33</v>
      </c>
      <c r="AC186" s="19"/>
      <c r="AD186" s="7" t="s">
        <v>19</v>
      </c>
      <c r="AE186" s="16"/>
    </row>
    <row r="187" spans="1:31" x14ac:dyDescent="0.2">
      <c r="A187">
        <v>925</v>
      </c>
      <c r="B187" s="8">
        <v>46221</v>
      </c>
      <c r="C187" s="9">
        <v>0.43880787037037039</v>
      </c>
      <c r="D187" s="7" t="s">
        <v>24</v>
      </c>
      <c r="E187" s="13" t="s">
        <v>37</v>
      </c>
      <c r="F187" s="16">
        <v>67.585241300000007</v>
      </c>
      <c r="G187" s="129">
        <v>1114.9322500000001</v>
      </c>
      <c r="H187" s="22">
        <v>0</v>
      </c>
      <c r="I187" s="19"/>
      <c r="J187" s="7" t="s">
        <v>20</v>
      </c>
      <c r="K187" s="16"/>
      <c r="L187" s="16"/>
      <c r="M187" s="16"/>
      <c r="N187" s="16"/>
      <c r="O187" s="16"/>
      <c r="P187" s="175"/>
      <c r="Q187" s="16"/>
      <c r="R187" s="16"/>
      <c r="S187" s="13" t="s">
        <v>33</v>
      </c>
      <c r="T187" s="22">
        <v>0</v>
      </c>
      <c r="U187" s="19" t="s">
        <v>48</v>
      </c>
      <c r="AB187" s="13" t="s">
        <v>33</v>
      </c>
      <c r="AC187" s="19"/>
      <c r="AD187" s="7" t="s">
        <v>19</v>
      </c>
      <c r="AE187" s="16"/>
    </row>
    <row r="188" spans="1:31" x14ac:dyDescent="0.2">
      <c r="A188">
        <v>926</v>
      </c>
      <c r="B188" s="8">
        <v>46221</v>
      </c>
      <c r="C188" s="9">
        <v>0.43909722222222225</v>
      </c>
      <c r="D188" s="7" t="s">
        <v>24</v>
      </c>
      <c r="E188" s="13" t="s">
        <v>33</v>
      </c>
      <c r="F188" s="16">
        <v>82.115435300000001</v>
      </c>
      <c r="G188" s="129">
        <v>2199.4338400000001</v>
      </c>
      <c r="H188" s="22">
        <v>1</v>
      </c>
      <c r="I188" s="19"/>
      <c r="J188" s="7" t="s">
        <v>20</v>
      </c>
      <c r="K188" s="16"/>
      <c r="L188" s="16"/>
      <c r="M188" s="16"/>
      <c r="N188" s="16"/>
      <c r="O188" s="16"/>
      <c r="P188" s="175"/>
      <c r="Q188" s="16"/>
      <c r="R188" s="16"/>
      <c r="S188" s="13" t="s">
        <v>33</v>
      </c>
      <c r="T188" s="22">
        <v>1</v>
      </c>
      <c r="U188" s="19" t="s">
        <v>39</v>
      </c>
      <c r="AB188" s="13" t="s">
        <v>33</v>
      </c>
      <c r="AC188" s="19"/>
      <c r="AD188" s="7" t="s">
        <v>19</v>
      </c>
      <c r="AE188" s="16"/>
    </row>
    <row r="189" spans="1:31" x14ac:dyDescent="0.2">
      <c r="A189">
        <v>927</v>
      </c>
      <c r="B189" s="8">
        <v>46221</v>
      </c>
      <c r="C189" s="9">
        <v>0.43929398148148147</v>
      </c>
      <c r="D189" s="7" t="s">
        <v>24</v>
      </c>
      <c r="E189" s="13" t="s">
        <v>33</v>
      </c>
      <c r="F189" s="16">
        <v>83.846350700000002</v>
      </c>
      <c r="G189" s="129">
        <v>2185.7390099999998</v>
      </c>
      <c r="H189" s="22">
        <v>0</v>
      </c>
      <c r="I189" s="19" t="s">
        <v>48</v>
      </c>
      <c r="J189" s="7" t="s">
        <v>20</v>
      </c>
      <c r="K189" s="16"/>
      <c r="L189" s="16"/>
      <c r="M189" s="16"/>
      <c r="N189" s="16"/>
      <c r="O189" s="16"/>
      <c r="P189" s="175"/>
      <c r="Q189" s="16"/>
      <c r="R189" s="16"/>
      <c r="S189" s="13" t="s">
        <v>33</v>
      </c>
      <c r="T189" s="22">
        <v>0</v>
      </c>
      <c r="U189" s="19"/>
      <c r="AB189" s="13" t="s">
        <v>33</v>
      </c>
      <c r="AC189" s="19"/>
      <c r="AD189" s="7" t="s">
        <v>21</v>
      </c>
      <c r="AE189" s="16"/>
    </row>
    <row r="190" spans="1:31" x14ac:dyDescent="0.2">
      <c r="A190">
        <v>928</v>
      </c>
      <c r="B190" s="8">
        <v>46221</v>
      </c>
      <c r="C190" s="9">
        <v>0.43958333333333333</v>
      </c>
      <c r="D190" s="7" t="s">
        <v>24</v>
      </c>
      <c r="E190" s="13" t="s">
        <v>33</v>
      </c>
      <c r="F190" s="16">
        <v>82.655358500000006</v>
      </c>
      <c r="G190" s="129">
        <v>2278.3662100000001</v>
      </c>
      <c r="H190" s="22">
        <v>1</v>
      </c>
      <c r="I190" s="19" t="s">
        <v>39</v>
      </c>
      <c r="J190" s="7" t="s">
        <v>20</v>
      </c>
      <c r="K190" s="16"/>
      <c r="L190" s="16"/>
      <c r="M190" s="16"/>
      <c r="N190" s="16">
        <v>53.741230199999997</v>
      </c>
      <c r="O190" s="16"/>
      <c r="P190" s="175"/>
      <c r="Q190" s="16"/>
      <c r="R190" s="16"/>
      <c r="S190" s="13" t="s">
        <v>33</v>
      </c>
      <c r="T190" s="22">
        <v>0</v>
      </c>
      <c r="U190" s="19"/>
      <c r="AB190" s="13" t="s">
        <v>33</v>
      </c>
      <c r="AC190" s="19"/>
      <c r="AD190" s="7" t="s">
        <v>21</v>
      </c>
      <c r="AE190" s="16"/>
    </row>
    <row r="191" spans="1:31" x14ac:dyDescent="0.2">
      <c r="A191">
        <v>929</v>
      </c>
      <c r="B191" s="8">
        <v>46221</v>
      </c>
      <c r="C191" s="9">
        <v>0.43989583333333332</v>
      </c>
      <c r="D191" s="7" t="s">
        <v>24</v>
      </c>
      <c r="E191" s="13" t="s">
        <v>37</v>
      </c>
      <c r="F191" s="16">
        <v>71.0153198</v>
      </c>
      <c r="G191" s="129">
        <v>1184.7165500000001</v>
      </c>
      <c r="H191" s="22">
        <v>1</v>
      </c>
      <c r="I191" s="19"/>
      <c r="J191" s="7" t="s">
        <v>27</v>
      </c>
      <c r="K191" s="16"/>
      <c r="L191" s="16"/>
      <c r="M191" s="16"/>
      <c r="N191" s="16"/>
      <c r="O191" s="16"/>
      <c r="P191" s="175"/>
      <c r="Q191" s="16"/>
      <c r="R191" s="16"/>
      <c r="S191" s="13" t="s">
        <v>33</v>
      </c>
      <c r="T191" s="22">
        <v>1</v>
      </c>
      <c r="U191" s="19" t="s">
        <v>38</v>
      </c>
      <c r="AB191" s="13" t="s">
        <v>33</v>
      </c>
      <c r="AC191" s="19"/>
      <c r="AD191" s="7" t="s">
        <v>17</v>
      </c>
      <c r="AE191" s="16"/>
    </row>
    <row r="192" spans="1:31" x14ac:dyDescent="0.2">
      <c r="A192">
        <v>930</v>
      </c>
      <c r="B192" s="8">
        <v>46221</v>
      </c>
      <c r="C192" s="9">
        <v>0.4400810185185185</v>
      </c>
      <c r="D192" s="7" t="s">
        <v>24</v>
      </c>
      <c r="E192" s="13" t="s">
        <v>37</v>
      </c>
      <c r="F192" s="16">
        <v>69.713161099999994</v>
      </c>
      <c r="G192" s="129">
        <v>1131.2040999999999</v>
      </c>
      <c r="H192" s="22">
        <v>0</v>
      </c>
      <c r="I192" s="19"/>
      <c r="J192" s="7" t="s">
        <v>27</v>
      </c>
      <c r="K192" s="16"/>
      <c r="L192" s="16"/>
      <c r="M192" s="16"/>
      <c r="N192" s="16"/>
      <c r="O192" s="16"/>
      <c r="P192" s="175"/>
      <c r="Q192" s="16"/>
      <c r="R192" s="16"/>
      <c r="S192" s="13" t="s">
        <v>33</v>
      </c>
      <c r="T192" s="22">
        <v>1</v>
      </c>
      <c r="U192" s="19" t="s">
        <v>38</v>
      </c>
      <c r="AB192" s="13" t="s">
        <v>33</v>
      </c>
      <c r="AC192" s="19"/>
      <c r="AD192" s="7" t="s">
        <v>17</v>
      </c>
      <c r="AE192" s="16"/>
    </row>
    <row r="193" spans="1:31" x14ac:dyDescent="0.2">
      <c r="A193">
        <v>931</v>
      </c>
      <c r="B193" s="8">
        <v>46221</v>
      </c>
      <c r="C193" s="9">
        <v>0.4403125</v>
      </c>
      <c r="D193" s="7" t="s">
        <v>24</v>
      </c>
      <c r="E193" s="13" t="s">
        <v>33</v>
      </c>
      <c r="F193" s="16">
        <v>81.877238599999998</v>
      </c>
      <c r="G193" s="129">
        <v>2253.0451699999999</v>
      </c>
      <c r="H193" s="22">
        <v>0</v>
      </c>
      <c r="I193" s="19"/>
      <c r="J193" s="7" t="s">
        <v>27</v>
      </c>
      <c r="K193" s="16"/>
      <c r="L193" s="16"/>
      <c r="M193" s="16"/>
      <c r="N193" s="16"/>
      <c r="O193" s="16"/>
      <c r="P193" s="175"/>
      <c r="Q193" s="16"/>
      <c r="R193" s="16"/>
      <c r="S193" s="13" t="s">
        <v>33</v>
      </c>
      <c r="T193" s="22">
        <v>1</v>
      </c>
      <c r="U193" s="19" t="s">
        <v>40</v>
      </c>
      <c r="AB193" s="13" t="s">
        <v>33</v>
      </c>
      <c r="AC193" s="19"/>
      <c r="AD193" s="7" t="s">
        <v>20</v>
      </c>
      <c r="AE193" s="16"/>
    </row>
    <row r="194" spans="1:31" x14ac:dyDescent="0.2">
      <c r="A194">
        <v>932</v>
      </c>
      <c r="B194" s="8">
        <v>46221</v>
      </c>
      <c r="C194" s="9">
        <v>0.44084490740740739</v>
      </c>
      <c r="D194" s="7" t="s">
        <v>24</v>
      </c>
      <c r="E194" s="13" t="s">
        <v>33</v>
      </c>
      <c r="F194" s="16">
        <v>82.687110700000005</v>
      </c>
      <c r="G194" s="129">
        <v>2198.9834000000001</v>
      </c>
      <c r="H194" s="22">
        <v>0</v>
      </c>
      <c r="I194" s="19"/>
      <c r="J194" s="7" t="s">
        <v>27</v>
      </c>
      <c r="K194" s="16"/>
      <c r="L194" s="16"/>
      <c r="M194" s="16"/>
      <c r="N194" s="16"/>
      <c r="O194" s="16"/>
      <c r="P194" s="175"/>
      <c r="Q194" s="16"/>
      <c r="R194" s="16"/>
      <c r="S194" s="13" t="s">
        <v>33</v>
      </c>
      <c r="T194" s="22">
        <v>0</v>
      </c>
      <c r="U194" s="19"/>
      <c r="AB194" s="13" t="s">
        <v>33</v>
      </c>
      <c r="AC194" s="19"/>
      <c r="AD194" s="7" t="s">
        <v>20</v>
      </c>
      <c r="AE194" s="16"/>
    </row>
    <row r="195" spans="1:31" x14ac:dyDescent="0.2">
      <c r="A195">
        <v>933</v>
      </c>
      <c r="B195" s="8">
        <v>46221</v>
      </c>
      <c r="C195" s="9">
        <v>0.44107638888888889</v>
      </c>
      <c r="D195" s="7" t="s">
        <v>24</v>
      </c>
      <c r="E195" s="13" t="s">
        <v>37</v>
      </c>
      <c r="F195" s="16">
        <v>68.7921221</v>
      </c>
      <c r="G195" s="129">
        <v>2267.3151899999998</v>
      </c>
      <c r="H195" s="169">
        <v>1</v>
      </c>
      <c r="I195" s="170" t="s">
        <v>254</v>
      </c>
      <c r="J195" s="165" t="s">
        <v>27</v>
      </c>
      <c r="K195" s="16">
        <v>89.887598299999993</v>
      </c>
      <c r="L195" s="16">
        <v>2.3313961000000001</v>
      </c>
      <c r="M195" s="16">
        <v>-25.945564000000001</v>
      </c>
      <c r="N195" s="16">
        <v>65.565420700000004</v>
      </c>
      <c r="O195" s="16">
        <v>78</v>
      </c>
      <c r="P195" s="177">
        <v>0.87472229000000001</v>
      </c>
      <c r="Q195" s="16"/>
      <c r="R195" s="16"/>
      <c r="S195" s="13" t="s">
        <v>33</v>
      </c>
      <c r="T195" s="169">
        <v>0</v>
      </c>
      <c r="U195" s="170" t="s">
        <v>48</v>
      </c>
      <c r="AB195" s="13" t="s">
        <v>33</v>
      </c>
      <c r="AC195" s="170"/>
      <c r="AD195" s="165" t="s">
        <v>27</v>
      </c>
      <c r="AE195" s="16"/>
    </row>
    <row r="196" spans="1:31" x14ac:dyDescent="0.2">
      <c r="A196">
        <v>954</v>
      </c>
      <c r="B196" s="8">
        <v>46221</v>
      </c>
      <c r="C196" s="9">
        <v>0.45111111111111113</v>
      </c>
      <c r="D196" s="7" t="s">
        <v>24</v>
      </c>
      <c r="E196" s="13" t="s">
        <v>37</v>
      </c>
      <c r="F196" s="16">
        <v>68.156921100000005</v>
      </c>
      <c r="G196" s="129">
        <v>1786.47595</v>
      </c>
      <c r="H196" s="22">
        <v>0</v>
      </c>
      <c r="I196" s="19"/>
      <c r="J196" s="7" t="s">
        <v>17</v>
      </c>
      <c r="K196" s="16"/>
      <c r="L196" s="16"/>
      <c r="M196" s="16"/>
      <c r="N196" s="16"/>
      <c r="O196" s="16"/>
      <c r="P196" s="177"/>
      <c r="Q196" s="16"/>
      <c r="R196" s="16"/>
      <c r="S196" s="13" t="s">
        <v>33</v>
      </c>
      <c r="T196" s="22">
        <v>0</v>
      </c>
      <c r="U196" s="19"/>
      <c r="AB196" s="13" t="s">
        <v>33</v>
      </c>
      <c r="AC196" s="19"/>
      <c r="AD196" s="7" t="s">
        <v>27</v>
      </c>
      <c r="AE196" s="16"/>
    </row>
    <row r="197" spans="1:31" x14ac:dyDescent="0.2">
      <c r="A197">
        <v>955</v>
      </c>
      <c r="B197" s="8">
        <v>46221</v>
      </c>
      <c r="C197" s="9">
        <v>0.4513773148148148</v>
      </c>
      <c r="D197" s="7" t="s">
        <v>24</v>
      </c>
      <c r="E197" s="13" t="s">
        <v>33</v>
      </c>
      <c r="F197" s="16">
        <v>81.7501958</v>
      </c>
      <c r="G197" s="129">
        <v>2274.4846200000002</v>
      </c>
      <c r="H197" s="22">
        <v>1</v>
      </c>
      <c r="I197" s="19" t="s">
        <v>38</v>
      </c>
      <c r="J197" s="7" t="s">
        <v>17</v>
      </c>
      <c r="K197" s="16"/>
      <c r="L197" s="16"/>
      <c r="M197" s="16"/>
      <c r="N197" s="16">
        <v>66.910352099999997</v>
      </c>
      <c r="O197" s="16"/>
      <c r="P197" s="175"/>
      <c r="Q197" s="16"/>
      <c r="R197" s="16"/>
      <c r="S197" s="13" t="s">
        <v>33</v>
      </c>
      <c r="T197" s="22">
        <v>1</v>
      </c>
      <c r="U197" s="19"/>
      <c r="AB197" s="13" t="s">
        <v>33</v>
      </c>
      <c r="AC197" s="19"/>
      <c r="AD197" s="7" t="s">
        <v>21</v>
      </c>
      <c r="AE197" s="16"/>
    </row>
    <row r="198" spans="1:31" x14ac:dyDescent="0.2">
      <c r="A198">
        <v>956</v>
      </c>
      <c r="B198" s="8">
        <v>46221</v>
      </c>
      <c r="C198" s="9">
        <v>0.45171296296296298</v>
      </c>
      <c r="D198" s="7" t="s">
        <v>24</v>
      </c>
      <c r="E198" s="13" t="s">
        <v>35</v>
      </c>
      <c r="F198" s="16">
        <v>76.033398700000006</v>
      </c>
      <c r="G198" s="129">
        <v>1524.9176</v>
      </c>
      <c r="H198" s="22">
        <v>0</v>
      </c>
      <c r="I198" s="19"/>
      <c r="J198" s="7" t="s">
        <v>17</v>
      </c>
      <c r="K198" s="16"/>
      <c r="L198" s="16"/>
      <c r="M198" s="16"/>
      <c r="N198" s="16"/>
      <c r="O198" s="16"/>
      <c r="P198" s="175"/>
      <c r="Q198" s="16"/>
      <c r="R198" s="16"/>
      <c r="S198" s="13" t="s">
        <v>33</v>
      </c>
      <c r="T198" s="22">
        <v>0</v>
      </c>
      <c r="U198" s="19"/>
      <c r="AB198" s="13" t="s">
        <v>33</v>
      </c>
      <c r="AC198" s="19"/>
      <c r="AD198" s="7" t="s">
        <v>21</v>
      </c>
      <c r="AE198" s="16"/>
    </row>
    <row r="199" spans="1:31" x14ac:dyDescent="0.2">
      <c r="A199">
        <v>957</v>
      </c>
      <c r="B199" s="8">
        <v>46221</v>
      </c>
      <c r="C199" s="9">
        <v>0.45193287037037039</v>
      </c>
      <c r="D199" s="7" t="s">
        <v>24</v>
      </c>
      <c r="E199" s="13" t="s">
        <v>33</v>
      </c>
      <c r="F199" s="16">
        <v>82.766512500000005</v>
      </c>
      <c r="G199" s="129">
        <v>2181.5913099999998</v>
      </c>
      <c r="H199" s="22">
        <v>1</v>
      </c>
      <c r="I199" s="19" t="s">
        <v>38</v>
      </c>
      <c r="J199" s="7" t="s">
        <v>17</v>
      </c>
      <c r="K199" s="16"/>
      <c r="L199" s="16"/>
      <c r="M199" s="16"/>
      <c r="N199" s="16">
        <v>65.173147999999998</v>
      </c>
      <c r="O199" s="16"/>
      <c r="P199" s="175"/>
      <c r="Q199" s="16"/>
      <c r="R199" s="16"/>
      <c r="S199" s="13" t="s">
        <v>33</v>
      </c>
      <c r="T199" s="22">
        <v>1</v>
      </c>
      <c r="U199" s="19"/>
      <c r="AB199" s="13" t="s">
        <v>33</v>
      </c>
      <c r="AC199" s="19"/>
      <c r="AD199" s="7" t="s">
        <v>52</v>
      </c>
      <c r="AE199" s="16"/>
    </row>
    <row r="200" spans="1:31" x14ac:dyDescent="0.2">
      <c r="A200">
        <v>958</v>
      </c>
      <c r="B200" s="8">
        <v>46221</v>
      </c>
      <c r="C200" s="9">
        <v>0.45221064814814815</v>
      </c>
      <c r="D200" s="7" t="s">
        <v>24</v>
      </c>
      <c r="E200" s="13" t="s">
        <v>33</v>
      </c>
      <c r="F200" s="16">
        <v>83.147632299999998</v>
      </c>
      <c r="G200" s="129">
        <v>2282.2897899999998</v>
      </c>
      <c r="H200" s="22">
        <v>1</v>
      </c>
      <c r="I200" s="19" t="s">
        <v>255</v>
      </c>
      <c r="J200" s="7" t="s">
        <v>17</v>
      </c>
      <c r="K200" s="16">
        <v>64.292266600000005</v>
      </c>
      <c r="L200" s="16">
        <v>-15.047236</v>
      </c>
      <c r="M200" s="16">
        <v>5.2399563799999997</v>
      </c>
      <c r="N200" s="16">
        <v>62.539322800000001</v>
      </c>
      <c r="O200" s="16"/>
      <c r="P200" s="175">
        <v>0.62527622000000005</v>
      </c>
      <c r="Q200" s="16"/>
      <c r="R200" s="16"/>
      <c r="S200" s="13" t="s">
        <v>33</v>
      </c>
      <c r="T200" s="22">
        <v>0</v>
      </c>
      <c r="U200" s="19"/>
      <c r="AB200" s="13" t="s">
        <v>33</v>
      </c>
      <c r="AC200" s="19"/>
      <c r="AD200" s="7" t="s">
        <v>52</v>
      </c>
      <c r="AE200" s="16"/>
    </row>
    <row r="201" spans="1:31" x14ac:dyDescent="0.2">
      <c r="A201">
        <v>959</v>
      </c>
      <c r="B201" s="8">
        <v>46221</v>
      </c>
      <c r="C201" s="9">
        <v>0.45266203703703706</v>
      </c>
      <c r="D201" s="7" t="s">
        <v>24</v>
      </c>
      <c r="E201" s="13" t="s">
        <v>37</v>
      </c>
      <c r="F201" s="16">
        <v>70.824759700000001</v>
      </c>
      <c r="G201" s="129">
        <v>2347.71533</v>
      </c>
      <c r="H201" s="22">
        <v>0</v>
      </c>
      <c r="I201" s="19"/>
      <c r="J201" s="7" t="s">
        <v>21</v>
      </c>
      <c r="K201" s="16"/>
      <c r="L201" s="16"/>
      <c r="M201" s="16"/>
      <c r="N201" s="16"/>
      <c r="O201" s="16"/>
      <c r="P201" s="175"/>
      <c r="Q201" s="16"/>
      <c r="R201" s="16"/>
      <c r="S201" s="13" t="s">
        <v>33</v>
      </c>
      <c r="T201" s="22">
        <v>1</v>
      </c>
      <c r="U201" s="19" t="s">
        <v>39</v>
      </c>
      <c r="AB201" s="13" t="s">
        <v>33</v>
      </c>
      <c r="AC201" s="19"/>
      <c r="AD201" s="7" t="s">
        <v>52</v>
      </c>
      <c r="AE201" s="16"/>
    </row>
    <row r="202" spans="1:31" x14ac:dyDescent="0.2">
      <c r="A202">
        <v>960</v>
      </c>
      <c r="B202" s="8">
        <v>46221</v>
      </c>
      <c r="C202" s="9">
        <v>0.45287037037037037</v>
      </c>
      <c r="D202" s="7" t="s">
        <v>24</v>
      </c>
      <c r="E202" s="13" t="s">
        <v>37</v>
      </c>
      <c r="F202" s="16">
        <v>70.634199800000005</v>
      </c>
      <c r="G202" s="129">
        <v>2309.8674299999998</v>
      </c>
      <c r="H202" s="22">
        <v>0</v>
      </c>
      <c r="I202" s="19"/>
      <c r="J202" s="7" t="s">
        <v>21</v>
      </c>
      <c r="K202" s="16"/>
      <c r="L202" s="16"/>
      <c r="M202" s="16"/>
      <c r="N202" s="16"/>
      <c r="O202" s="16"/>
      <c r="P202" s="175"/>
      <c r="Q202" s="16"/>
      <c r="R202" s="16"/>
      <c r="S202" s="13" t="s">
        <v>33</v>
      </c>
      <c r="T202" s="22">
        <v>0</v>
      </c>
      <c r="U202" s="19"/>
      <c r="AB202" s="13" t="s">
        <v>33</v>
      </c>
      <c r="AC202" s="19"/>
      <c r="AD202" s="7" t="s">
        <v>52</v>
      </c>
      <c r="AE202" s="16"/>
    </row>
    <row r="203" spans="1:31" x14ac:dyDescent="0.2">
      <c r="A203">
        <v>961</v>
      </c>
      <c r="B203" s="8">
        <v>46221</v>
      </c>
      <c r="C203" s="9">
        <v>0.45311342592592591</v>
      </c>
      <c r="D203" s="7" t="s">
        <v>24</v>
      </c>
      <c r="E203" s="13" t="s">
        <v>33</v>
      </c>
      <c r="F203" s="16">
        <v>82.194837199999995</v>
      </c>
      <c r="G203" s="129">
        <v>2207.2307099999998</v>
      </c>
      <c r="H203" s="22">
        <v>0</v>
      </c>
      <c r="I203" s="19"/>
      <c r="J203" s="7" t="s">
        <v>21</v>
      </c>
      <c r="K203" s="16"/>
      <c r="L203" s="16"/>
      <c r="M203" s="16"/>
      <c r="N203" s="16"/>
      <c r="O203" s="16"/>
      <c r="P203" s="175"/>
      <c r="Q203" s="16"/>
      <c r="R203" s="16"/>
      <c r="S203" s="13" t="s">
        <v>33</v>
      </c>
      <c r="T203" s="22">
        <v>0</v>
      </c>
      <c r="U203" s="19"/>
      <c r="AB203" s="13" t="s">
        <v>33</v>
      </c>
      <c r="AC203" s="19"/>
      <c r="AD203" s="7" t="s">
        <v>20</v>
      </c>
      <c r="AE203" s="16"/>
    </row>
    <row r="204" spans="1:31" x14ac:dyDescent="0.2">
      <c r="A204">
        <v>962</v>
      </c>
      <c r="B204" s="8">
        <v>46221</v>
      </c>
      <c r="C204" s="9">
        <v>0.45340277777777777</v>
      </c>
      <c r="D204" s="7" t="s">
        <v>24</v>
      </c>
      <c r="E204" s="13" t="s">
        <v>33</v>
      </c>
      <c r="F204" s="16">
        <v>81.797836899999993</v>
      </c>
      <c r="G204" s="129">
        <v>2200.3757300000002</v>
      </c>
      <c r="H204" s="22">
        <v>0</v>
      </c>
      <c r="I204" s="19" t="s">
        <v>48</v>
      </c>
      <c r="J204" s="7" t="s">
        <v>21</v>
      </c>
      <c r="K204" s="16"/>
      <c r="L204" s="16"/>
      <c r="M204" s="16"/>
      <c r="N204" s="16"/>
      <c r="O204" s="16"/>
      <c r="P204" s="175"/>
      <c r="Q204" s="16"/>
      <c r="R204" s="16"/>
      <c r="S204" s="13" t="s">
        <v>33</v>
      </c>
      <c r="T204" s="22">
        <v>1</v>
      </c>
      <c r="U204" s="19"/>
      <c r="AB204" s="13" t="s">
        <v>33</v>
      </c>
      <c r="AC204" s="19"/>
      <c r="AD204" s="7" t="s">
        <v>20</v>
      </c>
      <c r="AE204" s="16"/>
    </row>
    <row r="205" spans="1:31" x14ac:dyDescent="0.2">
      <c r="A205">
        <v>963</v>
      </c>
      <c r="B205" s="8">
        <v>46221</v>
      </c>
      <c r="C205" s="9">
        <v>0.45364583333333336</v>
      </c>
      <c r="D205" s="7" t="s">
        <v>24</v>
      </c>
      <c r="E205" s="13" t="s">
        <v>33</v>
      </c>
      <c r="F205" s="16">
        <v>81.7501958</v>
      </c>
      <c r="G205" s="129">
        <v>2138.9467800000002</v>
      </c>
      <c r="H205" s="22">
        <v>0</v>
      </c>
      <c r="I205" s="19"/>
      <c r="J205" s="7" t="s">
        <v>21</v>
      </c>
      <c r="K205" s="16"/>
      <c r="L205" s="16"/>
      <c r="M205" s="16"/>
      <c r="N205" s="16"/>
      <c r="O205" s="16"/>
      <c r="P205" s="175"/>
      <c r="Q205" s="16"/>
      <c r="R205" s="16"/>
      <c r="S205" s="13" t="s">
        <v>33</v>
      </c>
      <c r="T205" s="22">
        <v>1</v>
      </c>
      <c r="U205" s="19" t="s">
        <v>42</v>
      </c>
      <c r="AB205" s="13" t="s">
        <v>33</v>
      </c>
      <c r="AC205" s="19"/>
      <c r="AD205" s="7" t="s">
        <v>20</v>
      </c>
      <c r="AE205" s="16"/>
    </row>
    <row r="206" spans="1:31" x14ac:dyDescent="0.2">
      <c r="A206">
        <v>964</v>
      </c>
      <c r="B206" s="8">
        <v>46221</v>
      </c>
      <c r="C206" s="9">
        <v>0.45557870370370368</v>
      </c>
      <c r="D206" s="7" t="s">
        <v>24</v>
      </c>
      <c r="E206" s="13" t="s">
        <v>33</v>
      </c>
      <c r="F206" s="16">
        <v>81.289674399999996</v>
      </c>
      <c r="G206" s="129">
        <v>2165.6745599999999</v>
      </c>
      <c r="H206" s="22">
        <v>1</v>
      </c>
      <c r="I206" s="19"/>
      <c r="J206" s="7" t="s">
        <v>52</v>
      </c>
      <c r="K206" s="16"/>
      <c r="L206" s="16"/>
      <c r="M206" s="16"/>
      <c r="N206" s="16"/>
      <c r="O206" s="16"/>
      <c r="P206" s="175"/>
      <c r="Q206" s="16"/>
      <c r="R206" s="16"/>
      <c r="S206" s="13" t="s">
        <v>37</v>
      </c>
      <c r="T206" s="22">
        <v>1</v>
      </c>
      <c r="U206" s="19" t="s">
        <v>45</v>
      </c>
      <c r="AB206" s="10" t="s">
        <v>33</v>
      </c>
      <c r="AC206" s="17"/>
      <c r="AD206" t="s">
        <v>21</v>
      </c>
      <c r="AE206" s="11"/>
    </row>
    <row r="207" spans="1:31" x14ac:dyDescent="0.2">
      <c r="A207">
        <v>965</v>
      </c>
      <c r="B207" s="8">
        <v>46221</v>
      </c>
      <c r="C207" s="9">
        <v>0.45578703703703705</v>
      </c>
      <c r="D207" s="7" t="s">
        <v>24</v>
      </c>
      <c r="E207" s="13" t="s">
        <v>37</v>
      </c>
      <c r="F207" s="16">
        <v>71.3964395</v>
      </c>
      <c r="G207" s="129">
        <v>2327.58</v>
      </c>
      <c r="H207" s="22">
        <v>0</v>
      </c>
      <c r="I207" s="19"/>
      <c r="J207" s="7" t="s">
        <v>52</v>
      </c>
      <c r="K207" s="16"/>
      <c r="L207" s="16"/>
      <c r="M207" s="16"/>
      <c r="N207" s="16"/>
      <c r="O207" s="16"/>
      <c r="P207" s="175"/>
      <c r="Q207" s="16"/>
      <c r="R207" s="16"/>
      <c r="S207" s="13" t="s">
        <v>37</v>
      </c>
      <c r="T207" s="22">
        <v>1</v>
      </c>
      <c r="U207" s="19" t="s">
        <v>39</v>
      </c>
      <c r="AB207" s="10" t="s">
        <v>33</v>
      </c>
      <c r="AC207" s="17"/>
      <c r="AD207" t="s">
        <v>21</v>
      </c>
      <c r="AE207" s="11"/>
    </row>
    <row r="208" spans="1:31" x14ac:dyDescent="0.2">
      <c r="A208">
        <v>966</v>
      </c>
      <c r="B208" s="8">
        <v>46221</v>
      </c>
      <c r="C208" s="9">
        <v>0.45599537037037036</v>
      </c>
      <c r="D208" s="7" t="s">
        <v>24</v>
      </c>
      <c r="E208" s="13" t="s">
        <v>33</v>
      </c>
      <c r="F208" s="16">
        <v>81.114998999999997</v>
      </c>
      <c r="G208" s="129">
        <v>1053.4597200000001</v>
      </c>
      <c r="H208" s="22">
        <v>0</v>
      </c>
      <c r="I208" s="19"/>
      <c r="J208" s="7" t="s">
        <v>52</v>
      </c>
      <c r="K208" s="16"/>
      <c r="L208" s="16"/>
      <c r="M208" s="16"/>
      <c r="N208" s="16"/>
      <c r="O208" s="16"/>
      <c r="P208" s="175"/>
      <c r="Q208" s="16"/>
      <c r="R208" s="16"/>
      <c r="S208" s="13" t="s">
        <v>37</v>
      </c>
      <c r="T208" s="22">
        <v>0</v>
      </c>
      <c r="U208" s="19"/>
      <c r="AB208" s="10" t="s">
        <v>33</v>
      </c>
      <c r="AC208" s="17"/>
      <c r="AD208" t="s">
        <v>19</v>
      </c>
      <c r="AE208" s="11"/>
    </row>
    <row r="209" spans="1:31" x14ac:dyDescent="0.2">
      <c r="A209">
        <v>967</v>
      </c>
      <c r="B209" s="8">
        <v>46221</v>
      </c>
      <c r="C209" s="9">
        <v>0.45620370370370372</v>
      </c>
      <c r="D209" s="7" t="s">
        <v>24</v>
      </c>
      <c r="E209" s="13" t="s">
        <v>33</v>
      </c>
      <c r="F209" s="16">
        <v>80.924434899999994</v>
      </c>
      <c r="G209" s="129">
        <v>1070.73279</v>
      </c>
      <c r="H209" s="22">
        <v>1</v>
      </c>
      <c r="I209" s="19"/>
      <c r="J209" s="7" t="s">
        <v>52</v>
      </c>
      <c r="K209" s="16"/>
      <c r="L209" s="16"/>
      <c r="M209" s="16"/>
      <c r="N209" s="16"/>
      <c r="O209" s="16"/>
      <c r="P209" s="175"/>
      <c r="Q209" s="16"/>
      <c r="R209" s="16"/>
      <c r="S209" s="13" t="s">
        <v>37</v>
      </c>
      <c r="T209" s="22">
        <v>1</v>
      </c>
      <c r="U209" s="19"/>
      <c r="AB209" s="10" t="s">
        <v>33</v>
      </c>
      <c r="AC209" s="17"/>
      <c r="AD209" t="s">
        <v>19</v>
      </c>
      <c r="AE209" s="11"/>
    </row>
    <row r="210" spans="1:31" x14ac:dyDescent="0.2">
      <c r="A210">
        <v>968</v>
      </c>
      <c r="B210" s="8">
        <v>46221</v>
      </c>
      <c r="C210" s="9">
        <v>0.45640046296296294</v>
      </c>
      <c r="D210" s="7" t="s">
        <v>24</v>
      </c>
      <c r="E210" s="13" t="s">
        <v>33</v>
      </c>
      <c r="F210" s="16">
        <v>82.2583585</v>
      </c>
      <c r="G210" s="129">
        <v>2167.27783</v>
      </c>
      <c r="H210" s="22">
        <v>0</v>
      </c>
      <c r="I210" s="19"/>
      <c r="J210" s="7" t="s">
        <v>52</v>
      </c>
      <c r="K210" s="16"/>
      <c r="L210" s="16"/>
      <c r="M210" s="16"/>
      <c r="N210" s="16"/>
      <c r="O210" s="16"/>
      <c r="P210" s="175"/>
      <c r="Q210" s="16"/>
      <c r="R210" s="16"/>
      <c r="S210" s="13" t="s">
        <v>37</v>
      </c>
      <c r="T210" s="22">
        <v>0</v>
      </c>
      <c r="U210" s="19"/>
      <c r="AB210" s="10" t="s">
        <v>33</v>
      </c>
      <c r="AC210" s="17"/>
      <c r="AD210" t="s">
        <v>17</v>
      </c>
      <c r="AE210" s="11"/>
    </row>
    <row r="211" spans="1:31" x14ac:dyDescent="0.2">
      <c r="A211">
        <v>969</v>
      </c>
      <c r="B211" s="8">
        <v>46221</v>
      </c>
      <c r="C211" s="9">
        <v>0.45673611111111112</v>
      </c>
      <c r="D211" s="7" t="s">
        <v>24</v>
      </c>
      <c r="E211" s="13" t="s">
        <v>37</v>
      </c>
      <c r="F211" s="16">
        <v>73.667278100000004</v>
      </c>
      <c r="G211" s="129">
        <v>2326.96</v>
      </c>
      <c r="H211" s="22">
        <v>0</v>
      </c>
      <c r="I211" s="19" t="s">
        <v>48</v>
      </c>
      <c r="J211" s="7" t="s">
        <v>52</v>
      </c>
      <c r="K211" s="16"/>
      <c r="L211" s="16"/>
      <c r="M211" s="16"/>
      <c r="N211" s="16"/>
      <c r="O211" s="16"/>
      <c r="P211" s="175"/>
      <c r="Q211" s="16"/>
      <c r="R211" s="16"/>
      <c r="S211" s="13" t="s">
        <v>37</v>
      </c>
      <c r="T211" s="22">
        <v>1</v>
      </c>
      <c r="U211" s="19" t="s">
        <v>40</v>
      </c>
      <c r="AB211" s="10" t="s">
        <v>33</v>
      </c>
      <c r="AC211" s="17"/>
      <c r="AD211" t="s">
        <v>17</v>
      </c>
      <c r="AE211" s="11"/>
    </row>
    <row r="212" spans="1:31" x14ac:dyDescent="0.2">
      <c r="A212">
        <v>970</v>
      </c>
      <c r="B212" s="8">
        <v>46221</v>
      </c>
      <c r="C212" s="9">
        <v>0.45693287037037039</v>
      </c>
      <c r="D212" s="7" t="s">
        <v>24</v>
      </c>
      <c r="E212" s="13" t="s">
        <v>33</v>
      </c>
      <c r="F212" s="16">
        <v>82.957076700000002</v>
      </c>
      <c r="G212" s="129">
        <v>2155.3081099999999</v>
      </c>
      <c r="H212" s="22">
        <v>1</v>
      </c>
      <c r="I212" s="19" t="s">
        <v>39</v>
      </c>
      <c r="J212" s="7" t="s">
        <v>52</v>
      </c>
      <c r="K212" s="16"/>
      <c r="L212" s="16"/>
      <c r="M212" s="16"/>
      <c r="N212" s="16">
        <v>54.8620065</v>
      </c>
      <c r="O212" s="16"/>
      <c r="P212" s="175"/>
      <c r="Q212" s="16"/>
      <c r="R212" s="16"/>
      <c r="S212" s="13" t="s">
        <v>37</v>
      </c>
      <c r="T212" s="22">
        <v>0</v>
      </c>
      <c r="U212" s="19"/>
      <c r="AB212" s="10" t="s">
        <v>33</v>
      </c>
      <c r="AC212" s="17"/>
      <c r="AD212" t="s">
        <v>21</v>
      </c>
      <c r="AE212" s="11"/>
    </row>
    <row r="213" spans="1:31" x14ac:dyDescent="0.2">
      <c r="A213">
        <v>971</v>
      </c>
      <c r="B213" s="8">
        <v>46221</v>
      </c>
      <c r="C213" s="9">
        <v>0.45732638888888888</v>
      </c>
      <c r="D213" s="7" t="s">
        <v>24</v>
      </c>
      <c r="E213" s="13" t="s">
        <v>33</v>
      </c>
      <c r="F213" s="16">
        <v>80.527434700000001</v>
      </c>
      <c r="G213" s="129">
        <v>2135.9685100000002</v>
      </c>
      <c r="H213" s="22">
        <v>0</v>
      </c>
      <c r="I213" s="19"/>
      <c r="J213" s="7" t="s">
        <v>20</v>
      </c>
      <c r="K213" s="16"/>
      <c r="L213" s="16"/>
      <c r="M213" s="16"/>
      <c r="N213" s="16"/>
      <c r="O213" s="16"/>
      <c r="P213" s="175"/>
      <c r="Q213" s="16"/>
      <c r="R213" s="16"/>
      <c r="S213" s="13" t="s">
        <v>37</v>
      </c>
      <c r="T213" s="22">
        <v>0</v>
      </c>
      <c r="U213" s="19"/>
      <c r="AB213" s="10" t="s">
        <v>33</v>
      </c>
      <c r="AC213" s="17"/>
      <c r="AD213" t="s">
        <v>21</v>
      </c>
      <c r="AE213" s="11"/>
    </row>
    <row r="214" spans="1:31" x14ac:dyDescent="0.2">
      <c r="A214">
        <v>972</v>
      </c>
      <c r="B214" s="8">
        <v>46221</v>
      </c>
      <c r="C214" s="9">
        <v>0.45753472222222225</v>
      </c>
      <c r="D214" s="7" t="s">
        <v>24</v>
      </c>
      <c r="E214" s="13" t="s">
        <v>37</v>
      </c>
      <c r="F214" s="16">
        <v>71.8252004</v>
      </c>
      <c r="G214" s="129">
        <v>1137.4981700000001</v>
      </c>
      <c r="H214" s="22">
        <v>1</v>
      </c>
      <c r="I214" s="19" t="s">
        <v>39</v>
      </c>
      <c r="J214" s="7" t="s">
        <v>20</v>
      </c>
      <c r="K214" s="16"/>
      <c r="L214" s="16"/>
      <c r="M214" s="16"/>
      <c r="N214" s="16">
        <v>68.703594100000004</v>
      </c>
      <c r="O214" s="16"/>
      <c r="P214" s="175"/>
      <c r="Q214" s="16"/>
      <c r="R214" s="16"/>
      <c r="S214" s="13" t="s">
        <v>37</v>
      </c>
      <c r="T214" s="22">
        <v>0</v>
      </c>
      <c r="U214" s="19"/>
      <c r="AB214" s="10" t="s">
        <v>33</v>
      </c>
      <c r="AC214" s="17"/>
      <c r="AD214" t="s">
        <v>20</v>
      </c>
      <c r="AE214" s="11"/>
    </row>
    <row r="215" spans="1:31" x14ac:dyDescent="0.2">
      <c r="A215">
        <v>973</v>
      </c>
      <c r="B215" s="8">
        <v>46221</v>
      </c>
      <c r="C215" s="9">
        <v>0.45781250000000001</v>
      </c>
      <c r="D215" s="7" t="s">
        <v>24</v>
      </c>
      <c r="E215" s="13" t="s">
        <v>33</v>
      </c>
      <c r="F215" s="16">
        <v>81.686674400000001</v>
      </c>
      <c r="G215" s="129">
        <v>2181.4487300000001</v>
      </c>
      <c r="H215" s="22">
        <v>0</v>
      </c>
      <c r="I215" s="19"/>
      <c r="J215" s="7" t="s">
        <v>20</v>
      </c>
      <c r="K215" s="16"/>
      <c r="L215" s="16"/>
      <c r="M215" s="16"/>
      <c r="N215" s="16"/>
      <c r="O215" s="16"/>
      <c r="P215" s="175"/>
      <c r="Q215" s="16"/>
      <c r="R215" s="16"/>
      <c r="S215" s="13" t="s">
        <v>37</v>
      </c>
      <c r="T215" s="22">
        <v>0</v>
      </c>
      <c r="U215" s="19"/>
      <c r="AB215" s="10" t="s">
        <v>33</v>
      </c>
      <c r="AC215" s="17"/>
      <c r="AD215" t="s">
        <v>20</v>
      </c>
      <c r="AE215" s="11"/>
    </row>
    <row r="216" spans="1:31" x14ac:dyDescent="0.2">
      <c r="A216">
        <v>974</v>
      </c>
      <c r="B216" s="8">
        <v>46221</v>
      </c>
      <c r="C216" s="9">
        <v>0.45804398148148145</v>
      </c>
      <c r="D216" s="7" t="s">
        <v>24</v>
      </c>
      <c r="E216" s="13" t="s">
        <v>33</v>
      </c>
      <c r="F216" s="16">
        <v>82.131315799999996</v>
      </c>
      <c r="G216" s="129">
        <v>2200.5083</v>
      </c>
      <c r="H216" s="22">
        <v>1</v>
      </c>
      <c r="I216" s="19"/>
      <c r="J216" s="7" t="s">
        <v>20</v>
      </c>
      <c r="K216" s="16"/>
      <c r="L216" s="16"/>
      <c r="M216" s="16"/>
      <c r="N216" s="16"/>
      <c r="O216" s="16"/>
      <c r="P216" s="175"/>
      <c r="Q216" s="16"/>
      <c r="R216" s="16"/>
      <c r="S216" s="13" t="s">
        <v>37</v>
      </c>
      <c r="T216" s="22">
        <v>0</v>
      </c>
      <c r="U216" s="19" t="s">
        <v>48</v>
      </c>
      <c r="AB216" s="10" t="s">
        <v>33</v>
      </c>
      <c r="AC216" s="17"/>
      <c r="AD216" t="s">
        <v>21</v>
      </c>
      <c r="AE216" s="11"/>
    </row>
    <row r="217" spans="1:31" x14ac:dyDescent="0.2">
      <c r="A217">
        <v>975</v>
      </c>
      <c r="B217" s="8">
        <v>46221</v>
      </c>
      <c r="C217" s="9">
        <v>0.45822916666666669</v>
      </c>
      <c r="D217" s="7" t="s">
        <v>24</v>
      </c>
      <c r="E217" s="13" t="s">
        <v>37</v>
      </c>
      <c r="F217" s="16">
        <v>73.095602499999998</v>
      </c>
      <c r="G217" s="129">
        <v>1096.55017</v>
      </c>
      <c r="H217" s="22">
        <v>0</v>
      </c>
      <c r="I217" s="19"/>
      <c r="J217" s="7" t="s">
        <v>20</v>
      </c>
      <c r="K217" s="16"/>
      <c r="L217" s="16"/>
      <c r="M217" s="16"/>
      <c r="N217" s="16"/>
      <c r="O217" s="16"/>
      <c r="P217" s="175"/>
      <c r="Q217" s="16"/>
      <c r="R217" s="16"/>
      <c r="S217" s="13" t="s">
        <v>37</v>
      </c>
      <c r="T217" s="22">
        <v>1</v>
      </c>
      <c r="U217" s="19" t="s">
        <v>39</v>
      </c>
      <c r="AB217" s="13" t="s">
        <v>37</v>
      </c>
      <c r="AC217" s="19" t="s">
        <v>48</v>
      </c>
      <c r="AD217" s="7" t="s">
        <v>20</v>
      </c>
      <c r="AE217" s="16"/>
    </row>
    <row r="218" spans="1:31" s="155" customFormat="1" x14ac:dyDescent="0.2">
      <c r="A218" s="155">
        <v>976</v>
      </c>
      <c r="B218" s="163">
        <v>46221</v>
      </c>
      <c r="C218" s="164">
        <v>0.4584259259259259</v>
      </c>
      <c r="D218" s="165" t="s">
        <v>24</v>
      </c>
      <c r="E218" s="166" t="s">
        <v>33</v>
      </c>
      <c r="F218" s="167">
        <v>81.7501958</v>
      </c>
      <c r="G218" s="168">
        <v>1092.99866</v>
      </c>
      <c r="H218" s="169">
        <v>1</v>
      </c>
      <c r="I218" s="170" t="s">
        <v>42</v>
      </c>
      <c r="J218" s="165" t="s">
        <v>20</v>
      </c>
      <c r="K218" s="167"/>
      <c r="L218" s="167"/>
      <c r="M218" s="167"/>
      <c r="N218" s="167"/>
      <c r="O218" s="167"/>
      <c r="P218" s="176"/>
      <c r="Q218" s="167"/>
      <c r="R218" s="167"/>
      <c r="S218" s="166" t="s">
        <v>37</v>
      </c>
      <c r="T218" s="169">
        <v>0</v>
      </c>
      <c r="U218" s="170"/>
      <c r="AB218" s="166" t="s">
        <v>37</v>
      </c>
      <c r="AC218" s="170" t="s">
        <v>48</v>
      </c>
      <c r="AD218" s="165" t="s">
        <v>52</v>
      </c>
      <c r="AE218" s="167"/>
    </row>
    <row r="219" spans="1:31" x14ac:dyDescent="0.2">
      <c r="A219">
        <v>1353</v>
      </c>
      <c r="B219" s="1">
        <v>46228</v>
      </c>
      <c r="C219" s="2">
        <v>0.49005787037037035</v>
      </c>
      <c r="D219" t="s">
        <v>24</v>
      </c>
      <c r="E219" s="10" t="s">
        <v>33</v>
      </c>
      <c r="F219" s="11">
        <v>83.782837799999996</v>
      </c>
      <c r="G219" s="4">
        <v>2295.4995100000001</v>
      </c>
      <c r="H219" s="20">
        <v>0</v>
      </c>
      <c r="I219" s="17"/>
      <c r="J219" t="s">
        <v>21</v>
      </c>
      <c r="K219" s="11"/>
      <c r="L219" s="11"/>
      <c r="M219" s="11"/>
      <c r="N219" s="11"/>
      <c r="O219" s="11"/>
      <c r="P219" s="33"/>
      <c r="Q219" s="11"/>
      <c r="R219" s="11"/>
      <c r="S219" s="10" t="s">
        <v>49</v>
      </c>
      <c r="T219" s="20">
        <v>1</v>
      </c>
      <c r="U219" s="17"/>
      <c r="AB219" s="10" t="s">
        <v>37</v>
      </c>
      <c r="AC219" s="17" t="s">
        <v>48</v>
      </c>
      <c r="AD219" t="s">
        <v>21</v>
      </c>
      <c r="AE219" s="11"/>
    </row>
    <row r="220" spans="1:31" x14ac:dyDescent="0.2">
      <c r="A220">
        <v>1354</v>
      </c>
      <c r="B220" s="1">
        <v>46228</v>
      </c>
      <c r="C220" s="2">
        <v>0.49027777777777776</v>
      </c>
      <c r="D220" t="s">
        <v>24</v>
      </c>
      <c r="E220" s="10" t="s">
        <v>37</v>
      </c>
      <c r="F220" s="11">
        <v>70.491281061999999</v>
      </c>
      <c r="G220" s="4">
        <v>2182.6413600000001</v>
      </c>
      <c r="H220" s="20">
        <v>1</v>
      </c>
      <c r="I220" s="17" t="s">
        <v>39</v>
      </c>
      <c r="J220" t="s">
        <v>21</v>
      </c>
      <c r="K220" s="11"/>
      <c r="L220" s="11"/>
      <c r="M220" s="11"/>
      <c r="N220" s="11">
        <v>65.947103729000006</v>
      </c>
      <c r="O220" s="11"/>
      <c r="P220" s="33"/>
      <c r="Q220" s="11"/>
      <c r="R220" s="11"/>
      <c r="S220" s="10" t="s">
        <v>49</v>
      </c>
      <c r="T220" s="20">
        <v>0</v>
      </c>
      <c r="U220" s="17"/>
      <c r="AB220" s="10" t="s">
        <v>37</v>
      </c>
      <c r="AC220" s="17" t="s">
        <v>48</v>
      </c>
      <c r="AD220" t="s">
        <v>20</v>
      </c>
      <c r="AE220" s="11"/>
    </row>
    <row r="221" spans="1:31" x14ac:dyDescent="0.2">
      <c r="A221">
        <v>1355</v>
      </c>
      <c r="B221" s="1">
        <v>46228</v>
      </c>
      <c r="C221" s="2">
        <v>0.49052083333333335</v>
      </c>
      <c r="D221" t="s">
        <v>24</v>
      </c>
      <c r="E221" s="10" t="s">
        <v>37</v>
      </c>
      <c r="F221" s="11">
        <v>68.919160650999999</v>
      </c>
      <c r="G221" s="4">
        <v>2195.69751</v>
      </c>
      <c r="H221" s="20">
        <v>0</v>
      </c>
      <c r="I221" s="17"/>
      <c r="J221" t="s">
        <v>21</v>
      </c>
      <c r="K221" s="11"/>
      <c r="L221" s="11"/>
      <c r="M221" s="11"/>
      <c r="N221" s="11"/>
      <c r="O221" s="11"/>
      <c r="P221" s="33"/>
      <c r="Q221" s="11"/>
      <c r="R221" s="11"/>
      <c r="S221" s="10" t="s">
        <v>49</v>
      </c>
      <c r="T221" s="20">
        <v>0</v>
      </c>
      <c r="U221" s="17"/>
      <c r="AB221" s="13" t="s">
        <v>37</v>
      </c>
      <c r="AC221" s="19" t="s">
        <v>41</v>
      </c>
      <c r="AD221" s="7" t="s">
        <v>29</v>
      </c>
      <c r="AE221" s="16"/>
    </row>
    <row r="222" spans="1:31" x14ac:dyDescent="0.2">
      <c r="A222">
        <v>1356</v>
      </c>
      <c r="B222" s="1">
        <v>46228</v>
      </c>
      <c r="C222" s="2">
        <v>0.49076388888888889</v>
      </c>
      <c r="D222" t="s">
        <v>24</v>
      </c>
      <c r="E222" s="10" t="s">
        <v>33</v>
      </c>
      <c r="F222" s="11">
        <v>80.606836513999994</v>
      </c>
      <c r="G222" s="4">
        <v>2150.4279799999999</v>
      </c>
      <c r="H222" s="20">
        <v>0</v>
      </c>
      <c r="I222" s="17"/>
      <c r="J222" t="s">
        <v>21</v>
      </c>
      <c r="K222" s="11"/>
      <c r="L222" s="11"/>
      <c r="M222" s="11"/>
      <c r="N222" s="11"/>
      <c r="O222" s="11"/>
      <c r="P222" s="33"/>
      <c r="Q222" s="11"/>
      <c r="R222" s="11"/>
      <c r="S222" s="10" t="s">
        <v>49</v>
      </c>
      <c r="T222" s="20">
        <v>0</v>
      </c>
      <c r="U222" s="17"/>
      <c r="AB222" s="13" t="s">
        <v>37</v>
      </c>
      <c r="AC222" s="19" t="s">
        <v>254</v>
      </c>
      <c r="AD222" s="7" t="s">
        <v>27</v>
      </c>
      <c r="AE222" s="16">
        <v>89.887598299999993</v>
      </c>
    </row>
    <row r="223" spans="1:31" x14ac:dyDescent="0.2">
      <c r="A223">
        <v>1357</v>
      </c>
      <c r="B223" s="1">
        <v>46228</v>
      </c>
      <c r="C223" s="2">
        <v>0.49098379629629629</v>
      </c>
      <c r="D223" t="s">
        <v>24</v>
      </c>
      <c r="E223" s="10" t="s">
        <v>33</v>
      </c>
      <c r="F223" s="11">
        <v>81.559631664999998</v>
      </c>
      <c r="G223" s="4">
        <v>2051.4016099999999</v>
      </c>
      <c r="H223" s="20">
        <v>0</v>
      </c>
      <c r="I223" s="17" t="s">
        <v>48</v>
      </c>
      <c r="J223" t="s">
        <v>21</v>
      </c>
      <c r="K223" s="11"/>
      <c r="L223" s="11"/>
      <c r="M223" s="11"/>
      <c r="N223" s="11"/>
      <c r="O223" s="11"/>
      <c r="P223" s="33"/>
      <c r="Q223" s="11"/>
      <c r="R223" s="11"/>
      <c r="S223" s="10" t="s">
        <v>49</v>
      </c>
      <c r="T223" s="20">
        <v>1</v>
      </c>
      <c r="U223" s="17" t="s">
        <v>40</v>
      </c>
      <c r="AB223" s="13" t="s">
        <v>37</v>
      </c>
      <c r="AC223" s="19" t="s">
        <v>254</v>
      </c>
      <c r="AD223" s="7" t="s">
        <v>27</v>
      </c>
      <c r="AE223" s="16">
        <v>70.877345800000001</v>
      </c>
    </row>
    <row r="224" spans="1:31" x14ac:dyDescent="0.2">
      <c r="A224">
        <v>1358</v>
      </c>
      <c r="B224" s="1">
        <v>46228</v>
      </c>
      <c r="C224" s="2">
        <v>0.49123842592592593</v>
      </c>
      <c r="D224" t="s">
        <v>24</v>
      </c>
      <c r="E224" s="10" t="s">
        <v>33</v>
      </c>
      <c r="F224" s="11">
        <v>83.385837582999997</v>
      </c>
      <c r="G224" s="4">
        <v>2268.09</v>
      </c>
      <c r="H224" s="20">
        <v>1</v>
      </c>
      <c r="I224" s="17" t="s">
        <v>38</v>
      </c>
      <c r="J224" t="s">
        <v>21</v>
      </c>
      <c r="K224" s="11"/>
      <c r="L224" s="11"/>
      <c r="M224" s="11"/>
      <c r="N224" s="11">
        <v>68.232674967999998</v>
      </c>
      <c r="O224" s="11"/>
      <c r="P224" s="33"/>
      <c r="Q224" s="11"/>
      <c r="R224" s="11"/>
      <c r="S224" s="10" t="s">
        <v>35</v>
      </c>
      <c r="T224" s="20">
        <v>0</v>
      </c>
      <c r="U224" s="17"/>
      <c r="AB224" s="13" t="s">
        <v>37</v>
      </c>
      <c r="AC224" s="19" t="s">
        <v>45</v>
      </c>
      <c r="AD224" s="7" t="s">
        <v>19</v>
      </c>
      <c r="AE224" s="16"/>
    </row>
    <row r="225" spans="1:31" x14ac:dyDescent="0.2">
      <c r="A225">
        <v>1359</v>
      </c>
      <c r="B225" s="1">
        <v>46228</v>
      </c>
      <c r="C225" s="2">
        <v>0.49162037037037037</v>
      </c>
      <c r="D225" t="s">
        <v>24</v>
      </c>
      <c r="E225" s="10" t="s">
        <v>49</v>
      </c>
      <c r="F225" s="11">
        <v>65.171483975000001</v>
      </c>
      <c r="G225" s="4">
        <v>1658.59485</v>
      </c>
      <c r="H225" s="20">
        <v>1</v>
      </c>
      <c r="I225" s="17"/>
      <c r="J225" t="s">
        <v>19</v>
      </c>
      <c r="K225" s="11"/>
      <c r="L225" s="11"/>
      <c r="M225" s="11"/>
      <c r="N225" s="11"/>
      <c r="O225" s="11"/>
      <c r="P225" s="33"/>
      <c r="Q225" s="11"/>
      <c r="R225" s="11"/>
      <c r="S225" s="10" t="s">
        <v>35</v>
      </c>
      <c r="T225" s="20">
        <v>0</v>
      </c>
      <c r="U225" s="17"/>
      <c r="AB225" s="13" t="s">
        <v>37</v>
      </c>
      <c r="AC225" s="19" t="s">
        <v>45</v>
      </c>
      <c r="AD225" s="7" t="s">
        <v>27</v>
      </c>
      <c r="AE225" s="16"/>
    </row>
    <row r="226" spans="1:31" x14ac:dyDescent="0.2">
      <c r="A226">
        <v>1360</v>
      </c>
      <c r="B226" s="1">
        <v>46228</v>
      </c>
      <c r="C226" s="2">
        <v>0.4918865740740741</v>
      </c>
      <c r="D226" t="s">
        <v>24</v>
      </c>
      <c r="E226" s="10" t="s">
        <v>37</v>
      </c>
      <c r="F226" s="11">
        <v>72.539799047000002</v>
      </c>
      <c r="G226" s="4">
        <v>2328.8752399999998</v>
      </c>
      <c r="H226" s="20">
        <v>1</v>
      </c>
      <c r="I226" s="17" t="s">
        <v>39</v>
      </c>
      <c r="J226" t="s">
        <v>19</v>
      </c>
      <c r="K226" s="11"/>
      <c r="L226" s="11"/>
      <c r="M226" s="11"/>
      <c r="N226" s="11">
        <v>50.728538026000003</v>
      </c>
      <c r="O226" s="11"/>
      <c r="P226" s="33"/>
      <c r="Q226" s="11"/>
      <c r="R226" s="11"/>
      <c r="S226" s="10" t="s">
        <v>33</v>
      </c>
      <c r="T226" s="20">
        <v>0</v>
      </c>
      <c r="U226" s="17"/>
      <c r="AB226" s="13" t="s">
        <v>37</v>
      </c>
      <c r="AC226" s="19" t="s">
        <v>45</v>
      </c>
      <c r="AD226" s="7" t="s">
        <v>21</v>
      </c>
      <c r="AE226" s="16"/>
    </row>
    <row r="227" spans="1:31" x14ac:dyDescent="0.2">
      <c r="A227">
        <v>1361</v>
      </c>
      <c r="B227" s="1">
        <v>46228</v>
      </c>
      <c r="C227" s="2">
        <v>0.49216435185185187</v>
      </c>
      <c r="D227" t="s">
        <v>24</v>
      </c>
      <c r="E227" s="10" t="s">
        <v>49</v>
      </c>
      <c r="F227" s="11">
        <v>65.203244663999996</v>
      </c>
      <c r="G227" s="4">
        <v>1966.8590099999999</v>
      </c>
      <c r="H227" s="20">
        <v>0</v>
      </c>
      <c r="I227" s="17"/>
      <c r="J227" t="s">
        <v>19</v>
      </c>
      <c r="K227" s="11"/>
      <c r="L227" s="11"/>
      <c r="M227" s="11"/>
      <c r="N227" s="11"/>
      <c r="O227" s="11"/>
      <c r="P227" s="33"/>
      <c r="Q227" s="11"/>
      <c r="R227" s="11"/>
      <c r="S227" s="10" t="s">
        <v>33</v>
      </c>
      <c r="T227" s="20">
        <v>0</v>
      </c>
      <c r="U227" s="17"/>
      <c r="AB227" s="13" t="s">
        <v>37</v>
      </c>
      <c r="AC227" s="19" t="s">
        <v>39</v>
      </c>
      <c r="AD227" s="7" t="s">
        <v>19</v>
      </c>
      <c r="AE227" s="16"/>
    </row>
    <row r="228" spans="1:31" x14ac:dyDescent="0.2">
      <c r="A228">
        <v>1362</v>
      </c>
      <c r="B228" s="1">
        <v>46228</v>
      </c>
      <c r="C228" s="2">
        <v>0.49243055555555554</v>
      </c>
      <c r="D228" t="s">
        <v>24</v>
      </c>
      <c r="E228" s="10" t="s">
        <v>33</v>
      </c>
      <c r="F228" s="11">
        <v>82.766512547999994</v>
      </c>
      <c r="G228" s="4">
        <v>2069.6543000000001</v>
      </c>
      <c r="H228" s="20">
        <v>0</v>
      </c>
      <c r="I228" s="17"/>
      <c r="J228" t="s">
        <v>19</v>
      </c>
      <c r="K228" s="11"/>
      <c r="L228" s="11"/>
      <c r="M228" s="11"/>
      <c r="N228" s="11"/>
      <c r="O228" s="11"/>
      <c r="P228" s="33"/>
      <c r="Q228" s="11"/>
      <c r="R228" s="11"/>
      <c r="S228" s="10" t="s">
        <v>33</v>
      </c>
      <c r="T228" s="20">
        <v>0</v>
      </c>
      <c r="U228" s="17" t="s">
        <v>48</v>
      </c>
      <c r="AB228" s="13" t="s">
        <v>37</v>
      </c>
      <c r="AC228" s="19" t="s">
        <v>39</v>
      </c>
      <c r="AD228" s="7" t="s">
        <v>20</v>
      </c>
      <c r="AE228" s="16"/>
    </row>
    <row r="229" spans="1:31" x14ac:dyDescent="0.2">
      <c r="A229">
        <v>1363</v>
      </c>
      <c r="B229" s="1">
        <v>46228</v>
      </c>
      <c r="C229" s="2">
        <v>0.4926388888888889</v>
      </c>
      <c r="D229" t="s">
        <v>24</v>
      </c>
      <c r="E229" s="10" t="s">
        <v>33</v>
      </c>
      <c r="F229" s="11">
        <v>83.338196439000001</v>
      </c>
      <c r="G229" s="4">
        <v>2126.9160200000001</v>
      </c>
      <c r="H229" s="20">
        <v>0</v>
      </c>
      <c r="I229" s="17"/>
      <c r="J229" t="s">
        <v>19</v>
      </c>
      <c r="K229" s="11"/>
      <c r="L229" s="11"/>
      <c r="M229" s="11"/>
      <c r="N229" s="11"/>
      <c r="O229" s="11"/>
      <c r="P229" s="33"/>
      <c r="Q229" s="11"/>
      <c r="R229" s="11"/>
      <c r="S229" s="10" t="s">
        <v>33</v>
      </c>
      <c r="T229" s="20">
        <v>1</v>
      </c>
      <c r="U229" s="17" t="s">
        <v>38</v>
      </c>
      <c r="AB229" s="13" t="s">
        <v>37</v>
      </c>
      <c r="AC229" s="19" t="s">
        <v>39</v>
      </c>
      <c r="AD229" s="7" t="s">
        <v>19</v>
      </c>
      <c r="AE229" s="16"/>
    </row>
    <row r="230" spans="1:31" x14ac:dyDescent="0.2">
      <c r="A230">
        <v>1364</v>
      </c>
      <c r="B230" s="1">
        <v>46228</v>
      </c>
      <c r="C230" s="2">
        <v>0.49287037037037035</v>
      </c>
      <c r="D230" t="s">
        <v>24</v>
      </c>
      <c r="E230" s="10" t="s">
        <v>33</v>
      </c>
      <c r="F230" s="11">
        <v>82.830033924000006</v>
      </c>
      <c r="G230" s="4">
        <v>1983.6927499999999</v>
      </c>
      <c r="H230" s="20">
        <v>1</v>
      </c>
      <c r="I230" s="17" t="s">
        <v>42</v>
      </c>
      <c r="J230" t="s">
        <v>19</v>
      </c>
      <c r="K230" s="11"/>
      <c r="L230" s="11"/>
      <c r="M230" s="11"/>
      <c r="N230" s="11"/>
      <c r="O230" s="11"/>
      <c r="P230" s="33"/>
      <c r="Q230" s="11"/>
      <c r="R230" s="11"/>
      <c r="S230" s="10" t="s">
        <v>33</v>
      </c>
      <c r="T230" s="20">
        <v>0</v>
      </c>
      <c r="U230" s="17"/>
      <c r="AB230" s="13" t="s">
        <v>37</v>
      </c>
      <c r="AC230" s="19" t="s">
        <v>39</v>
      </c>
      <c r="AD230" s="7" t="s">
        <v>20</v>
      </c>
      <c r="AE230" s="16"/>
    </row>
    <row r="231" spans="1:31" x14ac:dyDescent="0.2">
      <c r="A231">
        <v>1365</v>
      </c>
      <c r="B231" s="1">
        <v>46228</v>
      </c>
      <c r="C231" s="2">
        <v>0.49368055555555557</v>
      </c>
      <c r="D231" t="s">
        <v>24</v>
      </c>
      <c r="E231" s="10" t="s">
        <v>33</v>
      </c>
      <c r="F231" s="11">
        <v>83.719316422999995</v>
      </c>
      <c r="G231" s="4">
        <v>2154.1735800000001</v>
      </c>
      <c r="H231" s="20">
        <v>0</v>
      </c>
      <c r="I231" s="17"/>
      <c r="J231" t="s">
        <v>17</v>
      </c>
      <c r="K231" s="11"/>
      <c r="L231" s="11"/>
      <c r="M231" s="11"/>
      <c r="N231" s="11"/>
      <c r="O231" s="11"/>
      <c r="P231" s="33"/>
      <c r="Q231" s="11"/>
      <c r="R231" s="11"/>
      <c r="S231" s="10" t="s">
        <v>33</v>
      </c>
      <c r="T231" s="20">
        <v>0</v>
      </c>
      <c r="U231" s="17"/>
      <c r="AB231" s="13" t="s">
        <v>37</v>
      </c>
      <c r="AC231" s="19" t="s">
        <v>39</v>
      </c>
      <c r="AD231" s="7" t="s">
        <v>20</v>
      </c>
      <c r="AE231" s="16"/>
    </row>
    <row r="232" spans="1:31" x14ac:dyDescent="0.2">
      <c r="A232">
        <v>1366</v>
      </c>
      <c r="B232" s="1">
        <v>46228</v>
      </c>
      <c r="C232" s="2">
        <v>0.49387731481481484</v>
      </c>
      <c r="D232" t="s">
        <v>24</v>
      </c>
      <c r="E232" s="10" t="s">
        <v>49</v>
      </c>
      <c r="F232" s="11">
        <v>66.568924738000007</v>
      </c>
      <c r="G232" s="4">
        <v>1295.0664099999999</v>
      </c>
      <c r="H232" s="20">
        <v>0</v>
      </c>
      <c r="I232" s="17"/>
      <c r="J232" t="s">
        <v>17</v>
      </c>
      <c r="K232" s="11"/>
      <c r="L232" s="11"/>
      <c r="M232" s="11"/>
      <c r="N232" s="11"/>
      <c r="O232" s="11"/>
      <c r="P232" s="33"/>
      <c r="Q232" s="11"/>
      <c r="R232" s="11"/>
      <c r="S232" s="10" t="s">
        <v>33</v>
      </c>
      <c r="T232" s="20">
        <v>1</v>
      </c>
      <c r="U232" s="17" t="s">
        <v>42</v>
      </c>
      <c r="AB232" s="10" t="s">
        <v>37</v>
      </c>
      <c r="AC232" s="17" t="s">
        <v>39</v>
      </c>
      <c r="AD232" t="s">
        <v>21</v>
      </c>
      <c r="AE232" s="11"/>
    </row>
    <row r="233" spans="1:31" x14ac:dyDescent="0.2">
      <c r="A233">
        <v>1367</v>
      </c>
      <c r="B233" s="1">
        <v>46228</v>
      </c>
      <c r="C233" s="2">
        <v>0.49410879629629628</v>
      </c>
      <c r="D233" t="s">
        <v>24</v>
      </c>
      <c r="E233" s="10" t="s">
        <v>33</v>
      </c>
      <c r="F233" s="11">
        <v>82.814153468000001</v>
      </c>
      <c r="G233" s="4">
        <v>2108.3252000000002</v>
      </c>
      <c r="H233" s="20">
        <v>0</v>
      </c>
      <c r="I233" s="17"/>
      <c r="J233" t="s">
        <v>17</v>
      </c>
      <c r="K233" s="11"/>
      <c r="L233" s="11"/>
      <c r="M233" s="11"/>
      <c r="N233" s="11"/>
      <c r="O233" s="11"/>
      <c r="P233" s="33"/>
      <c r="Q233" s="11"/>
      <c r="R233" s="11"/>
      <c r="S233" s="10" t="s">
        <v>33</v>
      </c>
      <c r="T233" s="20">
        <v>0</v>
      </c>
      <c r="U233" s="17"/>
      <c r="AB233" s="10" t="s">
        <v>37</v>
      </c>
      <c r="AC233" s="17" t="s">
        <v>39</v>
      </c>
      <c r="AD233" t="s">
        <v>19</v>
      </c>
      <c r="AE233" s="11"/>
    </row>
    <row r="234" spans="1:31" x14ac:dyDescent="0.2">
      <c r="A234">
        <v>1368</v>
      </c>
      <c r="B234" s="1">
        <v>46228</v>
      </c>
      <c r="C234" s="2">
        <v>0.49532407407407408</v>
      </c>
      <c r="D234" t="s">
        <v>24</v>
      </c>
      <c r="E234" s="10" t="s">
        <v>33</v>
      </c>
      <c r="F234" s="11">
        <v>82.131315779999994</v>
      </c>
      <c r="G234" s="4">
        <v>2064.4121100000002</v>
      </c>
      <c r="H234" s="20">
        <v>0</v>
      </c>
      <c r="I234" s="17" t="s">
        <v>48</v>
      </c>
      <c r="J234" t="s">
        <v>17</v>
      </c>
      <c r="K234" s="11"/>
      <c r="L234" s="11"/>
      <c r="M234" s="11"/>
      <c r="N234" s="11"/>
      <c r="O234" s="11"/>
      <c r="P234" s="33"/>
      <c r="Q234" s="11"/>
      <c r="R234" s="11"/>
      <c r="S234" s="10" t="s">
        <v>33</v>
      </c>
      <c r="T234" s="20">
        <v>0</v>
      </c>
      <c r="U234" s="17"/>
      <c r="AB234" s="13" t="s">
        <v>37</v>
      </c>
      <c r="AC234" s="19"/>
      <c r="AD234" s="7" t="s">
        <v>21</v>
      </c>
      <c r="AE234" s="16"/>
    </row>
    <row r="235" spans="1:31" x14ac:dyDescent="0.2">
      <c r="A235">
        <v>1369</v>
      </c>
      <c r="B235" s="1">
        <v>46228</v>
      </c>
      <c r="C235" s="2">
        <v>0.49562499999999998</v>
      </c>
      <c r="D235" t="s">
        <v>24</v>
      </c>
      <c r="E235" s="10" t="s">
        <v>49</v>
      </c>
      <c r="F235" s="11">
        <v>68.585682035000005</v>
      </c>
      <c r="G235" s="4">
        <v>1059.3089600000001</v>
      </c>
      <c r="H235" s="20">
        <v>0</v>
      </c>
      <c r="I235" s="17"/>
      <c r="J235" t="s">
        <v>20</v>
      </c>
      <c r="K235" s="11"/>
      <c r="L235" s="11"/>
      <c r="M235" s="11"/>
      <c r="N235" s="11"/>
      <c r="O235" s="11"/>
      <c r="P235" s="33"/>
      <c r="Q235" s="11"/>
      <c r="R235" s="11"/>
      <c r="S235" s="10" t="s">
        <v>33</v>
      </c>
      <c r="T235" s="20">
        <v>0</v>
      </c>
      <c r="U235" s="17" t="s">
        <v>48</v>
      </c>
      <c r="AB235" s="13" t="s">
        <v>37</v>
      </c>
      <c r="AC235" s="19"/>
      <c r="AD235" s="7" t="s">
        <v>21</v>
      </c>
      <c r="AE235" s="16"/>
    </row>
    <row r="236" spans="1:31" x14ac:dyDescent="0.2">
      <c r="A236">
        <v>1370</v>
      </c>
      <c r="B236" s="1">
        <v>46228</v>
      </c>
      <c r="C236" s="2">
        <v>0.49583333333333335</v>
      </c>
      <c r="D236" t="s">
        <v>24</v>
      </c>
      <c r="E236" s="10" t="s">
        <v>49</v>
      </c>
      <c r="F236" s="11">
        <v>69.427323388999994</v>
      </c>
      <c r="G236" s="4">
        <v>2145.9555700000001</v>
      </c>
      <c r="H236" s="20">
        <v>1</v>
      </c>
      <c r="I236" s="17" t="s">
        <v>254</v>
      </c>
      <c r="J236" t="s">
        <v>20</v>
      </c>
      <c r="K236" s="11">
        <v>89.554111204999998</v>
      </c>
      <c r="L236" s="11">
        <v>14.8661528</v>
      </c>
      <c r="M236" s="11">
        <v>-30.049846599999999</v>
      </c>
      <c r="N236" s="11">
        <v>62.658109660999997</v>
      </c>
      <c r="O236" s="11">
        <v>214</v>
      </c>
      <c r="P236" s="33">
        <v>0.90083299999999999</v>
      </c>
      <c r="Q236" s="11"/>
      <c r="R236" s="11"/>
      <c r="S236" s="10" t="s">
        <v>33</v>
      </c>
      <c r="T236" s="20">
        <v>1</v>
      </c>
      <c r="U236" s="17" t="s">
        <v>39</v>
      </c>
      <c r="AB236" s="13" t="s">
        <v>37</v>
      </c>
      <c r="AC236" s="19"/>
      <c r="AD236" s="7" t="s">
        <v>27</v>
      </c>
      <c r="AE236" s="16"/>
    </row>
    <row r="237" spans="1:31" x14ac:dyDescent="0.2">
      <c r="A237">
        <v>1371</v>
      </c>
      <c r="B237" s="1">
        <v>46228</v>
      </c>
      <c r="C237" s="2">
        <v>0.49616898148148147</v>
      </c>
      <c r="D237" t="s">
        <v>24</v>
      </c>
      <c r="E237" s="10" t="s">
        <v>33</v>
      </c>
      <c r="F237" s="11">
        <v>84.624470653000003</v>
      </c>
      <c r="G237" s="4">
        <v>2301.5268599999999</v>
      </c>
      <c r="H237" s="20">
        <v>1</v>
      </c>
      <c r="I237" s="17" t="s">
        <v>39</v>
      </c>
      <c r="J237" t="s">
        <v>21</v>
      </c>
      <c r="K237" s="11"/>
      <c r="L237" s="11"/>
      <c r="M237" s="11"/>
      <c r="N237" s="11">
        <v>64.999424003000001</v>
      </c>
      <c r="O237" s="11"/>
      <c r="P237" s="33">
        <v>0.38160709399999998</v>
      </c>
      <c r="Q237" s="11"/>
      <c r="R237" s="11"/>
      <c r="S237" s="10" t="s">
        <v>33</v>
      </c>
      <c r="T237" s="20">
        <v>0</v>
      </c>
      <c r="U237" s="17"/>
      <c r="AB237" s="13" t="s">
        <v>37</v>
      </c>
      <c r="AC237" s="19"/>
      <c r="AD237" s="7" t="s">
        <v>19</v>
      </c>
      <c r="AE237" s="16"/>
    </row>
    <row r="238" spans="1:31" x14ac:dyDescent="0.2">
      <c r="A238">
        <v>1372</v>
      </c>
      <c r="B238" s="1">
        <v>46228</v>
      </c>
      <c r="C238" s="2">
        <v>0.49634259259259261</v>
      </c>
      <c r="D238" t="s">
        <v>24</v>
      </c>
      <c r="E238" s="10" t="s">
        <v>33</v>
      </c>
      <c r="F238" s="11">
        <v>84.608590196999998</v>
      </c>
      <c r="G238" s="4">
        <v>2233.9665500000001</v>
      </c>
      <c r="H238" s="20">
        <v>0</v>
      </c>
      <c r="I238" s="17"/>
      <c r="J238" t="s">
        <v>21</v>
      </c>
      <c r="K238" s="11"/>
      <c r="L238" s="11"/>
      <c r="M238" s="11"/>
      <c r="N238" s="11"/>
      <c r="O238" s="11"/>
      <c r="P238" s="33"/>
      <c r="Q238" s="11"/>
      <c r="R238" s="11"/>
      <c r="S238" s="10" t="s">
        <v>33</v>
      </c>
      <c r="T238" s="20">
        <v>0</v>
      </c>
      <c r="U238" s="17"/>
      <c r="AB238" s="13" t="s">
        <v>37</v>
      </c>
      <c r="AC238" s="19"/>
      <c r="AD238" s="7" t="s">
        <v>21</v>
      </c>
      <c r="AE238" s="16"/>
    </row>
    <row r="239" spans="1:31" x14ac:dyDescent="0.2">
      <c r="A239">
        <v>1373</v>
      </c>
      <c r="B239" s="1">
        <v>46228</v>
      </c>
      <c r="C239" s="2">
        <v>0.49655092592592592</v>
      </c>
      <c r="D239" t="s">
        <v>24</v>
      </c>
      <c r="E239" s="10" t="s">
        <v>37</v>
      </c>
      <c r="F239" s="11">
        <v>71.142362535000004</v>
      </c>
      <c r="G239" s="4">
        <v>2234.4438500000001</v>
      </c>
      <c r="H239" s="20">
        <v>0</v>
      </c>
      <c r="I239" s="17"/>
      <c r="J239" t="s">
        <v>21</v>
      </c>
      <c r="K239" s="11"/>
      <c r="L239" s="11"/>
      <c r="M239" s="11"/>
      <c r="N239" s="11"/>
      <c r="O239" s="11"/>
      <c r="P239" s="33"/>
      <c r="Q239" s="11"/>
      <c r="R239" s="11"/>
      <c r="S239" s="10" t="s">
        <v>33</v>
      </c>
      <c r="T239" s="20">
        <v>1</v>
      </c>
      <c r="U239" s="17" t="s">
        <v>38</v>
      </c>
      <c r="AB239" s="13" t="s">
        <v>37</v>
      </c>
      <c r="AC239" s="19"/>
      <c r="AD239" s="7" t="s">
        <v>19</v>
      </c>
      <c r="AE239" s="16"/>
    </row>
    <row r="240" spans="1:31" x14ac:dyDescent="0.2">
      <c r="A240">
        <v>1374</v>
      </c>
      <c r="B240" s="1">
        <v>46228</v>
      </c>
      <c r="C240" s="2">
        <v>0.49689814814814814</v>
      </c>
      <c r="D240" t="s">
        <v>24</v>
      </c>
      <c r="E240" s="10" t="s">
        <v>37</v>
      </c>
      <c r="F240" s="11">
        <v>70.697721173999994</v>
      </c>
      <c r="G240" s="4">
        <v>2266.6223100000002</v>
      </c>
      <c r="H240" s="20">
        <v>1</v>
      </c>
      <c r="I240" s="17"/>
      <c r="J240" t="s">
        <v>21</v>
      </c>
      <c r="K240" s="11"/>
      <c r="L240" s="11"/>
      <c r="M240" s="11"/>
      <c r="N240" s="11"/>
      <c r="O240" s="11"/>
      <c r="P240" s="33"/>
      <c r="Q240" s="11"/>
      <c r="R240" s="11"/>
      <c r="S240" s="10" t="s">
        <v>33</v>
      </c>
      <c r="T240" s="20">
        <v>1</v>
      </c>
      <c r="U240" s="17" t="s">
        <v>38</v>
      </c>
      <c r="AB240" s="13" t="s">
        <v>37</v>
      </c>
      <c r="AC240" s="19"/>
      <c r="AD240" s="7" t="s">
        <v>20</v>
      </c>
      <c r="AE240" s="16"/>
    </row>
    <row r="241" spans="1:31" x14ac:dyDescent="0.2">
      <c r="A241">
        <v>1375</v>
      </c>
      <c r="B241" s="1">
        <v>46228</v>
      </c>
      <c r="C241" s="2">
        <v>0.49717592592592591</v>
      </c>
      <c r="D241" t="s">
        <v>24</v>
      </c>
      <c r="E241" s="10" t="s">
        <v>33</v>
      </c>
      <c r="F241" s="11">
        <v>84.211589981000003</v>
      </c>
      <c r="G241" s="4">
        <v>2204.01172</v>
      </c>
      <c r="H241" s="20">
        <v>0</v>
      </c>
      <c r="I241" s="17"/>
      <c r="J241" t="s">
        <v>21</v>
      </c>
      <c r="K241" s="11"/>
      <c r="L241" s="11"/>
      <c r="M241" s="11"/>
      <c r="N241" s="11"/>
      <c r="O241" s="11"/>
      <c r="P241" s="33"/>
      <c r="Q241" s="11"/>
      <c r="R241" s="11"/>
      <c r="S241" s="10" t="s">
        <v>33</v>
      </c>
      <c r="T241" s="20">
        <v>1</v>
      </c>
      <c r="U241" s="17" t="s">
        <v>38</v>
      </c>
      <c r="AB241" s="13" t="s">
        <v>37</v>
      </c>
      <c r="AC241" s="19"/>
      <c r="AD241" s="7" t="s">
        <v>21</v>
      </c>
      <c r="AE241" s="16"/>
    </row>
    <row r="242" spans="1:31" x14ac:dyDescent="0.2">
      <c r="A242">
        <v>1376</v>
      </c>
      <c r="B242" s="1">
        <v>46228</v>
      </c>
      <c r="C242" s="2">
        <v>0.4974884259259259</v>
      </c>
      <c r="D242" t="s">
        <v>24</v>
      </c>
      <c r="E242" s="10" t="s">
        <v>33</v>
      </c>
      <c r="F242" s="11">
        <v>84.592709964999997</v>
      </c>
      <c r="G242" s="4">
        <v>2152.0234399999999</v>
      </c>
      <c r="H242" s="20">
        <v>1</v>
      </c>
      <c r="I242" s="17" t="s">
        <v>38</v>
      </c>
      <c r="J242" t="s">
        <v>21</v>
      </c>
      <c r="K242" s="11">
        <v>69.947368506999993</v>
      </c>
      <c r="L242" s="11">
        <v>39.816555000000001</v>
      </c>
      <c r="M242" s="11">
        <v>43.0939713</v>
      </c>
      <c r="N242" s="11">
        <v>62.713852987999999</v>
      </c>
      <c r="O242" s="11">
        <v>238</v>
      </c>
      <c r="P242" s="33">
        <v>0.677073288</v>
      </c>
      <c r="Q242" s="11"/>
      <c r="R242" s="11"/>
      <c r="S242" s="10" t="s">
        <v>33</v>
      </c>
      <c r="T242" s="20">
        <v>1</v>
      </c>
      <c r="U242" s="17" t="s">
        <v>38</v>
      </c>
      <c r="AB242" s="13" t="s">
        <v>37</v>
      </c>
      <c r="AC242" s="19"/>
      <c r="AD242" s="7" t="s">
        <v>20</v>
      </c>
      <c r="AE242" s="16"/>
    </row>
    <row r="243" spans="1:31" x14ac:dyDescent="0.2">
      <c r="A243">
        <v>1377</v>
      </c>
      <c r="B243" s="1">
        <v>46228</v>
      </c>
      <c r="C243" s="2">
        <v>0.49784722222222222</v>
      </c>
      <c r="D243" t="s">
        <v>24</v>
      </c>
      <c r="E243" s="10" t="s">
        <v>33</v>
      </c>
      <c r="F243" s="11">
        <v>84.608590196999998</v>
      </c>
      <c r="G243" s="4">
        <v>2166.2002000000002</v>
      </c>
      <c r="H243" s="20">
        <v>1</v>
      </c>
      <c r="I243" s="17" t="s">
        <v>38</v>
      </c>
      <c r="J243" t="s">
        <v>21</v>
      </c>
      <c r="K243" s="11">
        <v>72.211465607999997</v>
      </c>
      <c r="L243" s="11">
        <v>44.909664200000002</v>
      </c>
      <c r="M243" s="11">
        <v>-33.640850100000002</v>
      </c>
      <c r="N243" s="11">
        <v>63.382802882999997</v>
      </c>
      <c r="O243" s="11">
        <v>244</v>
      </c>
      <c r="P243" s="33">
        <v>0.69360916099999903</v>
      </c>
      <c r="Q243" s="11"/>
      <c r="R243" s="11"/>
      <c r="S243" s="10" t="s">
        <v>33</v>
      </c>
      <c r="T243" s="20">
        <v>0</v>
      </c>
      <c r="U243" s="17"/>
      <c r="AB243" s="13" t="s">
        <v>37</v>
      </c>
      <c r="AC243" s="19"/>
      <c r="AD243" s="7" t="s">
        <v>29</v>
      </c>
      <c r="AE243" s="16"/>
    </row>
    <row r="244" spans="1:31" x14ac:dyDescent="0.2">
      <c r="A244">
        <v>1378</v>
      </c>
      <c r="B244" s="1">
        <v>46228</v>
      </c>
      <c r="C244" s="2">
        <v>0.49807870370370372</v>
      </c>
      <c r="D244" t="s">
        <v>24</v>
      </c>
      <c r="E244" s="10" t="s">
        <v>37</v>
      </c>
      <c r="F244" s="11">
        <v>72.587439967999998</v>
      </c>
      <c r="G244" s="4">
        <v>2125.6039999999998</v>
      </c>
      <c r="H244" s="20">
        <v>0</v>
      </c>
      <c r="I244" s="17" t="s">
        <v>48</v>
      </c>
      <c r="J244" t="s">
        <v>21</v>
      </c>
      <c r="K244" s="11"/>
      <c r="L244" s="11"/>
      <c r="M244" s="11"/>
      <c r="N244" s="11"/>
      <c r="O244" s="11"/>
      <c r="P244" s="33"/>
      <c r="Q244" s="11"/>
      <c r="R244" s="11"/>
      <c r="S244" s="10" t="s">
        <v>33</v>
      </c>
      <c r="T244" s="20">
        <v>1</v>
      </c>
      <c r="U244" s="17" t="s">
        <v>38</v>
      </c>
      <c r="AB244" s="13" t="s">
        <v>37</v>
      </c>
      <c r="AC244" s="19"/>
      <c r="AD244" s="7" t="s">
        <v>19</v>
      </c>
      <c r="AE244" s="16"/>
    </row>
    <row r="245" spans="1:31" x14ac:dyDescent="0.2">
      <c r="A245">
        <v>1379</v>
      </c>
      <c r="B245" s="1">
        <v>46228</v>
      </c>
      <c r="C245" s="2">
        <v>0.49839120370370371</v>
      </c>
      <c r="D245" t="s">
        <v>24</v>
      </c>
      <c r="E245" s="10" t="s">
        <v>33</v>
      </c>
      <c r="F245" s="11">
        <v>82.830033924000006</v>
      </c>
      <c r="G245" s="4">
        <v>1967.40527</v>
      </c>
      <c r="H245" s="161">
        <v>1</v>
      </c>
      <c r="I245" s="162" t="s">
        <v>38</v>
      </c>
      <c r="J245" s="155" t="s">
        <v>21</v>
      </c>
      <c r="K245" s="11"/>
      <c r="L245" s="11"/>
      <c r="M245" s="11"/>
      <c r="N245" s="11">
        <v>65.668374120999999</v>
      </c>
      <c r="O245" s="11"/>
      <c r="P245" s="33"/>
      <c r="Q245" s="11"/>
      <c r="R245" s="11"/>
      <c r="S245" s="10" t="s">
        <v>33</v>
      </c>
      <c r="T245" s="161">
        <v>0</v>
      </c>
      <c r="U245" s="162"/>
      <c r="AB245" s="13" t="s">
        <v>37</v>
      </c>
      <c r="AC245" s="170"/>
      <c r="AD245" s="165" t="s">
        <v>20</v>
      </c>
      <c r="AE245" s="16"/>
    </row>
    <row r="246" spans="1:31" x14ac:dyDescent="0.2">
      <c r="A246">
        <v>1399</v>
      </c>
      <c r="B246" s="1">
        <v>46228</v>
      </c>
      <c r="C246" s="2">
        <v>0.50804398148148144</v>
      </c>
      <c r="D246" t="s">
        <v>24</v>
      </c>
      <c r="E246" s="10" t="s">
        <v>33</v>
      </c>
      <c r="F246" s="11">
        <v>79.177639314000004</v>
      </c>
      <c r="G246" s="4">
        <v>1989.9917</v>
      </c>
      <c r="H246" s="20">
        <v>1</v>
      </c>
      <c r="I246" s="17" t="s">
        <v>38</v>
      </c>
      <c r="J246" t="s">
        <v>20</v>
      </c>
      <c r="K246" s="11"/>
      <c r="L246" s="11"/>
      <c r="M246" s="11"/>
      <c r="N246" s="11"/>
      <c r="O246" s="11"/>
      <c r="P246" s="33"/>
      <c r="Q246" s="11"/>
      <c r="R246" s="11"/>
      <c r="S246" s="10" t="s">
        <v>33</v>
      </c>
      <c r="T246" s="20">
        <v>1</v>
      </c>
      <c r="U246" s="17" t="s">
        <v>40</v>
      </c>
      <c r="AB246" s="13" t="s">
        <v>37</v>
      </c>
      <c r="AC246" s="19"/>
      <c r="AD246" s="7" t="s">
        <v>27</v>
      </c>
      <c r="AE246" s="16"/>
    </row>
    <row r="247" spans="1:31" x14ac:dyDescent="0.2">
      <c r="A247">
        <v>1400</v>
      </c>
      <c r="B247" s="1">
        <v>46228</v>
      </c>
      <c r="C247" s="2">
        <v>0.5084143518518518</v>
      </c>
      <c r="D247" t="s">
        <v>24</v>
      </c>
      <c r="E247" s="10" t="s">
        <v>35</v>
      </c>
      <c r="F247" s="11">
        <v>72.666841801000004</v>
      </c>
      <c r="G247" s="4">
        <v>1284.2370599999999</v>
      </c>
      <c r="H247" s="20">
        <v>0</v>
      </c>
      <c r="I247" s="17"/>
      <c r="J247" t="s">
        <v>20</v>
      </c>
      <c r="K247" s="11"/>
      <c r="L247" s="11"/>
      <c r="M247" s="11"/>
      <c r="N247" s="11"/>
      <c r="O247" s="11"/>
      <c r="P247" s="33"/>
      <c r="Q247" s="11"/>
      <c r="R247" s="11"/>
      <c r="S247" s="10" t="s">
        <v>33</v>
      </c>
      <c r="T247" s="20">
        <v>1</v>
      </c>
      <c r="U247" s="17"/>
      <c r="AB247" s="13" t="s">
        <v>37</v>
      </c>
      <c r="AC247" s="19"/>
      <c r="AD247" s="7" t="s">
        <v>27</v>
      </c>
      <c r="AE247" s="16"/>
    </row>
    <row r="248" spans="1:31" x14ac:dyDescent="0.2">
      <c r="A248">
        <v>1401</v>
      </c>
      <c r="B248" s="1">
        <v>46228</v>
      </c>
      <c r="C248" s="2">
        <v>0.50865740740740739</v>
      </c>
      <c r="D248" t="s">
        <v>24</v>
      </c>
      <c r="E248" s="10" t="s">
        <v>33</v>
      </c>
      <c r="F248" s="11">
        <v>79.765195160000005</v>
      </c>
      <c r="G248" s="4">
        <v>2094.0273400000001</v>
      </c>
      <c r="H248" s="20">
        <v>0</v>
      </c>
      <c r="I248" s="17"/>
      <c r="J248" t="s">
        <v>20</v>
      </c>
      <c r="K248" s="11"/>
      <c r="L248" s="11"/>
      <c r="M248" s="11"/>
      <c r="N248" s="11"/>
      <c r="O248" s="11"/>
      <c r="P248" s="33"/>
      <c r="Q248" s="11"/>
      <c r="R248" s="11"/>
      <c r="S248" s="10" t="s">
        <v>33</v>
      </c>
      <c r="T248" s="20">
        <v>1</v>
      </c>
      <c r="U248" s="17" t="s">
        <v>40</v>
      </c>
      <c r="AB248" s="13" t="s">
        <v>37</v>
      </c>
      <c r="AC248" s="19"/>
      <c r="AD248" s="7" t="s">
        <v>17</v>
      </c>
      <c r="AE248" s="16"/>
    </row>
    <row r="249" spans="1:31" x14ac:dyDescent="0.2">
      <c r="A249">
        <v>1402</v>
      </c>
      <c r="B249" s="1">
        <v>46228</v>
      </c>
      <c r="C249" s="2">
        <v>0.50886574074074076</v>
      </c>
      <c r="D249" t="s">
        <v>24</v>
      </c>
      <c r="E249" s="10" t="s">
        <v>33</v>
      </c>
      <c r="F249" s="11">
        <v>82.623597837999995</v>
      </c>
      <c r="G249" s="4">
        <v>2192.9785200000001</v>
      </c>
      <c r="H249" s="20">
        <v>1</v>
      </c>
      <c r="I249" s="17" t="s">
        <v>38</v>
      </c>
      <c r="J249" t="s">
        <v>20</v>
      </c>
      <c r="K249" s="11"/>
      <c r="L249" s="11"/>
      <c r="M249" s="11"/>
      <c r="N249" s="11"/>
      <c r="O249" s="11"/>
      <c r="P249" s="33"/>
      <c r="Q249" s="11"/>
      <c r="R249" s="11"/>
      <c r="S249" s="10" t="s">
        <v>37</v>
      </c>
      <c r="T249" s="20">
        <v>1</v>
      </c>
      <c r="U249" s="17" t="s">
        <v>39</v>
      </c>
      <c r="AB249" s="13" t="s">
        <v>37</v>
      </c>
      <c r="AC249" s="19"/>
      <c r="AD249" s="7" t="s">
        <v>21</v>
      </c>
      <c r="AE249" s="16"/>
    </row>
    <row r="250" spans="1:31" x14ac:dyDescent="0.2">
      <c r="A250">
        <v>1403</v>
      </c>
      <c r="B250" s="1">
        <v>46228</v>
      </c>
      <c r="C250" s="2">
        <v>0.50922453703703707</v>
      </c>
      <c r="D250" t="s">
        <v>24</v>
      </c>
      <c r="E250" s="10" t="s">
        <v>35</v>
      </c>
      <c r="F250" s="11">
        <v>75.509355745999997</v>
      </c>
      <c r="G250" s="4">
        <v>1381.5173299999999</v>
      </c>
      <c r="H250" s="20">
        <v>0</v>
      </c>
      <c r="I250" s="17"/>
      <c r="J250" t="s">
        <v>20</v>
      </c>
      <c r="K250" s="11"/>
      <c r="L250" s="11"/>
      <c r="M250" s="11"/>
      <c r="N250" s="11"/>
      <c r="O250" s="11"/>
      <c r="P250" s="33"/>
      <c r="Q250" s="11"/>
      <c r="R250" s="11"/>
      <c r="S250" s="10" t="s">
        <v>37</v>
      </c>
      <c r="T250" s="20">
        <v>0</v>
      </c>
      <c r="U250" s="17"/>
      <c r="AB250" s="13" t="s">
        <v>37</v>
      </c>
      <c r="AC250" s="19"/>
      <c r="AD250" s="7" t="s">
        <v>21</v>
      </c>
      <c r="AE250" s="16"/>
    </row>
    <row r="251" spans="1:31" x14ac:dyDescent="0.2">
      <c r="A251">
        <v>1404</v>
      </c>
      <c r="B251" s="1">
        <v>46228</v>
      </c>
      <c r="C251" s="2">
        <v>0.50967592592592592</v>
      </c>
      <c r="D251" t="s">
        <v>24</v>
      </c>
      <c r="E251" s="10" t="s">
        <v>37</v>
      </c>
      <c r="F251" s="11">
        <v>69.236763508999999</v>
      </c>
      <c r="G251" s="4">
        <v>1191.2611099999999</v>
      </c>
      <c r="H251" s="20">
        <v>0</v>
      </c>
      <c r="I251" s="17" t="s">
        <v>48</v>
      </c>
      <c r="J251" t="s">
        <v>20</v>
      </c>
      <c r="K251" s="11"/>
      <c r="L251" s="11"/>
      <c r="M251" s="11"/>
      <c r="N251" s="11"/>
      <c r="O251" s="11"/>
      <c r="P251" s="33"/>
      <c r="Q251" s="11"/>
      <c r="R251" s="11"/>
      <c r="S251" s="10" t="s">
        <v>37</v>
      </c>
      <c r="T251" s="20">
        <v>1</v>
      </c>
      <c r="U251" s="17" t="s">
        <v>39</v>
      </c>
      <c r="AB251" s="13" t="s">
        <v>37</v>
      </c>
      <c r="AC251" s="19"/>
      <c r="AD251" s="7" t="s">
        <v>52</v>
      </c>
      <c r="AE251" s="16"/>
    </row>
    <row r="252" spans="1:31" x14ac:dyDescent="0.2">
      <c r="A252">
        <v>1405</v>
      </c>
      <c r="B252" s="1">
        <v>46228</v>
      </c>
      <c r="C252" s="2">
        <v>0.51001157407407405</v>
      </c>
      <c r="D252" t="s">
        <v>24</v>
      </c>
      <c r="E252" s="10" t="s">
        <v>33</v>
      </c>
      <c r="F252" s="11">
        <v>83.703435967000004</v>
      </c>
      <c r="G252" s="4">
        <v>2156.62183</v>
      </c>
      <c r="H252" s="20">
        <v>0</v>
      </c>
      <c r="I252" s="17"/>
      <c r="J252" t="s">
        <v>20</v>
      </c>
      <c r="K252" s="11"/>
      <c r="L252" s="11"/>
      <c r="M252" s="11"/>
      <c r="N252" s="11"/>
      <c r="O252" s="11"/>
      <c r="P252" s="33"/>
      <c r="Q252" s="11"/>
      <c r="R252" s="11"/>
      <c r="S252" s="10" t="s">
        <v>37</v>
      </c>
      <c r="T252" s="20">
        <v>0</v>
      </c>
      <c r="U252" s="17"/>
      <c r="AB252" s="13" t="s">
        <v>37</v>
      </c>
      <c r="AC252" s="19"/>
      <c r="AD252" s="7" t="s">
        <v>20</v>
      </c>
      <c r="AE252" s="16"/>
    </row>
    <row r="253" spans="1:31" x14ac:dyDescent="0.2">
      <c r="A253">
        <v>1406</v>
      </c>
      <c r="B253" s="1">
        <v>46228</v>
      </c>
      <c r="C253" s="2">
        <v>0.51026620370370368</v>
      </c>
      <c r="D253" t="s">
        <v>24</v>
      </c>
      <c r="E253" s="10" t="s">
        <v>33</v>
      </c>
      <c r="F253" s="11">
        <v>81.877238550000001</v>
      </c>
      <c r="G253" s="4">
        <v>2113.4658199999999</v>
      </c>
      <c r="H253" s="20">
        <v>1</v>
      </c>
      <c r="I253" s="17" t="s">
        <v>254</v>
      </c>
      <c r="J253" t="s">
        <v>20</v>
      </c>
      <c r="K253" s="11">
        <v>96.303062767</v>
      </c>
      <c r="L253" s="11">
        <v>17.068420400000001</v>
      </c>
      <c r="M253" s="11">
        <v>-31.3227139</v>
      </c>
      <c r="N253" s="11">
        <v>69.403332027000005</v>
      </c>
      <c r="O253" s="11">
        <v>257</v>
      </c>
      <c r="P253" s="33">
        <v>0.87178268399999903</v>
      </c>
      <c r="Q253" s="11"/>
      <c r="R253" s="11"/>
      <c r="S253" s="10" t="s">
        <v>37</v>
      </c>
      <c r="T253" s="20">
        <v>1</v>
      </c>
      <c r="U253" s="17"/>
      <c r="AB253" s="10" t="s">
        <v>37</v>
      </c>
      <c r="AC253" s="17"/>
      <c r="AD253" t="s">
        <v>21</v>
      </c>
      <c r="AE253" s="11"/>
    </row>
    <row r="254" spans="1:31" x14ac:dyDescent="0.2">
      <c r="A254">
        <v>1407</v>
      </c>
      <c r="B254" s="1">
        <v>46228</v>
      </c>
      <c r="C254" s="2">
        <v>0.51063657407407403</v>
      </c>
      <c r="D254" t="s">
        <v>24</v>
      </c>
      <c r="E254" s="10" t="s">
        <v>37</v>
      </c>
      <c r="F254" s="11">
        <v>71.396439541999996</v>
      </c>
      <c r="G254" s="4">
        <v>2440.73828</v>
      </c>
      <c r="H254" s="20">
        <v>0</v>
      </c>
      <c r="I254" s="17"/>
      <c r="J254" t="s">
        <v>21</v>
      </c>
      <c r="K254" s="11"/>
      <c r="L254" s="11"/>
      <c r="M254" s="11"/>
      <c r="N254" s="11"/>
      <c r="O254" s="11"/>
      <c r="P254" s="33"/>
      <c r="Q254" s="11"/>
      <c r="R254" s="11"/>
      <c r="S254" s="10" t="s">
        <v>37</v>
      </c>
      <c r="T254" s="20">
        <v>0</v>
      </c>
      <c r="U254" s="17" t="s">
        <v>48</v>
      </c>
      <c r="AB254" s="10" t="s">
        <v>37</v>
      </c>
      <c r="AC254" s="17"/>
      <c r="AD254" t="s">
        <v>21</v>
      </c>
      <c r="AE254" s="11"/>
    </row>
    <row r="255" spans="1:31" x14ac:dyDescent="0.2">
      <c r="A255">
        <v>1408</v>
      </c>
      <c r="B255" s="1">
        <v>46228</v>
      </c>
      <c r="C255" s="2">
        <v>0.51085648148148144</v>
      </c>
      <c r="D255" t="s">
        <v>24</v>
      </c>
      <c r="E255" s="10" t="s">
        <v>33</v>
      </c>
      <c r="F255" s="11">
        <v>82.496555084999997</v>
      </c>
      <c r="G255" s="4">
        <v>1151.84521</v>
      </c>
      <c r="H255" s="20">
        <v>1</v>
      </c>
      <c r="I255" s="17"/>
      <c r="J255" t="s">
        <v>21</v>
      </c>
      <c r="K255" s="11"/>
      <c r="L255" s="11"/>
      <c r="M255" s="11"/>
      <c r="N255" s="11"/>
      <c r="O255" s="11"/>
      <c r="P255" s="33"/>
      <c r="Q255" s="11"/>
      <c r="R255" s="11"/>
      <c r="S255" s="10" t="s">
        <v>37</v>
      </c>
      <c r="T255" s="20">
        <v>0</v>
      </c>
      <c r="U255" s="17" t="s">
        <v>48</v>
      </c>
      <c r="AB255" s="10" t="s">
        <v>37</v>
      </c>
      <c r="AC255" s="17"/>
      <c r="AD255" t="s">
        <v>21</v>
      </c>
      <c r="AE255" s="11"/>
    </row>
    <row r="256" spans="1:31" x14ac:dyDescent="0.2">
      <c r="A256">
        <v>1409</v>
      </c>
      <c r="B256" s="1">
        <v>46228</v>
      </c>
      <c r="C256" s="2">
        <v>0.51106481481481481</v>
      </c>
      <c r="D256" t="s">
        <v>24</v>
      </c>
      <c r="E256" s="10" t="s">
        <v>37</v>
      </c>
      <c r="F256" s="11">
        <v>72.650961344999999</v>
      </c>
      <c r="G256" s="4">
        <v>2229.12183</v>
      </c>
      <c r="H256" s="20">
        <v>1</v>
      </c>
      <c r="I256" s="17"/>
      <c r="J256" t="s">
        <v>21</v>
      </c>
      <c r="K256" s="11"/>
      <c r="L256" s="11"/>
      <c r="M256" s="11"/>
      <c r="N256" s="11"/>
      <c r="O256" s="11"/>
      <c r="P256" s="33"/>
      <c r="Q256" s="11"/>
      <c r="R256" s="11"/>
      <c r="S256" s="10" t="s">
        <v>37</v>
      </c>
      <c r="T256" s="20">
        <v>0</v>
      </c>
      <c r="U256" s="17"/>
      <c r="AB256" s="10" t="s">
        <v>37</v>
      </c>
      <c r="AC256" s="17"/>
      <c r="AD256" t="s">
        <v>21</v>
      </c>
      <c r="AE256" s="11"/>
    </row>
    <row r="257" spans="1:31" x14ac:dyDescent="0.2">
      <c r="A257">
        <v>1410</v>
      </c>
      <c r="B257" s="1">
        <v>46228</v>
      </c>
      <c r="C257" s="2">
        <v>0.5113657407407407</v>
      </c>
      <c r="D257" t="s">
        <v>24</v>
      </c>
      <c r="E257" s="10" t="s">
        <v>33</v>
      </c>
      <c r="F257" s="11">
        <v>84.418034567000007</v>
      </c>
      <c r="G257" s="4">
        <v>2291.0864299999998</v>
      </c>
      <c r="H257" s="20">
        <v>1</v>
      </c>
      <c r="I257" s="17" t="s">
        <v>255</v>
      </c>
      <c r="J257" t="s">
        <v>21</v>
      </c>
      <c r="K257" s="11">
        <v>86.500561809999994</v>
      </c>
      <c r="L257" s="11">
        <v>21.105247500000001</v>
      </c>
      <c r="M257" s="11">
        <v>13.8915281</v>
      </c>
      <c r="N257" s="11">
        <v>62.212141572999997</v>
      </c>
      <c r="O257" s="11">
        <v>252</v>
      </c>
      <c r="P257" s="172">
        <v>0.84171188399999997</v>
      </c>
      <c r="Q257" s="11"/>
      <c r="R257" s="11"/>
      <c r="S257" s="10" t="s">
        <v>37</v>
      </c>
      <c r="T257" s="20">
        <v>1</v>
      </c>
      <c r="U257" s="17"/>
      <c r="AB257" s="10" t="s">
        <v>37</v>
      </c>
      <c r="AC257" s="17"/>
      <c r="AD257" t="s">
        <v>21</v>
      </c>
      <c r="AE257" s="11"/>
    </row>
  </sheetData>
  <sortState xmlns:xlrd2="http://schemas.microsoft.com/office/spreadsheetml/2017/richdata2" ref="AB86:AE257">
    <sortCondition ref="AB86:AB257"/>
    <sortCondition ref="AC86:AC257"/>
  </sortState>
  <mergeCells count="9">
    <mergeCell ref="B1:M1"/>
    <mergeCell ref="B2:M2"/>
    <mergeCell ref="A78:A82"/>
    <mergeCell ref="O74:O75"/>
    <mergeCell ref="A5:A25"/>
    <mergeCell ref="A26:A33"/>
    <mergeCell ref="A34:A49"/>
    <mergeCell ref="A50:A61"/>
    <mergeCell ref="A62:A77"/>
  </mergeCells>
  <conditionalFormatting sqref="C9:M9">
    <cfRule type="cellIs" dxfId="148" priority="99" operator="greaterThanOrEqual">
      <formula>0.625</formula>
    </cfRule>
    <cfRule type="cellIs" dxfId="147" priority="98" operator="lessThan">
      <formula>0.625</formula>
    </cfRule>
  </conditionalFormatting>
  <conditionalFormatting sqref="C37:M37">
    <cfRule type="cellIs" dxfId="146" priority="101" operator="greaterThanOrEqual">
      <formula>0.625</formula>
    </cfRule>
    <cfRule type="cellIs" dxfId="145" priority="100" operator="lessThan">
      <formula>0.625</formula>
    </cfRule>
  </conditionalFormatting>
  <conditionalFormatting sqref="C41:M41 C45:M45 C49:M49">
    <cfRule type="cellIs" dxfId="144" priority="103" operator="greaterThanOrEqual">
      <formula>0.6</formula>
    </cfRule>
    <cfRule type="cellIs" dxfId="143" priority="102" operator="lessThan">
      <formula>0.6</formula>
    </cfRule>
  </conditionalFormatting>
  <conditionalFormatting sqref="D85:D257">
    <cfRule type="containsText" dxfId="142" priority="70" operator="containsText" text="Sebastian Garcia">
      <formula>NOT(ISERROR(SEARCH("Sebastian Garcia",D85)))</formula>
    </cfRule>
    <cfRule type="containsText" dxfId="141" priority="69" operator="containsText" text="Drew Craig">
      <formula>NOT(ISERROR(SEARCH("Drew Craig",D85)))</formula>
    </cfRule>
    <cfRule type="containsText" dxfId="140" priority="68" operator="containsText" text="Gabriel Esteban">
      <formula>NOT(ISERROR(SEARCH("Gabriel Esteban",D85)))</formula>
    </cfRule>
    <cfRule type="containsText" dxfId="139" priority="67" operator="containsText" text="Reagan Samples">
      <formula>NOT(ISERROR(SEARCH("Reagan Samples",D85)))</formula>
    </cfRule>
    <cfRule type="containsText" dxfId="138" priority="66" operator="containsText" text="Jonathon Van Ness">
      <formula>NOT(ISERROR(SEARCH("Jonathon Van Ness",D85)))</formula>
    </cfRule>
  </conditionalFormatting>
  <conditionalFormatting sqref="E86:E257">
    <cfRule type="containsText" dxfId="137" priority="59" operator="containsText" text="FB">
      <formula>NOT(ISERROR(SEARCH("FB",E86)))</formula>
    </cfRule>
    <cfRule type="containsText" dxfId="136" priority="58" operator="containsText" text="CB">
      <formula>NOT(ISERROR(SEARCH("CB",E86)))</formula>
    </cfRule>
    <cfRule type="containsText" dxfId="135" priority="61" operator="containsText" text="CH">
      <formula>NOT(ISERROR(SEARCH("CH",E86)))</formula>
    </cfRule>
    <cfRule type="containsText" dxfId="134" priority="60" operator="containsText" text="SL">
      <formula>NOT(ISERROR(SEARCH("SL",E86)))</formula>
    </cfRule>
  </conditionalFormatting>
  <conditionalFormatting sqref="I85:I257">
    <cfRule type="containsText" dxfId="133" priority="65" operator="containsText" text="BB">
      <formula>NOT(ISERROR(SEARCH("BB",I85)))</formula>
    </cfRule>
    <cfRule type="containsText" dxfId="132" priority="64" operator="containsText" text="K">
      <formula>NOT(ISERROR(SEARCH("K",I85)))</formula>
    </cfRule>
    <cfRule type="containsText" dxfId="131" priority="63" operator="containsText" text="bK">
      <formula>NOT(ISERROR(SEARCH("bK",I85)))</formula>
    </cfRule>
    <cfRule type="containsText" dxfId="130" priority="62" operator="containsText" text="In Play">
      <formula>NOT(ISERROR(SEARCH("In Play",I85)))</formula>
    </cfRule>
  </conditionalFormatting>
  <conditionalFormatting sqref="J85:J257">
    <cfRule type="containsText" dxfId="129" priority="73" operator="containsText" text="Reagan Samples">
      <formula>NOT(ISERROR(SEARCH("Reagan Samples",J85)))</formula>
    </cfRule>
    <cfRule type="containsText" dxfId="128" priority="79" operator="containsText" text="Aidan Young">
      <formula>NOT(ISERROR(SEARCH("Aidan Young",J85)))</formula>
    </cfRule>
    <cfRule type="containsText" dxfId="127" priority="78" operator="containsText" text="Michael Chang">
      <formula>NOT(ISERROR(SEARCH("Michael Chang",J85)))</formula>
    </cfRule>
    <cfRule type="containsText" dxfId="126" priority="77" operator="containsText" text="Michael Caranna">
      <formula>NOT(ISERROR(SEARCH("Michael Caranna",J85)))</formula>
    </cfRule>
    <cfRule type="containsText" dxfId="125" priority="76" operator="containsText" text="Easton Steck">
      <formula>NOT(ISERROR(SEARCH("Easton Steck",J85)))</formula>
    </cfRule>
    <cfRule type="containsText" dxfId="124" priority="75" operator="containsText" text="Carter Walsh">
      <formula>NOT(ISERROR(SEARCH("Carter Walsh",J85)))</formula>
    </cfRule>
    <cfRule type="containsText" dxfId="123" priority="74" operator="containsText" text="Jackson Orr">
      <formula>NOT(ISERROR(SEARCH("Jackson Orr",J85)))</formula>
    </cfRule>
    <cfRule type="containsText" dxfId="122" priority="71" operator="containsText" text="Caleb Koontz">
      <formula>NOT(ISERROR(SEARCH("Caleb Koontz",J85)))</formula>
    </cfRule>
    <cfRule type="containsText" dxfId="121" priority="72" operator="containsText" text="Ryan Han">
      <formula>NOT(ISERROR(SEARCH("Ryan Han",J85)))</formula>
    </cfRule>
  </conditionalFormatting>
  <conditionalFormatting sqref="S86:S257">
    <cfRule type="containsText" dxfId="120" priority="22" operator="containsText" text="CB">
      <formula>NOT(ISERROR(SEARCH("CB",S86)))</formula>
    </cfRule>
    <cfRule type="containsText" dxfId="119" priority="23" operator="containsText" text="FB">
      <formula>NOT(ISERROR(SEARCH("FB",S86)))</formula>
    </cfRule>
    <cfRule type="containsText" dxfId="118" priority="24" operator="containsText" text="SL">
      <formula>NOT(ISERROR(SEARCH("SL",S86)))</formula>
    </cfRule>
    <cfRule type="containsText" dxfId="117" priority="25" operator="containsText" text="CH">
      <formula>NOT(ISERROR(SEARCH("CH",S86)))</formula>
    </cfRule>
  </conditionalFormatting>
  <conditionalFormatting sqref="U86:U257">
    <cfRule type="containsText" dxfId="116" priority="21" operator="containsText" text="BB">
      <formula>NOT(ISERROR(SEARCH("BB",U86)))</formula>
    </cfRule>
    <cfRule type="containsText" dxfId="115" priority="20" operator="containsText" text="K">
      <formula>NOT(ISERROR(SEARCH("K",U86)))</formula>
    </cfRule>
    <cfRule type="containsText" dxfId="114" priority="19" operator="containsText" text="bK">
      <formula>NOT(ISERROR(SEARCH("bK",U86)))</formula>
    </cfRule>
    <cfRule type="containsText" dxfId="113" priority="18" operator="containsText" text="In Play">
      <formula>NOT(ISERROR(SEARCH("In Play",U86)))</formula>
    </cfRule>
  </conditionalFormatting>
  <conditionalFormatting sqref="AB86:AB257">
    <cfRule type="containsText" dxfId="112" priority="17" operator="containsText" text="CH">
      <formula>NOT(ISERROR(SEARCH("CH",AB86)))</formula>
    </cfRule>
    <cfRule type="containsText" dxfId="111" priority="16" operator="containsText" text="SL">
      <formula>NOT(ISERROR(SEARCH("SL",AB86)))</formula>
    </cfRule>
    <cfRule type="containsText" dxfId="110" priority="15" operator="containsText" text="FB">
      <formula>NOT(ISERROR(SEARCH("FB",AB86)))</formula>
    </cfRule>
    <cfRule type="containsText" dxfId="109" priority="14" operator="containsText" text="CB">
      <formula>NOT(ISERROR(SEARCH("CB",AB86)))</formula>
    </cfRule>
  </conditionalFormatting>
  <conditionalFormatting sqref="AC86:AC257">
    <cfRule type="containsText" dxfId="108" priority="1" operator="containsText" text="In Play">
      <formula>NOT(ISERROR(SEARCH("In Play",AC86)))</formula>
    </cfRule>
    <cfRule type="containsText" dxfId="107" priority="4" operator="containsText" text="BB">
      <formula>NOT(ISERROR(SEARCH("BB",AC86)))</formula>
    </cfRule>
    <cfRule type="containsText" dxfId="106" priority="3" operator="containsText" text="K">
      <formula>NOT(ISERROR(SEARCH("K",AC86)))</formula>
    </cfRule>
    <cfRule type="containsText" dxfId="105" priority="2" operator="containsText" text="bK">
      <formula>NOT(ISERROR(SEARCH("bK",AC86)))</formula>
    </cfRule>
  </conditionalFormatting>
  <conditionalFormatting sqref="AD86:AD257">
    <cfRule type="containsText" dxfId="104" priority="7" operator="containsText" text="Reagan Samples">
      <formula>NOT(ISERROR(SEARCH("Reagan Samples",AD86)))</formula>
    </cfRule>
    <cfRule type="containsText" dxfId="103" priority="8" operator="containsText" text="Jackson Orr">
      <formula>NOT(ISERROR(SEARCH("Jackson Orr",AD86)))</formula>
    </cfRule>
    <cfRule type="containsText" dxfId="102" priority="9" operator="containsText" text="Carter Walsh">
      <formula>NOT(ISERROR(SEARCH("Carter Walsh",AD86)))</formula>
    </cfRule>
    <cfRule type="containsText" dxfId="101" priority="10" operator="containsText" text="Easton Steck">
      <formula>NOT(ISERROR(SEARCH("Easton Steck",AD86)))</formula>
    </cfRule>
    <cfRule type="containsText" dxfId="100" priority="11" operator="containsText" text="Michael Caranna">
      <formula>NOT(ISERROR(SEARCH("Michael Caranna",AD86)))</formula>
    </cfRule>
    <cfRule type="containsText" dxfId="99" priority="12" operator="containsText" text="Michael Chang">
      <formula>NOT(ISERROR(SEARCH("Michael Chang",AD86)))</formula>
    </cfRule>
    <cfRule type="containsText" dxfId="98" priority="6" operator="containsText" text="Ryan Han">
      <formula>NOT(ISERROR(SEARCH("Ryan Han",AD86)))</formula>
    </cfRule>
    <cfRule type="containsText" dxfId="97" priority="5" operator="containsText" text="Caleb Koontz">
      <formula>NOT(ISERROR(SEARCH("Caleb Koontz",AD86)))</formula>
    </cfRule>
    <cfRule type="containsText" dxfId="96" priority="13" operator="containsText" text="Aidan Young">
      <formula>NOT(ISERROR(SEARCH("Aidan Young",AD86)))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E529F-A49A-A04D-A69E-29D82D06542B}">
  <dimension ref="A1:AG351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P7" sqref="P7"/>
    </sheetView>
  </sheetViews>
  <sheetFormatPr baseColWidth="10" defaultRowHeight="16" x14ac:dyDescent="0.2"/>
  <cols>
    <col min="2" max="2" width="12" bestFit="1" customWidth="1"/>
    <col min="4" max="4" width="14.33203125" bestFit="1" customWidth="1"/>
    <col min="9" max="9" width="13.33203125" bestFit="1" customWidth="1"/>
    <col min="10" max="10" width="15" bestFit="1" customWidth="1"/>
  </cols>
  <sheetData>
    <row r="1" spans="1:16" ht="33" thickBot="1" x14ac:dyDescent="0.45">
      <c r="B1" s="256" t="s">
        <v>128</v>
      </c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8"/>
      <c r="P1" s="220"/>
    </row>
    <row r="2" spans="1:16" ht="23" thickBot="1" x14ac:dyDescent="0.25">
      <c r="B2" s="259" t="s">
        <v>133</v>
      </c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1"/>
      <c r="P2" s="220"/>
    </row>
    <row r="3" spans="1:16" ht="18" customHeight="1" x14ac:dyDescent="0.2">
      <c r="B3" s="24" t="s">
        <v>1</v>
      </c>
      <c r="C3" s="25">
        <v>46193</v>
      </c>
      <c r="D3" s="25">
        <v>46200</v>
      </c>
      <c r="E3" s="25">
        <v>46214</v>
      </c>
      <c r="F3" s="25">
        <v>46221</v>
      </c>
      <c r="G3" s="25">
        <v>46228</v>
      </c>
      <c r="H3" s="25"/>
      <c r="I3" s="148"/>
      <c r="J3" s="25"/>
      <c r="K3" s="25" t="s">
        <v>226</v>
      </c>
      <c r="L3" s="25"/>
      <c r="M3" s="26"/>
      <c r="P3" s="220"/>
    </row>
    <row r="4" spans="1:16" ht="17" thickBot="1" x14ac:dyDescent="0.25">
      <c r="B4" s="27" t="s">
        <v>61</v>
      </c>
      <c r="C4" s="28" t="s">
        <v>202</v>
      </c>
      <c r="D4" s="28" t="s">
        <v>202</v>
      </c>
      <c r="E4" s="28" t="s">
        <v>202</v>
      </c>
      <c r="F4" s="28" t="s">
        <v>202</v>
      </c>
      <c r="G4" s="28" t="s">
        <v>202</v>
      </c>
      <c r="H4" s="141"/>
      <c r="I4" s="149"/>
      <c r="J4" s="28"/>
      <c r="K4" s="28"/>
      <c r="L4" s="28"/>
      <c r="M4" s="29"/>
      <c r="P4" s="220"/>
    </row>
    <row r="5" spans="1:16" ht="16" customHeight="1" x14ac:dyDescent="0.2">
      <c r="A5" s="262" t="s">
        <v>62</v>
      </c>
      <c r="B5" s="30" t="s">
        <v>63</v>
      </c>
      <c r="C5" s="134">
        <v>2</v>
      </c>
      <c r="D5" s="134">
        <v>4</v>
      </c>
      <c r="E5" s="134">
        <v>3</v>
      </c>
      <c r="F5" s="134">
        <v>3</v>
      </c>
      <c r="G5" s="134">
        <v>3</v>
      </c>
      <c r="H5" s="31">
        <v>0</v>
      </c>
      <c r="I5" s="137">
        <v>0</v>
      </c>
      <c r="J5" s="137">
        <v>0</v>
      </c>
      <c r="K5" s="31">
        <v>0</v>
      </c>
      <c r="L5" s="31">
        <v>0</v>
      </c>
      <c r="M5" s="31">
        <v>0</v>
      </c>
      <c r="O5" s="1"/>
      <c r="P5" s="220"/>
    </row>
    <row r="6" spans="1:16" x14ac:dyDescent="0.2">
      <c r="A6" s="263"/>
      <c r="B6" s="30" t="s">
        <v>68</v>
      </c>
      <c r="C6" s="135">
        <v>38</v>
      </c>
      <c r="D6" s="135">
        <v>56</v>
      </c>
      <c r="E6" s="135">
        <v>62</v>
      </c>
      <c r="F6" s="135">
        <v>48</v>
      </c>
      <c r="G6" s="135">
        <v>54</v>
      </c>
      <c r="H6" s="32">
        <v>0</v>
      </c>
      <c r="I6" s="138">
        <v>0</v>
      </c>
      <c r="J6" s="138">
        <v>0</v>
      </c>
      <c r="K6" s="32">
        <v>0</v>
      </c>
      <c r="L6" s="32">
        <v>0</v>
      </c>
      <c r="M6" s="32">
        <v>0</v>
      </c>
      <c r="O6" s="108"/>
      <c r="P6" s="220"/>
    </row>
    <row r="7" spans="1:16" x14ac:dyDescent="0.2">
      <c r="A7" s="263"/>
      <c r="B7" s="30" t="s">
        <v>69</v>
      </c>
      <c r="C7" s="135">
        <v>16</v>
      </c>
      <c r="D7" s="135">
        <v>18</v>
      </c>
      <c r="E7" s="135">
        <v>25</v>
      </c>
      <c r="F7" s="135">
        <v>19</v>
      </c>
      <c r="G7" s="135">
        <v>27</v>
      </c>
      <c r="H7" s="32">
        <v>0</v>
      </c>
      <c r="I7" s="138">
        <v>0</v>
      </c>
      <c r="J7" s="138">
        <v>0</v>
      </c>
      <c r="K7" s="32">
        <v>0</v>
      </c>
      <c r="L7" s="32">
        <v>0</v>
      </c>
      <c r="M7" s="32">
        <v>0</v>
      </c>
      <c r="O7" s="108"/>
      <c r="P7" s="220"/>
    </row>
    <row r="8" spans="1:16" x14ac:dyDescent="0.2">
      <c r="A8" s="263"/>
      <c r="B8" s="30" t="s">
        <v>59</v>
      </c>
      <c r="C8" s="135">
        <v>22</v>
      </c>
      <c r="D8" s="135">
        <v>38</v>
      </c>
      <c r="E8" s="135">
        <v>37</v>
      </c>
      <c r="F8" s="135">
        <v>29</v>
      </c>
      <c r="G8" s="135">
        <v>27</v>
      </c>
      <c r="H8" s="32">
        <v>0</v>
      </c>
      <c r="I8" s="138">
        <v>0</v>
      </c>
      <c r="J8" s="138">
        <v>0</v>
      </c>
      <c r="K8" s="32">
        <v>0</v>
      </c>
      <c r="L8" s="32">
        <v>0</v>
      </c>
      <c r="M8" s="32">
        <v>0</v>
      </c>
      <c r="O8" s="8"/>
      <c r="P8" s="220"/>
    </row>
    <row r="9" spans="1:16" x14ac:dyDescent="0.2">
      <c r="A9" s="263"/>
      <c r="B9" s="30" t="s">
        <v>70</v>
      </c>
      <c r="C9" s="33">
        <f t="shared" ref="C9" si="0">C8/C6</f>
        <v>0.57894736842105265</v>
      </c>
      <c r="D9" s="33">
        <f t="shared" ref="D9:M9" si="1">D8/D6</f>
        <v>0.6785714285714286</v>
      </c>
      <c r="E9" s="33">
        <f t="shared" si="1"/>
        <v>0.59677419354838712</v>
      </c>
      <c r="F9" s="33">
        <f t="shared" si="1"/>
        <v>0.60416666666666663</v>
      </c>
      <c r="G9" s="33">
        <f t="shared" si="1"/>
        <v>0.5</v>
      </c>
      <c r="H9" s="142" t="e">
        <f t="shared" si="1"/>
        <v>#DIV/0!</v>
      </c>
      <c r="I9" s="150" t="e">
        <f t="shared" si="1"/>
        <v>#DIV/0!</v>
      </c>
      <c r="J9" s="33" t="e">
        <f t="shared" si="1"/>
        <v>#DIV/0!</v>
      </c>
      <c r="K9" s="33" t="e">
        <f t="shared" si="1"/>
        <v>#DIV/0!</v>
      </c>
      <c r="L9" s="33" t="e">
        <f t="shared" si="1"/>
        <v>#DIV/0!</v>
      </c>
      <c r="M9" s="33" t="e">
        <f t="shared" si="1"/>
        <v>#DIV/0!</v>
      </c>
      <c r="O9" s="203"/>
      <c r="P9" s="220"/>
    </row>
    <row r="10" spans="1:16" x14ac:dyDescent="0.2">
      <c r="A10" s="263"/>
      <c r="B10" s="30" t="s">
        <v>71</v>
      </c>
      <c r="C10" s="14">
        <f t="shared" ref="C10:M10" si="2">C6/C5</f>
        <v>19</v>
      </c>
      <c r="D10" s="14">
        <f t="shared" si="2"/>
        <v>14</v>
      </c>
      <c r="E10" s="14">
        <f t="shared" si="2"/>
        <v>20.666666666666668</v>
      </c>
      <c r="F10" s="14">
        <f t="shared" si="2"/>
        <v>16</v>
      </c>
      <c r="G10" s="14">
        <f t="shared" si="2"/>
        <v>18</v>
      </c>
      <c r="H10" s="143" t="e">
        <f t="shared" si="2"/>
        <v>#DIV/0!</v>
      </c>
      <c r="I10" s="151" t="e">
        <f t="shared" si="2"/>
        <v>#DIV/0!</v>
      </c>
      <c r="J10" s="14" t="e">
        <f t="shared" si="2"/>
        <v>#DIV/0!</v>
      </c>
      <c r="K10" s="14" t="e">
        <f t="shared" si="2"/>
        <v>#DIV/0!</v>
      </c>
      <c r="L10" s="14" t="e">
        <f t="shared" si="2"/>
        <v>#DIV/0!</v>
      </c>
      <c r="M10" s="14" t="e">
        <f t="shared" si="2"/>
        <v>#DIV/0!</v>
      </c>
      <c r="P10" s="220"/>
    </row>
    <row r="11" spans="1:16" x14ac:dyDescent="0.2">
      <c r="A11" s="263"/>
      <c r="B11" s="30" t="s">
        <v>72</v>
      </c>
      <c r="C11" s="11">
        <f t="shared" ref="C11" si="3">C6/C12</f>
        <v>4.75</v>
      </c>
      <c r="D11" s="11">
        <f t="shared" ref="D11:M11" si="4">D6/D12</f>
        <v>3.5</v>
      </c>
      <c r="E11" s="11">
        <f t="shared" si="4"/>
        <v>4.7692307692307692</v>
      </c>
      <c r="F11" s="11">
        <f t="shared" si="4"/>
        <v>3.6923076923076925</v>
      </c>
      <c r="G11" s="11">
        <f t="shared" si="4"/>
        <v>4.1538461538461542</v>
      </c>
      <c r="H11" s="144" t="e">
        <f t="shared" si="4"/>
        <v>#DIV/0!</v>
      </c>
      <c r="I11" s="152" t="e">
        <f t="shared" si="4"/>
        <v>#DIV/0!</v>
      </c>
      <c r="J11" s="11" t="e">
        <f t="shared" si="4"/>
        <v>#DIV/0!</v>
      </c>
      <c r="K11" s="11" t="e">
        <f t="shared" si="4"/>
        <v>#DIV/0!</v>
      </c>
      <c r="L11" s="11" t="e">
        <f t="shared" si="4"/>
        <v>#DIV/0!</v>
      </c>
      <c r="M11" s="11" t="e">
        <f t="shared" si="4"/>
        <v>#DIV/0!</v>
      </c>
      <c r="P11" s="220"/>
    </row>
    <row r="12" spans="1:16" x14ac:dyDescent="0.2">
      <c r="A12" s="263"/>
      <c r="B12" s="30" t="s">
        <v>73</v>
      </c>
      <c r="C12" s="135">
        <v>8</v>
      </c>
      <c r="D12" s="135">
        <v>16</v>
      </c>
      <c r="E12" s="135">
        <v>13</v>
      </c>
      <c r="F12" s="135">
        <v>13</v>
      </c>
      <c r="G12" s="135">
        <v>13</v>
      </c>
      <c r="H12" s="32">
        <v>0</v>
      </c>
      <c r="I12" s="138">
        <v>0</v>
      </c>
      <c r="J12" s="138">
        <v>0</v>
      </c>
      <c r="K12" s="32">
        <v>0</v>
      </c>
      <c r="L12" s="32">
        <v>0</v>
      </c>
      <c r="M12" s="32">
        <v>0</v>
      </c>
      <c r="P12" s="220"/>
    </row>
    <row r="13" spans="1:16" x14ac:dyDescent="0.2">
      <c r="A13" s="263"/>
      <c r="B13" s="30" t="s">
        <v>74</v>
      </c>
      <c r="C13" s="135">
        <v>2</v>
      </c>
      <c r="D13" s="135">
        <v>3</v>
      </c>
      <c r="E13" s="135">
        <v>2</v>
      </c>
      <c r="F13" s="135">
        <v>3</v>
      </c>
      <c r="G13" s="135">
        <v>2</v>
      </c>
      <c r="H13" s="32">
        <v>0</v>
      </c>
      <c r="I13" s="138">
        <v>0</v>
      </c>
      <c r="J13" s="138">
        <v>0</v>
      </c>
      <c r="K13" s="32">
        <v>0</v>
      </c>
      <c r="L13" s="32">
        <v>0</v>
      </c>
      <c r="M13" s="32">
        <v>0</v>
      </c>
      <c r="P13" s="220"/>
    </row>
    <row r="14" spans="1:16" x14ac:dyDescent="0.2">
      <c r="A14" s="263"/>
      <c r="B14" s="30" t="s">
        <v>48</v>
      </c>
      <c r="C14" s="135">
        <v>1</v>
      </c>
      <c r="D14" s="135">
        <v>0</v>
      </c>
      <c r="E14" s="135">
        <v>2</v>
      </c>
      <c r="F14" s="135">
        <v>1</v>
      </c>
      <c r="G14" s="135">
        <v>4</v>
      </c>
      <c r="H14" s="32">
        <v>0</v>
      </c>
      <c r="I14" s="138">
        <v>0</v>
      </c>
      <c r="J14" s="138">
        <v>0</v>
      </c>
      <c r="K14" s="32">
        <v>0</v>
      </c>
      <c r="L14" s="32">
        <v>0</v>
      </c>
      <c r="M14" s="32">
        <v>0</v>
      </c>
      <c r="P14" s="220"/>
    </row>
    <row r="15" spans="1:16" x14ac:dyDescent="0.2">
      <c r="A15" s="263"/>
      <c r="B15" s="30" t="s">
        <v>75</v>
      </c>
      <c r="C15" s="33">
        <f t="shared" ref="C15:M15" si="5">C14/C12</f>
        <v>0.125</v>
      </c>
      <c r="D15" s="33">
        <f t="shared" si="5"/>
        <v>0</v>
      </c>
      <c r="E15" s="33">
        <f t="shared" si="5"/>
        <v>0.15384615384615385</v>
      </c>
      <c r="F15" s="33">
        <f t="shared" si="5"/>
        <v>7.6923076923076927E-2</v>
      </c>
      <c r="G15" s="33">
        <f t="shared" si="5"/>
        <v>0.30769230769230771</v>
      </c>
      <c r="H15" s="142" t="e">
        <f t="shared" si="5"/>
        <v>#DIV/0!</v>
      </c>
      <c r="I15" s="150" t="e">
        <f t="shared" si="5"/>
        <v>#DIV/0!</v>
      </c>
      <c r="J15" s="33" t="e">
        <f t="shared" si="5"/>
        <v>#DIV/0!</v>
      </c>
      <c r="K15" s="33" t="e">
        <f t="shared" si="5"/>
        <v>#DIV/0!</v>
      </c>
      <c r="L15" s="33" t="e">
        <f t="shared" si="5"/>
        <v>#DIV/0!</v>
      </c>
      <c r="M15" s="33" t="e">
        <f t="shared" si="5"/>
        <v>#DIV/0!</v>
      </c>
      <c r="P15" s="220"/>
    </row>
    <row r="16" spans="1:16" x14ac:dyDescent="0.2">
      <c r="A16" s="263"/>
      <c r="B16" s="30" t="s">
        <v>76</v>
      </c>
      <c r="C16" s="11">
        <f t="shared" ref="C16:M16" si="6">(C14/C5)*7</f>
        <v>3.5</v>
      </c>
      <c r="D16" s="11">
        <f t="shared" si="6"/>
        <v>0</v>
      </c>
      <c r="E16" s="11">
        <f t="shared" si="6"/>
        <v>4.6666666666666661</v>
      </c>
      <c r="F16" s="11">
        <f t="shared" si="6"/>
        <v>2.333333333333333</v>
      </c>
      <c r="G16" s="11">
        <f t="shared" si="6"/>
        <v>9.3333333333333321</v>
      </c>
      <c r="H16" s="144" t="e">
        <f t="shared" si="6"/>
        <v>#DIV/0!</v>
      </c>
      <c r="I16" s="152" t="e">
        <f t="shared" si="6"/>
        <v>#DIV/0!</v>
      </c>
      <c r="J16" s="11" t="e">
        <f t="shared" si="6"/>
        <v>#DIV/0!</v>
      </c>
      <c r="K16" s="11" t="e">
        <f t="shared" si="6"/>
        <v>#DIV/0!</v>
      </c>
      <c r="L16" s="11" t="e">
        <f t="shared" si="6"/>
        <v>#DIV/0!</v>
      </c>
      <c r="M16" s="11" t="e">
        <f t="shared" si="6"/>
        <v>#DIV/0!</v>
      </c>
      <c r="P16" s="220"/>
    </row>
    <row r="17" spans="1:16" x14ac:dyDescent="0.2">
      <c r="A17" s="263"/>
      <c r="B17" s="30" t="s">
        <v>41</v>
      </c>
      <c r="C17" s="136">
        <v>0</v>
      </c>
      <c r="D17" s="136">
        <v>1</v>
      </c>
      <c r="E17" s="136">
        <v>0</v>
      </c>
      <c r="F17" s="136">
        <v>0</v>
      </c>
      <c r="G17" s="136">
        <v>0</v>
      </c>
      <c r="H17" s="34">
        <v>0</v>
      </c>
      <c r="I17" s="139">
        <v>0</v>
      </c>
      <c r="J17" s="139">
        <v>0</v>
      </c>
      <c r="K17" s="34">
        <v>0</v>
      </c>
      <c r="L17" s="34">
        <v>0</v>
      </c>
      <c r="M17" s="34">
        <v>0</v>
      </c>
      <c r="P17" s="220"/>
    </row>
    <row r="18" spans="1:16" x14ac:dyDescent="0.2">
      <c r="A18" s="263"/>
      <c r="B18" s="30" t="s">
        <v>79</v>
      </c>
      <c r="C18" s="35">
        <f t="shared" ref="C18:M18" si="7">(C14+C13)/C5</f>
        <v>1.5</v>
      </c>
      <c r="D18" s="35">
        <f t="shared" si="7"/>
        <v>0.75</v>
      </c>
      <c r="E18" s="35">
        <f t="shared" si="7"/>
        <v>1.3333333333333333</v>
      </c>
      <c r="F18" s="35">
        <f t="shared" si="7"/>
        <v>1.3333333333333333</v>
      </c>
      <c r="G18" s="35">
        <f t="shared" si="7"/>
        <v>2</v>
      </c>
      <c r="H18" s="145" t="e">
        <f t="shared" si="7"/>
        <v>#DIV/0!</v>
      </c>
      <c r="I18" s="153" t="e">
        <f t="shared" si="7"/>
        <v>#DIV/0!</v>
      </c>
      <c r="J18" s="35" t="e">
        <f t="shared" si="7"/>
        <v>#DIV/0!</v>
      </c>
      <c r="K18" s="35" t="e">
        <f t="shared" si="7"/>
        <v>#DIV/0!</v>
      </c>
      <c r="L18" s="35" t="e">
        <f t="shared" si="7"/>
        <v>#DIV/0!</v>
      </c>
      <c r="M18" s="35" t="e">
        <f t="shared" si="7"/>
        <v>#DIV/0!</v>
      </c>
      <c r="P18" s="220"/>
    </row>
    <row r="19" spans="1:16" x14ac:dyDescent="0.2">
      <c r="A19" s="263"/>
      <c r="B19" s="30" t="s">
        <v>81</v>
      </c>
      <c r="C19" s="135">
        <v>2</v>
      </c>
      <c r="D19" s="135">
        <v>5</v>
      </c>
      <c r="E19" s="135">
        <v>3</v>
      </c>
      <c r="F19" s="135">
        <v>2</v>
      </c>
      <c r="G19" s="135">
        <v>0</v>
      </c>
      <c r="H19" s="32">
        <v>0</v>
      </c>
      <c r="I19" s="138">
        <v>0</v>
      </c>
      <c r="J19" s="138">
        <v>0</v>
      </c>
      <c r="K19" s="32">
        <v>0</v>
      </c>
      <c r="L19" s="32">
        <v>0</v>
      </c>
      <c r="M19" s="32">
        <v>0</v>
      </c>
      <c r="P19" s="220"/>
    </row>
    <row r="20" spans="1:16" x14ac:dyDescent="0.2">
      <c r="A20" s="263"/>
      <c r="B20" s="30" t="s">
        <v>82</v>
      </c>
      <c r="C20" s="135">
        <v>0</v>
      </c>
      <c r="D20" s="135">
        <v>0</v>
      </c>
      <c r="E20" s="135">
        <v>0</v>
      </c>
      <c r="F20" s="135">
        <v>1</v>
      </c>
      <c r="G20" s="135">
        <v>0</v>
      </c>
      <c r="H20" s="32">
        <v>0</v>
      </c>
      <c r="I20" s="138">
        <v>0</v>
      </c>
      <c r="J20" s="138">
        <v>0</v>
      </c>
      <c r="K20" s="32">
        <v>0</v>
      </c>
      <c r="L20" s="32">
        <v>0</v>
      </c>
      <c r="M20" s="32">
        <v>0</v>
      </c>
      <c r="P20" s="220"/>
    </row>
    <row r="21" spans="1:16" x14ac:dyDescent="0.2">
      <c r="A21" s="263"/>
      <c r="B21" s="30" t="s">
        <v>83</v>
      </c>
      <c r="C21" s="11">
        <f t="shared" ref="C21:M21" si="8">((C19+C20)/C5)*7</f>
        <v>7</v>
      </c>
      <c r="D21" s="11">
        <f t="shared" si="8"/>
        <v>8.75</v>
      </c>
      <c r="E21" s="11">
        <f t="shared" si="8"/>
        <v>7</v>
      </c>
      <c r="F21" s="11">
        <f t="shared" si="8"/>
        <v>7</v>
      </c>
      <c r="G21" s="11">
        <f t="shared" si="8"/>
        <v>0</v>
      </c>
      <c r="H21" s="144" t="e">
        <f t="shared" si="8"/>
        <v>#DIV/0!</v>
      </c>
      <c r="I21" s="152" t="e">
        <f t="shared" si="8"/>
        <v>#DIV/0!</v>
      </c>
      <c r="J21" s="11" t="e">
        <f t="shared" si="8"/>
        <v>#DIV/0!</v>
      </c>
      <c r="K21" s="11" t="e">
        <f t="shared" si="8"/>
        <v>#DIV/0!</v>
      </c>
      <c r="L21" s="11" t="e">
        <f t="shared" si="8"/>
        <v>#DIV/0!</v>
      </c>
      <c r="M21" s="11" t="e">
        <f t="shared" si="8"/>
        <v>#DIV/0!</v>
      </c>
      <c r="P21" s="220"/>
    </row>
    <row r="22" spans="1:16" x14ac:dyDescent="0.2">
      <c r="A22" s="263"/>
      <c r="B22" s="30" t="s">
        <v>70</v>
      </c>
      <c r="C22" s="33">
        <f t="shared" ref="C22:M22" si="9">(C19+C20)/C12</f>
        <v>0.25</v>
      </c>
      <c r="D22" s="33">
        <f t="shared" si="9"/>
        <v>0.3125</v>
      </c>
      <c r="E22" s="33">
        <f t="shared" si="9"/>
        <v>0.23076923076923078</v>
      </c>
      <c r="F22" s="33">
        <f t="shared" si="9"/>
        <v>0.23076923076923078</v>
      </c>
      <c r="G22" s="33">
        <f t="shared" si="9"/>
        <v>0</v>
      </c>
      <c r="H22" s="142" t="e">
        <f t="shared" si="9"/>
        <v>#DIV/0!</v>
      </c>
      <c r="I22" s="150" t="e">
        <f t="shared" si="9"/>
        <v>#DIV/0!</v>
      </c>
      <c r="J22" s="33" t="e">
        <f t="shared" si="9"/>
        <v>#DIV/0!</v>
      </c>
      <c r="K22" s="33" t="e">
        <f t="shared" si="9"/>
        <v>#DIV/0!</v>
      </c>
      <c r="L22" s="33" t="e">
        <f t="shared" si="9"/>
        <v>#DIV/0!</v>
      </c>
      <c r="M22" s="33" t="e">
        <f t="shared" si="9"/>
        <v>#DIV/0!</v>
      </c>
      <c r="P22" s="220"/>
    </row>
    <row r="23" spans="1:16" x14ac:dyDescent="0.2">
      <c r="A23" s="263"/>
      <c r="B23" s="30" t="s">
        <v>84</v>
      </c>
      <c r="C23" s="11">
        <f t="shared" ref="C23:M23" si="10">(C19+C20)/C14</f>
        <v>2</v>
      </c>
      <c r="D23" s="11" t="e">
        <f t="shared" si="10"/>
        <v>#DIV/0!</v>
      </c>
      <c r="E23" s="11">
        <f t="shared" si="10"/>
        <v>1.5</v>
      </c>
      <c r="F23" s="11">
        <f t="shared" si="10"/>
        <v>3</v>
      </c>
      <c r="G23" s="11">
        <f t="shared" si="10"/>
        <v>0</v>
      </c>
      <c r="H23" s="144" t="e">
        <f t="shared" si="10"/>
        <v>#DIV/0!</v>
      </c>
      <c r="I23" s="152" t="e">
        <f t="shared" si="10"/>
        <v>#DIV/0!</v>
      </c>
      <c r="J23" s="11" t="e">
        <f t="shared" si="10"/>
        <v>#DIV/0!</v>
      </c>
      <c r="K23" s="11" t="e">
        <f t="shared" si="10"/>
        <v>#DIV/0!</v>
      </c>
      <c r="L23" s="11" t="e">
        <f t="shared" si="10"/>
        <v>#DIV/0!</v>
      </c>
      <c r="M23" s="11" t="e">
        <f t="shared" si="10"/>
        <v>#DIV/0!</v>
      </c>
      <c r="P23" s="220"/>
    </row>
    <row r="24" spans="1:16" x14ac:dyDescent="0.2">
      <c r="A24" s="263"/>
      <c r="B24" s="30" t="s">
        <v>85</v>
      </c>
      <c r="C24" s="33">
        <f t="shared" ref="C24:M24" si="11">C22-C15</f>
        <v>0.125</v>
      </c>
      <c r="D24" s="33">
        <f t="shared" si="11"/>
        <v>0.3125</v>
      </c>
      <c r="E24" s="33">
        <f t="shared" si="11"/>
        <v>7.6923076923076927E-2</v>
      </c>
      <c r="F24" s="33">
        <f t="shared" si="11"/>
        <v>0.15384615384615385</v>
      </c>
      <c r="G24" s="33">
        <f t="shared" si="11"/>
        <v>-0.30769230769230771</v>
      </c>
      <c r="H24" s="142" t="e">
        <f t="shared" si="11"/>
        <v>#DIV/0!</v>
      </c>
      <c r="I24" s="150" t="e">
        <f t="shared" si="11"/>
        <v>#DIV/0!</v>
      </c>
      <c r="J24" s="33" t="e">
        <f t="shared" si="11"/>
        <v>#DIV/0!</v>
      </c>
      <c r="K24" s="33" t="e">
        <f t="shared" si="11"/>
        <v>#DIV/0!</v>
      </c>
      <c r="L24" s="33" t="e">
        <f t="shared" si="11"/>
        <v>#DIV/0!</v>
      </c>
      <c r="M24" s="33" t="e">
        <f t="shared" si="11"/>
        <v>#DIV/0!</v>
      </c>
      <c r="P24" s="220"/>
    </row>
    <row r="25" spans="1:16" ht="17" thickBot="1" x14ac:dyDescent="0.25">
      <c r="A25" s="264"/>
      <c r="B25" s="30" t="s">
        <v>86</v>
      </c>
      <c r="C25" s="36">
        <f t="shared" ref="C25:M25" si="12">C13/(C12-C14-C17)</f>
        <v>0.2857142857142857</v>
      </c>
      <c r="D25" s="36">
        <f t="shared" si="12"/>
        <v>0.2</v>
      </c>
      <c r="E25" s="36">
        <f t="shared" si="12"/>
        <v>0.18181818181818182</v>
      </c>
      <c r="F25" s="36">
        <f t="shared" si="12"/>
        <v>0.25</v>
      </c>
      <c r="G25" s="36">
        <f t="shared" si="12"/>
        <v>0.22222222222222221</v>
      </c>
      <c r="H25" s="146" t="e">
        <f t="shared" si="12"/>
        <v>#DIV/0!</v>
      </c>
      <c r="I25" s="154" t="e">
        <f t="shared" si="12"/>
        <v>#DIV/0!</v>
      </c>
      <c r="J25" s="36" t="e">
        <f t="shared" si="12"/>
        <v>#DIV/0!</v>
      </c>
      <c r="K25" s="36" t="e">
        <f t="shared" si="12"/>
        <v>#DIV/0!</v>
      </c>
      <c r="L25" s="36" t="e">
        <f t="shared" si="12"/>
        <v>#DIV/0!</v>
      </c>
      <c r="M25" s="36" t="e">
        <f t="shared" si="12"/>
        <v>#DIV/0!</v>
      </c>
      <c r="P25" s="220"/>
    </row>
    <row r="26" spans="1:16" ht="16" customHeight="1" x14ac:dyDescent="0.2">
      <c r="A26" s="262" t="s">
        <v>88</v>
      </c>
      <c r="B26" s="37" t="s">
        <v>89</v>
      </c>
      <c r="C26" s="135">
        <v>2</v>
      </c>
      <c r="D26" s="135">
        <v>12</v>
      </c>
      <c r="E26" s="135">
        <v>5</v>
      </c>
      <c r="F26" s="135">
        <v>8</v>
      </c>
      <c r="G26" s="135">
        <v>7</v>
      </c>
      <c r="H26" s="32">
        <v>0</v>
      </c>
      <c r="I26" s="138">
        <v>0</v>
      </c>
      <c r="J26" s="138">
        <v>0</v>
      </c>
      <c r="K26" s="32">
        <v>0</v>
      </c>
      <c r="L26" s="32">
        <v>0</v>
      </c>
      <c r="M26" s="32">
        <v>0</v>
      </c>
      <c r="P26" s="220"/>
    </row>
    <row r="27" spans="1:16" x14ac:dyDescent="0.2">
      <c r="A27" s="263"/>
      <c r="B27" s="38" t="s">
        <v>90</v>
      </c>
      <c r="C27" s="33">
        <f t="shared" ref="C27:M27" si="13">C26/C12</f>
        <v>0.25</v>
      </c>
      <c r="D27" s="33">
        <f t="shared" si="13"/>
        <v>0.75</v>
      </c>
      <c r="E27" s="33">
        <f t="shared" si="13"/>
        <v>0.38461538461538464</v>
      </c>
      <c r="F27" s="33">
        <f t="shared" si="13"/>
        <v>0.61538461538461542</v>
      </c>
      <c r="G27" s="33">
        <f t="shared" si="13"/>
        <v>0.53846153846153844</v>
      </c>
      <c r="H27" s="142" t="e">
        <f t="shared" si="13"/>
        <v>#DIV/0!</v>
      </c>
      <c r="I27" s="150" t="e">
        <f t="shared" si="13"/>
        <v>#DIV/0!</v>
      </c>
      <c r="J27" s="33" t="e">
        <f t="shared" si="13"/>
        <v>#DIV/0!</v>
      </c>
      <c r="K27" s="33" t="e">
        <f t="shared" si="13"/>
        <v>#DIV/0!</v>
      </c>
      <c r="L27" s="33" t="e">
        <f t="shared" si="13"/>
        <v>#DIV/0!</v>
      </c>
      <c r="M27" s="33" t="e">
        <f t="shared" si="13"/>
        <v>#DIV/0!</v>
      </c>
      <c r="P27" s="220"/>
    </row>
    <row r="28" spans="1:16" x14ac:dyDescent="0.2">
      <c r="A28" s="263"/>
      <c r="B28" s="38" t="s">
        <v>91</v>
      </c>
      <c r="C28" s="135">
        <v>5</v>
      </c>
      <c r="D28" s="135">
        <v>9</v>
      </c>
      <c r="E28" s="135">
        <v>8</v>
      </c>
      <c r="F28" s="135">
        <v>6</v>
      </c>
      <c r="G28" s="135">
        <v>5</v>
      </c>
      <c r="H28" s="32">
        <v>0</v>
      </c>
      <c r="I28" s="138">
        <v>0</v>
      </c>
      <c r="J28" s="138">
        <v>0</v>
      </c>
      <c r="K28" s="32">
        <v>0</v>
      </c>
      <c r="L28" s="32">
        <v>0</v>
      </c>
      <c r="M28" s="32">
        <v>0</v>
      </c>
      <c r="P28" s="220"/>
    </row>
    <row r="29" spans="1:16" x14ac:dyDescent="0.2">
      <c r="A29" s="263"/>
      <c r="B29" s="38" t="s">
        <v>92</v>
      </c>
      <c r="C29" s="33">
        <f t="shared" ref="C29:M29" si="14">C28/C12</f>
        <v>0.625</v>
      </c>
      <c r="D29" s="33">
        <f t="shared" si="14"/>
        <v>0.5625</v>
      </c>
      <c r="E29" s="33">
        <f t="shared" si="14"/>
        <v>0.61538461538461542</v>
      </c>
      <c r="F29" s="33">
        <f t="shared" si="14"/>
        <v>0.46153846153846156</v>
      </c>
      <c r="G29" s="33">
        <f t="shared" si="14"/>
        <v>0.38461538461538464</v>
      </c>
      <c r="H29" s="142" t="e">
        <f t="shared" si="14"/>
        <v>#DIV/0!</v>
      </c>
      <c r="I29" s="150" t="e">
        <f t="shared" si="14"/>
        <v>#DIV/0!</v>
      </c>
      <c r="J29" s="33" t="e">
        <f t="shared" si="14"/>
        <v>#DIV/0!</v>
      </c>
      <c r="K29" s="33" t="e">
        <f t="shared" si="14"/>
        <v>#DIV/0!</v>
      </c>
      <c r="L29" s="33" t="e">
        <f t="shared" si="14"/>
        <v>#DIV/0!</v>
      </c>
      <c r="M29" s="33" t="e">
        <f t="shared" si="14"/>
        <v>#DIV/0!</v>
      </c>
      <c r="P29" s="220"/>
    </row>
    <row r="30" spans="1:16" x14ac:dyDescent="0.2">
      <c r="A30" s="263"/>
      <c r="B30" s="38" t="s">
        <v>93</v>
      </c>
      <c r="C30" s="135">
        <v>2</v>
      </c>
      <c r="D30" s="135">
        <v>7</v>
      </c>
      <c r="E30" s="135">
        <v>4</v>
      </c>
      <c r="F30" s="135">
        <v>7</v>
      </c>
      <c r="G30" s="135">
        <v>5</v>
      </c>
      <c r="H30" s="32">
        <v>0</v>
      </c>
      <c r="I30" s="138">
        <v>0</v>
      </c>
      <c r="J30" s="138">
        <v>0</v>
      </c>
      <c r="K30" s="32">
        <v>0</v>
      </c>
      <c r="L30" s="32">
        <v>0</v>
      </c>
      <c r="M30" s="32">
        <v>0</v>
      </c>
      <c r="P30" s="220"/>
    </row>
    <row r="31" spans="1:16" x14ac:dyDescent="0.2">
      <c r="A31" s="263"/>
      <c r="B31" s="38" t="s">
        <v>94</v>
      </c>
      <c r="C31" s="33">
        <f t="shared" ref="C31:M31" si="15">C30/C12</f>
        <v>0.25</v>
      </c>
      <c r="D31" s="33">
        <f t="shared" si="15"/>
        <v>0.4375</v>
      </c>
      <c r="E31" s="33">
        <f t="shared" si="15"/>
        <v>0.30769230769230771</v>
      </c>
      <c r="F31" s="33">
        <f t="shared" si="15"/>
        <v>0.53846153846153844</v>
      </c>
      <c r="G31" s="33">
        <f t="shared" si="15"/>
        <v>0.38461538461538464</v>
      </c>
      <c r="H31" s="142" t="e">
        <f t="shared" si="15"/>
        <v>#DIV/0!</v>
      </c>
      <c r="I31" s="150" t="e">
        <f t="shared" si="15"/>
        <v>#DIV/0!</v>
      </c>
      <c r="J31" s="33" t="e">
        <f t="shared" si="15"/>
        <v>#DIV/0!</v>
      </c>
      <c r="K31" s="33" t="e">
        <f t="shared" si="15"/>
        <v>#DIV/0!</v>
      </c>
      <c r="L31" s="33" t="e">
        <f t="shared" si="15"/>
        <v>#DIV/0!</v>
      </c>
      <c r="M31" s="33" t="e">
        <f t="shared" si="15"/>
        <v>#DIV/0!</v>
      </c>
      <c r="P31" s="220"/>
    </row>
    <row r="32" spans="1:16" x14ac:dyDescent="0.2">
      <c r="A32" s="263"/>
      <c r="B32" s="38" t="s">
        <v>95</v>
      </c>
      <c r="C32" s="135">
        <v>3</v>
      </c>
      <c r="D32" s="135">
        <v>3</v>
      </c>
      <c r="E32" s="135">
        <v>3</v>
      </c>
      <c r="F32" s="135">
        <v>4</v>
      </c>
      <c r="G32" s="135">
        <v>5</v>
      </c>
      <c r="H32" s="32">
        <v>0</v>
      </c>
      <c r="I32" s="138">
        <v>0</v>
      </c>
      <c r="J32" s="138">
        <v>0</v>
      </c>
      <c r="K32" s="32">
        <v>0</v>
      </c>
      <c r="L32" s="32">
        <v>0</v>
      </c>
      <c r="M32" s="32">
        <v>0</v>
      </c>
      <c r="P32" s="220"/>
    </row>
    <row r="33" spans="1:16" ht="17" thickBot="1" x14ac:dyDescent="0.25">
      <c r="A33" s="264"/>
      <c r="B33" s="39" t="s">
        <v>96</v>
      </c>
      <c r="C33" s="33">
        <f t="shared" ref="C33:M33" si="16">C32/C12</f>
        <v>0.375</v>
      </c>
      <c r="D33" s="33">
        <f t="shared" si="16"/>
        <v>0.1875</v>
      </c>
      <c r="E33" s="33">
        <f t="shared" si="16"/>
        <v>0.23076923076923078</v>
      </c>
      <c r="F33" s="33">
        <f t="shared" si="16"/>
        <v>0.30769230769230771</v>
      </c>
      <c r="G33" s="33">
        <f t="shared" si="16"/>
        <v>0.38461538461538464</v>
      </c>
      <c r="H33" s="142" t="e">
        <f t="shared" si="16"/>
        <v>#DIV/0!</v>
      </c>
      <c r="I33" s="150" t="e">
        <f t="shared" si="16"/>
        <v>#DIV/0!</v>
      </c>
      <c r="J33" s="33" t="e">
        <f t="shared" si="16"/>
        <v>#DIV/0!</v>
      </c>
      <c r="K33" s="33" t="e">
        <f t="shared" si="16"/>
        <v>#DIV/0!</v>
      </c>
      <c r="L33" s="33" t="e">
        <f t="shared" si="16"/>
        <v>#DIV/0!</v>
      </c>
      <c r="M33" s="33" t="e">
        <f t="shared" si="16"/>
        <v>#DIV/0!</v>
      </c>
      <c r="P33" s="220"/>
    </row>
    <row r="34" spans="1:16" ht="16" customHeight="1" x14ac:dyDescent="0.2">
      <c r="A34" s="262" t="s">
        <v>97</v>
      </c>
      <c r="B34" s="37" t="s">
        <v>98</v>
      </c>
      <c r="C34" s="135">
        <v>13</v>
      </c>
      <c r="D34" s="135">
        <v>24</v>
      </c>
      <c r="E34" s="135">
        <v>30</v>
      </c>
      <c r="F34" s="135">
        <v>22</v>
      </c>
      <c r="G34" s="135">
        <v>24</v>
      </c>
      <c r="H34" s="32">
        <v>0</v>
      </c>
      <c r="I34" s="138">
        <v>0</v>
      </c>
      <c r="J34" s="138">
        <v>0</v>
      </c>
      <c r="K34" s="32">
        <v>0</v>
      </c>
      <c r="L34" s="32">
        <v>0</v>
      </c>
      <c r="M34" s="32">
        <v>0</v>
      </c>
      <c r="P34" s="220"/>
    </row>
    <row r="35" spans="1:16" x14ac:dyDescent="0.2">
      <c r="A35" s="263"/>
      <c r="B35" s="38" t="s">
        <v>99</v>
      </c>
      <c r="C35" s="135">
        <v>6</v>
      </c>
      <c r="D35" s="135">
        <v>17</v>
      </c>
      <c r="E35" s="135">
        <v>23</v>
      </c>
      <c r="F35" s="135">
        <v>12</v>
      </c>
      <c r="G35" s="135">
        <v>14</v>
      </c>
      <c r="H35" s="32">
        <v>0</v>
      </c>
      <c r="I35" s="138">
        <v>0</v>
      </c>
      <c r="J35" s="138">
        <v>0</v>
      </c>
      <c r="K35" s="32">
        <v>0</v>
      </c>
      <c r="L35" s="32">
        <v>0</v>
      </c>
      <c r="M35" s="32">
        <v>0</v>
      </c>
      <c r="P35" s="220"/>
    </row>
    <row r="36" spans="1:16" x14ac:dyDescent="0.2">
      <c r="A36" s="263"/>
      <c r="B36" s="38" t="s">
        <v>100</v>
      </c>
      <c r="C36" s="33">
        <f t="shared" ref="C36:M36" si="17">C34/C6</f>
        <v>0.34210526315789475</v>
      </c>
      <c r="D36" s="33">
        <f t="shared" si="17"/>
        <v>0.42857142857142855</v>
      </c>
      <c r="E36" s="33">
        <f t="shared" si="17"/>
        <v>0.4838709677419355</v>
      </c>
      <c r="F36" s="33">
        <f t="shared" si="17"/>
        <v>0.45833333333333331</v>
      </c>
      <c r="G36" s="33">
        <f t="shared" si="17"/>
        <v>0.44444444444444442</v>
      </c>
      <c r="H36" s="142" t="e">
        <f t="shared" si="17"/>
        <v>#DIV/0!</v>
      </c>
      <c r="I36" s="150" t="e">
        <f t="shared" si="17"/>
        <v>#DIV/0!</v>
      </c>
      <c r="J36" s="33" t="e">
        <f t="shared" si="17"/>
        <v>#DIV/0!</v>
      </c>
      <c r="K36" s="33" t="e">
        <f t="shared" si="17"/>
        <v>#DIV/0!</v>
      </c>
      <c r="L36" s="33" t="e">
        <f t="shared" si="17"/>
        <v>#DIV/0!</v>
      </c>
      <c r="M36" s="33" t="e">
        <f t="shared" si="17"/>
        <v>#DIV/0!</v>
      </c>
      <c r="P36" s="220"/>
    </row>
    <row r="37" spans="1:16" x14ac:dyDescent="0.2">
      <c r="A37" s="263"/>
      <c r="B37" s="39" t="s">
        <v>101</v>
      </c>
      <c r="C37" s="33">
        <f t="shared" ref="C37" si="18">C35/C34</f>
        <v>0.46153846153846156</v>
      </c>
      <c r="D37" s="33">
        <f t="shared" ref="D37:M37" si="19">D35/D34</f>
        <v>0.70833333333333337</v>
      </c>
      <c r="E37" s="33">
        <f t="shared" si="19"/>
        <v>0.76666666666666672</v>
      </c>
      <c r="F37" s="33">
        <f t="shared" si="19"/>
        <v>0.54545454545454541</v>
      </c>
      <c r="G37" s="33">
        <f t="shared" si="19"/>
        <v>0.58333333333333337</v>
      </c>
      <c r="H37" s="142" t="e">
        <f t="shared" si="19"/>
        <v>#DIV/0!</v>
      </c>
      <c r="I37" s="150" t="e">
        <f t="shared" si="19"/>
        <v>#DIV/0!</v>
      </c>
      <c r="J37" s="33" t="e">
        <f t="shared" si="19"/>
        <v>#DIV/0!</v>
      </c>
      <c r="K37" s="33" t="e">
        <f t="shared" si="19"/>
        <v>#DIV/0!</v>
      </c>
      <c r="L37" s="33" t="e">
        <f t="shared" si="19"/>
        <v>#DIV/0!</v>
      </c>
      <c r="M37" s="33" t="e">
        <f t="shared" si="19"/>
        <v>#DIV/0!</v>
      </c>
      <c r="P37" s="220"/>
    </row>
    <row r="38" spans="1:16" x14ac:dyDescent="0.2">
      <c r="A38" s="263"/>
      <c r="B38" s="37" t="s">
        <v>110</v>
      </c>
      <c r="C38" s="135">
        <v>14</v>
      </c>
      <c r="D38" s="135">
        <v>18</v>
      </c>
      <c r="E38" s="135">
        <v>26</v>
      </c>
      <c r="F38" s="135">
        <v>20</v>
      </c>
      <c r="G38" s="135">
        <v>17</v>
      </c>
      <c r="H38" s="32">
        <v>0</v>
      </c>
      <c r="I38" s="138">
        <v>0</v>
      </c>
      <c r="J38" s="138">
        <v>0</v>
      </c>
      <c r="K38" s="32">
        <v>0</v>
      </c>
      <c r="L38" s="32">
        <v>0</v>
      </c>
      <c r="M38" s="32">
        <v>0</v>
      </c>
      <c r="P38" s="220"/>
    </row>
    <row r="39" spans="1:16" x14ac:dyDescent="0.2">
      <c r="A39" s="263"/>
      <c r="B39" s="38" t="s">
        <v>111</v>
      </c>
      <c r="C39" s="135">
        <v>9</v>
      </c>
      <c r="D39" s="135">
        <v>12</v>
      </c>
      <c r="E39" s="135">
        <v>13</v>
      </c>
      <c r="F39" s="135">
        <v>11</v>
      </c>
      <c r="G39" s="135">
        <v>7</v>
      </c>
      <c r="H39" s="32">
        <v>0</v>
      </c>
      <c r="I39" s="138">
        <v>0</v>
      </c>
      <c r="J39" s="138">
        <v>0</v>
      </c>
      <c r="K39" s="32">
        <v>0</v>
      </c>
      <c r="L39" s="32">
        <v>0</v>
      </c>
      <c r="M39" s="32">
        <v>0</v>
      </c>
      <c r="P39" s="220"/>
    </row>
    <row r="40" spans="1:16" x14ac:dyDescent="0.2">
      <c r="A40" s="263"/>
      <c r="B40" s="38" t="s">
        <v>112</v>
      </c>
      <c r="C40" s="33">
        <f t="shared" ref="C40:M40" si="20">C38/C6</f>
        <v>0.36842105263157893</v>
      </c>
      <c r="D40" s="33">
        <f t="shared" si="20"/>
        <v>0.32142857142857145</v>
      </c>
      <c r="E40" s="33">
        <f t="shared" si="20"/>
        <v>0.41935483870967744</v>
      </c>
      <c r="F40" s="33">
        <f t="shared" si="20"/>
        <v>0.41666666666666669</v>
      </c>
      <c r="G40" s="33">
        <f t="shared" si="20"/>
        <v>0.31481481481481483</v>
      </c>
      <c r="H40" s="142" t="e">
        <f t="shared" si="20"/>
        <v>#DIV/0!</v>
      </c>
      <c r="I40" s="150" t="e">
        <f t="shared" si="20"/>
        <v>#DIV/0!</v>
      </c>
      <c r="J40" s="33" t="e">
        <f t="shared" si="20"/>
        <v>#DIV/0!</v>
      </c>
      <c r="K40" s="33" t="e">
        <f t="shared" si="20"/>
        <v>#DIV/0!</v>
      </c>
      <c r="L40" s="33" t="e">
        <f t="shared" si="20"/>
        <v>#DIV/0!</v>
      </c>
      <c r="M40" s="33" t="e">
        <f t="shared" si="20"/>
        <v>#DIV/0!</v>
      </c>
      <c r="P40" s="220"/>
    </row>
    <row r="41" spans="1:16" x14ac:dyDescent="0.2">
      <c r="A41" s="263"/>
      <c r="B41" s="39" t="s">
        <v>113</v>
      </c>
      <c r="C41" s="33">
        <f t="shared" ref="C41" si="21">C39/C38</f>
        <v>0.6428571428571429</v>
      </c>
      <c r="D41" s="33">
        <f t="shared" ref="D41:M41" si="22">D39/D38</f>
        <v>0.66666666666666663</v>
      </c>
      <c r="E41" s="33">
        <f t="shared" si="22"/>
        <v>0.5</v>
      </c>
      <c r="F41" s="33">
        <f t="shared" si="22"/>
        <v>0.55000000000000004</v>
      </c>
      <c r="G41" s="33">
        <f t="shared" si="22"/>
        <v>0.41176470588235292</v>
      </c>
      <c r="H41" s="142" t="e">
        <f t="shared" si="22"/>
        <v>#DIV/0!</v>
      </c>
      <c r="I41" s="150" t="e">
        <f t="shared" si="22"/>
        <v>#DIV/0!</v>
      </c>
      <c r="J41" s="33" t="e">
        <f t="shared" si="22"/>
        <v>#DIV/0!</v>
      </c>
      <c r="K41" s="33" t="e">
        <f t="shared" si="22"/>
        <v>#DIV/0!</v>
      </c>
      <c r="L41" s="33" t="e">
        <f t="shared" si="22"/>
        <v>#DIV/0!</v>
      </c>
      <c r="M41" s="33" t="e">
        <f t="shared" si="22"/>
        <v>#DIV/0!</v>
      </c>
      <c r="P41" s="220"/>
    </row>
    <row r="42" spans="1:16" x14ac:dyDescent="0.2">
      <c r="A42" s="263"/>
      <c r="B42" s="37" t="s">
        <v>106</v>
      </c>
      <c r="C42" s="135">
        <v>0</v>
      </c>
      <c r="D42" s="135">
        <v>3</v>
      </c>
      <c r="E42" s="135">
        <v>0</v>
      </c>
      <c r="F42" s="135">
        <v>5</v>
      </c>
      <c r="G42" s="135">
        <v>8</v>
      </c>
      <c r="H42" s="32">
        <v>0</v>
      </c>
      <c r="I42" s="138">
        <v>0</v>
      </c>
      <c r="J42" s="138">
        <v>0</v>
      </c>
      <c r="K42" s="32">
        <v>0</v>
      </c>
      <c r="L42" s="32">
        <v>0</v>
      </c>
      <c r="M42" s="32">
        <v>0</v>
      </c>
      <c r="P42" s="220"/>
    </row>
    <row r="43" spans="1:16" x14ac:dyDescent="0.2">
      <c r="A43" s="263"/>
      <c r="B43" s="38" t="s">
        <v>107</v>
      </c>
      <c r="C43" s="135">
        <v>0</v>
      </c>
      <c r="D43" s="135">
        <v>3</v>
      </c>
      <c r="E43" s="135">
        <v>0</v>
      </c>
      <c r="F43" s="135">
        <v>5</v>
      </c>
      <c r="G43" s="135">
        <v>5</v>
      </c>
      <c r="H43" s="32">
        <v>0</v>
      </c>
      <c r="I43" s="138">
        <v>0</v>
      </c>
      <c r="J43" s="138">
        <v>0</v>
      </c>
      <c r="K43" s="32">
        <v>0</v>
      </c>
      <c r="L43" s="32">
        <v>0</v>
      </c>
      <c r="M43" s="32">
        <v>0</v>
      </c>
      <c r="P43" s="220"/>
    </row>
    <row r="44" spans="1:16" x14ac:dyDescent="0.2">
      <c r="A44" s="263"/>
      <c r="B44" s="38" t="s">
        <v>108</v>
      </c>
      <c r="C44" s="33">
        <f t="shared" ref="C44:M44" si="23">C42/C6</f>
        <v>0</v>
      </c>
      <c r="D44" s="33">
        <f t="shared" si="23"/>
        <v>5.3571428571428568E-2</v>
      </c>
      <c r="E44" s="33">
        <f t="shared" si="23"/>
        <v>0</v>
      </c>
      <c r="F44" s="33">
        <f t="shared" si="23"/>
        <v>0.10416666666666667</v>
      </c>
      <c r="G44" s="33">
        <f t="shared" si="23"/>
        <v>0.14814814814814814</v>
      </c>
      <c r="H44" s="142" t="e">
        <f t="shared" si="23"/>
        <v>#DIV/0!</v>
      </c>
      <c r="I44" s="150" t="e">
        <f t="shared" si="23"/>
        <v>#DIV/0!</v>
      </c>
      <c r="J44" s="33" t="e">
        <f t="shared" si="23"/>
        <v>#DIV/0!</v>
      </c>
      <c r="K44" s="33" t="e">
        <f t="shared" si="23"/>
        <v>#DIV/0!</v>
      </c>
      <c r="L44" s="33" t="e">
        <f t="shared" si="23"/>
        <v>#DIV/0!</v>
      </c>
      <c r="M44" s="33" t="e">
        <f t="shared" si="23"/>
        <v>#DIV/0!</v>
      </c>
      <c r="P44" s="220"/>
    </row>
    <row r="45" spans="1:16" x14ac:dyDescent="0.2">
      <c r="A45" s="263"/>
      <c r="B45" s="39" t="s">
        <v>109</v>
      </c>
      <c r="C45" s="33" t="e">
        <f t="shared" ref="C45" si="24">C43/C42</f>
        <v>#DIV/0!</v>
      </c>
      <c r="D45" s="33">
        <f t="shared" ref="D45:M45" si="25">D43/D42</f>
        <v>1</v>
      </c>
      <c r="E45" s="33" t="e">
        <f t="shared" si="25"/>
        <v>#DIV/0!</v>
      </c>
      <c r="F45" s="33">
        <f t="shared" si="25"/>
        <v>1</v>
      </c>
      <c r="G45" s="33">
        <f t="shared" si="25"/>
        <v>0.625</v>
      </c>
      <c r="H45" s="142" t="e">
        <f t="shared" si="25"/>
        <v>#DIV/0!</v>
      </c>
      <c r="I45" s="150" t="e">
        <f t="shared" si="25"/>
        <v>#DIV/0!</v>
      </c>
      <c r="J45" s="33" t="e">
        <f t="shared" si="25"/>
        <v>#DIV/0!</v>
      </c>
      <c r="K45" s="33" t="e">
        <f t="shared" si="25"/>
        <v>#DIV/0!</v>
      </c>
      <c r="L45" s="33" t="e">
        <f t="shared" si="25"/>
        <v>#DIV/0!</v>
      </c>
      <c r="M45" s="33" t="e">
        <f t="shared" si="25"/>
        <v>#DIV/0!</v>
      </c>
      <c r="P45" s="220"/>
    </row>
    <row r="46" spans="1:16" x14ac:dyDescent="0.2">
      <c r="A46" s="263"/>
      <c r="B46" s="37" t="s">
        <v>259</v>
      </c>
      <c r="C46" s="135">
        <v>11</v>
      </c>
      <c r="D46" s="135">
        <v>11</v>
      </c>
      <c r="E46" s="135">
        <v>6</v>
      </c>
      <c r="F46" s="135">
        <v>1</v>
      </c>
      <c r="G46" s="135">
        <v>5</v>
      </c>
      <c r="H46" s="32">
        <v>0</v>
      </c>
      <c r="I46" s="138">
        <v>0</v>
      </c>
      <c r="J46" s="138">
        <v>0</v>
      </c>
      <c r="K46" s="32">
        <v>0</v>
      </c>
      <c r="L46" s="32">
        <v>0</v>
      </c>
      <c r="M46" s="32">
        <v>0</v>
      </c>
      <c r="P46" s="220"/>
    </row>
    <row r="47" spans="1:16" x14ac:dyDescent="0.2">
      <c r="A47" s="263"/>
      <c r="B47" s="38" t="s">
        <v>260</v>
      </c>
      <c r="C47" s="135">
        <v>7</v>
      </c>
      <c r="D47" s="135">
        <v>6</v>
      </c>
      <c r="E47" s="135">
        <v>1</v>
      </c>
      <c r="F47" s="135">
        <v>1</v>
      </c>
      <c r="G47" s="135">
        <v>1</v>
      </c>
      <c r="H47" s="32">
        <v>0</v>
      </c>
      <c r="I47" s="138">
        <v>0</v>
      </c>
      <c r="J47" s="138">
        <v>0</v>
      </c>
      <c r="K47" s="32">
        <v>0</v>
      </c>
      <c r="L47" s="32">
        <v>0</v>
      </c>
      <c r="M47" s="32">
        <v>0</v>
      </c>
      <c r="P47" s="220"/>
    </row>
    <row r="48" spans="1:16" x14ac:dyDescent="0.2">
      <c r="A48" s="263"/>
      <c r="B48" s="38" t="s">
        <v>261</v>
      </c>
      <c r="C48" s="33">
        <f t="shared" ref="C48:M48" si="26">C46/C6</f>
        <v>0.28947368421052633</v>
      </c>
      <c r="D48" s="33">
        <f t="shared" si="26"/>
        <v>0.19642857142857142</v>
      </c>
      <c r="E48" s="33">
        <f t="shared" si="26"/>
        <v>9.6774193548387094E-2</v>
      </c>
      <c r="F48" s="33">
        <f t="shared" si="26"/>
        <v>2.0833333333333332E-2</v>
      </c>
      <c r="G48" s="33">
        <f t="shared" si="26"/>
        <v>9.2592592592592587E-2</v>
      </c>
      <c r="H48" s="142" t="e">
        <f t="shared" si="26"/>
        <v>#DIV/0!</v>
      </c>
      <c r="I48" s="150" t="e">
        <f t="shared" si="26"/>
        <v>#DIV/0!</v>
      </c>
      <c r="J48" s="33" t="e">
        <f t="shared" si="26"/>
        <v>#DIV/0!</v>
      </c>
      <c r="K48" s="33" t="e">
        <f t="shared" si="26"/>
        <v>#DIV/0!</v>
      </c>
      <c r="L48" s="33" t="e">
        <f t="shared" si="26"/>
        <v>#DIV/0!</v>
      </c>
      <c r="M48" s="33" t="e">
        <f t="shared" si="26"/>
        <v>#DIV/0!</v>
      </c>
      <c r="P48" s="220"/>
    </row>
    <row r="49" spans="1:16" ht="17" thickBot="1" x14ac:dyDescent="0.25">
      <c r="A49" s="264"/>
      <c r="B49" s="39" t="s">
        <v>262</v>
      </c>
      <c r="C49" s="33">
        <f t="shared" ref="C49" si="27">C47/C46</f>
        <v>0.63636363636363635</v>
      </c>
      <c r="D49" s="33">
        <f t="shared" ref="D49:M49" si="28">D47/D46</f>
        <v>0.54545454545454541</v>
      </c>
      <c r="E49" s="33">
        <f t="shared" si="28"/>
        <v>0.16666666666666666</v>
      </c>
      <c r="F49" s="33">
        <f t="shared" si="28"/>
        <v>1</v>
      </c>
      <c r="G49" s="33">
        <f t="shared" si="28"/>
        <v>0.2</v>
      </c>
      <c r="H49" s="142" t="e">
        <f t="shared" si="28"/>
        <v>#DIV/0!</v>
      </c>
      <c r="I49" s="150" t="e">
        <f t="shared" si="28"/>
        <v>#DIV/0!</v>
      </c>
      <c r="J49" s="33" t="e">
        <f t="shared" si="28"/>
        <v>#DIV/0!</v>
      </c>
      <c r="K49" s="33" t="e">
        <f t="shared" si="28"/>
        <v>#DIV/0!</v>
      </c>
      <c r="L49" s="33" t="e">
        <f t="shared" si="28"/>
        <v>#DIV/0!</v>
      </c>
      <c r="M49" s="33" t="e">
        <f t="shared" si="28"/>
        <v>#DIV/0!</v>
      </c>
      <c r="P49" s="220"/>
    </row>
    <row r="50" spans="1:16" ht="16" customHeight="1" x14ac:dyDescent="0.2">
      <c r="A50" s="262" t="s">
        <v>114</v>
      </c>
      <c r="B50" s="37" t="s">
        <v>115</v>
      </c>
      <c r="C50" s="135">
        <v>5</v>
      </c>
      <c r="D50" s="135">
        <v>13</v>
      </c>
      <c r="E50" s="135">
        <v>18</v>
      </c>
      <c r="F50" s="135">
        <v>5</v>
      </c>
      <c r="G50" s="135">
        <v>11</v>
      </c>
      <c r="H50" s="32">
        <v>0</v>
      </c>
      <c r="I50" s="138">
        <v>0</v>
      </c>
      <c r="J50" s="138">
        <v>0</v>
      </c>
      <c r="K50" s="32">
        <v>0</v>
      </c>
      <c r="L50" s="32">
        <v>0</v>
      </c>
      <c r="M50" s="32">
        <v>0</v>
      </c>
      <c r="P50" s="220"/>
    </row>
    <row r="51" spans="1:16" x14ac:dyDescent="0.2">
      <c r="A51" s="263"/>
      <c r="B51" s="38" t="s">
        <v>116</v>
      </c>
      <c r="C51" s="135">
        <v>1</v>
      </c>
      <c r="D51" s="135">
        <v>1</v>
      </c>
      <c r="E51" s="135">
        <v>5</v>
      </c>
      <c r="F51" s="135">
        <v>0</v>
      </c>
      <c r="G51" s="135">
        <v>3</v>
      </c>
      <c r="H51" s="32">
        <v>0</v>
      </c>
      <c r="I51" s="138">
        <v>0</v>
      </c>
      <c r="J51" s="138">
        <v>0</v>
      </c>
      <c r="K51" s="32">
        <v>0</v>
      </c>
      <c r="L51" s="32">
        <v>0</v>
      </c>
      <c r="M51" s="32">
        <v>0</v>
      </c>
      <c r="P51" s="220"/>
    </row>
    <row r="52" spans="1:16" x14ac:dyDescent="0.2">
      <c r="A52" s="263"/>
      <c r="B52" s="242" t="s">
        <v>117</v>
      </c>
      <c r="C52" s="33">
        <f t="shared" ref="C52" si="29">C51/C50</f>
        <v>0.2</v>
      </c>
      <c r="D52" s="33">
        <f t="shared" ref="D52:M52" si="30">D51/D50</f>
        <v>7.6923076923076927E-2</v>
      </c>
      <c r="E52" s="33">
        <f t="shared" si="30"/>
        <v>0.27777777777777779</v>
      </c>
      <c r="F52" s="33">
        <f t="shared" si="30"/>
        <v>0</v>
      </c>
      <c r="G52" s="33">
        <f t="shared" si="30"/>
        <v>0.27272727272727271</v>
      </c>
      <c r="H52" s="142" t="e">
        <f t="shared" si="30"/>
        <v>#DIV/0!</v>
      </c>
      <c r="I52" s="150" t="e">
        <f t="shared" si="30"/>
        <v>#DIV/0!</v>
      </c>
      <c r="J52" s="33" t="e">
        <f t="shared" si="30"/>
        <v>#DIV/0!</v>
      </c>
      <c r="K52" s="33" t="e">
        <f t="shared" si="30"/>
        <v>#DIV/0!</v>
      </c>
      <c r="L52" s="33" t="e">
        <f t="shared" si="30"/>
        <v>#DIV/0!</v>
      </c>
      <c r="M52" s="33" t="e">
        <f t="shared" si="30"/>
        <v>#DIV/0!</v>
      </c>
      <c r="P52" s="220"/>
    </row>
    <row r="53" spans="1:16" x14ac:dyDescent="0.2">
      <c r="A53" s="263"/>
      <c r="B53" s="38" t="s">
        <v>124</v>
      </c>
      <c r="C53" s="136">
        <v>7</v>
      </c>
      <c r="D53" s="136">
        <v>11</v>
      </c>
      <c r="E53" s="136">
        <v>11</v>
      </c>
      <c r="F53" s="136">
        <v>9</v>
      </c>
      <c r="G53" s="136">
        <v>5</v>
      </c>
      <c r="H53" s="34">
        <v>0</v>
      </c>
      <c r="I53" s="139">
        <v>0</v>
      </c>
      <c r="J53" s="139">
        <v>0</v>
      </c>
      <c r="K53" s="34">
        <v>0</v>
      </c>
      <c r="L53" s="34">
        <v>0</v>
      </c>
      <c r="M53" s="34">
        <v>0</v>
      </c>
      <c r="P53" s="220"/>
    </row>
    <row r="54" spans="1:16" x14ac:dyDescent="0.2">
      <c r="A54" s="263"/>
      <c r="B54" s="38" t="s">
        <v>125</v>
      </c>
      <c r="C54" s="135">
        <v>4</v>
      </c>
      <c r="D54" s="135">
        <v>7</v>
      </c>
      <c r="E54" s="135">
        <v>3</v>
      </c>
      <c r="F54" s="135">
        <v>1</v>
      </c>
      <c r="G54" s="135">
        <v>2</v>
      </c>
      <c r="H54" s="32">
        <v>0</v>
      </c>
      <c r="I54" s="138">
        <v>0</v>
      </c>
      <c r="J54" s="138">
        <v>0</v>
      </c>
      <c r="K54" s="32">
        <v>0</v>
      </c>
      <c r="L54" s="32">
        <v>0</v>
      </c>
      <c r="M54" s="32">
        <v>0</v>
      </c>
      <c r="P54" s="220"/>
    </row>
    <row r="55" spans="1:16" x14ac:dyDescent="0.2">
      <c r="A55" s="263"/>
      <c r="B55" s="41" t="s">
        <v>126</v>
      </c>
      <c r="C55" s="33">
        <f t="shared" ref="C55" si="31">C54/C53</f>
        <v>0.5714285714285714</v>
      </c>
      <c r="D55" s="33">
        <f t="shared" ref="D55:M55" si="32">D54/D53</f>
        <v>0.63636363636363635</v>
      </c>
      <c r="E55" s="33">
        <f t="shared" si="32"/>
        <v>0.27272727272727271</v>
      </c>
      <c r="F55" s="33">
        <f t="shared" si="32"/>
        <v>0.1111111111111111</v>
      </c>
      <c r="G55" s="33">
        <f t="shared" si="32"/>
        <v>0.4</v>
      </c>
      <c r="H55" s="142" t="e">
        <f t="shared" si="32"/>
        <v>#DIV/0!</v>
      </c>
      <c r="I55" s="150" t="e">
        <f t="shared" si="32"/>
        <v>#DIV/0!</v>
      </c>
      <c r="J55" s="33" t="e">
        <f t="shared" si="32"/>
        <v>#DIV/0!</v>
      </c>
      <c r="K55" s="33" t="e">
        <f t="shared" si="32"/>
        <v>#DIV/0!</v>
      </c>
      <c r="L55" s="33" t="e">
        <f t="shared" si="32"/>
        <v>#DIV/0!</v>
      </c>
      <c r="M55" s="33" t="e">
        <f t="shared" si="32"/>
        <v>#DIV/0!</v>
      </c>
      <c r="P55" s="220"/>
    </row>
    <row r="56" spans="1:16" x14ac:dyDescent="0.2">
      <c r="A56" s="263"/>
      <c r="B56" s="38" t="s">
        <v>121</v>
      </c>
      <c r="C56" s="135">
        <v>0</v>
      </c>
      <c r="D56" s="135">
        <v>3</v>
      </c>
      <c r="E56" s="135">
        <v>0</v>
      </c>
      <c r="F56" s="135">
        <v>5</v>
      </c>
      <c r="G56" s="135">
        <v>5</v>
      </c>
      <c r="H56" s="32">
        <v>0</v>
      </c>
      <c r="I56" s="138">
        <v>0</v>
      </c>
      <c r="J56" s="138">
        <v>0</v>
      </c>
      <c r="K56" s="32">
        <v>0</v>
      </c>
      <c r="L56" s="32">
        <v>0</v>
      </c>
      <c r="M56" s="32">
        <v>0</v>
      </c>
      <c r="P56" s="220"/>
    </row>
    <row r="57" spans="1:16" x14ac:dyDescent="0.2">
      <c r="A57" s="263"/>
      <c r="B57" s="38" t="s">
        <v>122</v>
      </c>
      <c r="C57" s="135">
        <v>0</v>
      </c>
      <c r="D57" s="135">
        <v>1</v>
      </c>
      <c r="E57" s="135">
        <v>0</v>
      </c>
      <c r="F57" s="135">
        <v>2</v>
      </c>
      <c r="G57" s="135">
        <v>1</v>
      </c>
      <c r="H57" s="32">
        <v>0</v>
      </c>
      <c r="I57" s="138">
        <v>0</v>
      </c>
      <c r="J57" s="138">
        <v>0</v>
      </c>
      <c r="K57" s="32">
        <v>0</v>
      </c>
      <c r="L57" s="32">
        <v>0</v>
      </c>
      <c r="M57" s="32">
        <v>0</v>
      </c>
      <c r="P57" s="220"/>
    </row>
    <row r="58" spans="1:16" x14ac:dyDescent="0.2">
      <c r="A58" s="263"/>
      <c r="B58" s="179" t="s">
        <v>123</v>
      </c>
      <c r="C58" s="33" t="e">
        <f t="shared" ref="C58" si="33">C57/C56</f>
        <v>#DIV/0!</v>
      </c>
      <c r="D58" s="33">
        <f t="shared" ref="D58:M58" si="34">D57/D56</f>
        <v>0.33333333333333331</v>
      </c>
      <c r="E58" s="33" t="e">
        <f t="shared" si="34"/>
        <v>#DIV/0!</v>
      </c>
      <c r="F58" s="33">
        <f t="shared" si="34"/>
        <v>0.4</v>
      </c>
      <c r="G58" s="33">
        <f t="shared" si="34"/>
        <v>0.2</v>
      </c>
      <c r="H58" s="142" t="e">
        <f t="shared" si="34"/>
        <v>#DIV/0!</v>
      </c>
      <c r="I58" s="150" t="e">
        <f t="shared" si="34"/>
        <v>#DIV/0!</v>
      </c>
      <c r="J58" s="33" t="e">
        <f t="shared" si="34"/>
        <v>#DIV/0!</v>
      </c>
      <c r="K58" s="33" t="e">
        <f t="shared" si="34"/>
        <v>#DIV/0!</v>
      </c>
      <c r="L58" s="33" t="e">
        <f t="shared" si="34"/>
        <v>#DIV/0!</v>
      </c>
      <c r="M58" s="33" t="e">
        <f t="shared" si="34"/>
        <v>#DIV/0!</v>
      </c>
      <c r="P58" s="220"/>
    </row>
    <row r="59" spans="1:16" x14ac:dyDescent="0.2">
      <c r="A59" s="263"/>
      <c r="B59" s="38" t="s">
        <v>256</v>
      </c>
      <c r="C59" s="135">
        <v>5</v>
      </c>
      <c r="D59" s="135">
        <v>5</v>
      </c>
      <c r="E59" s="135">
        <v>1</v>
      </c>
      <c r="F59" s="135">
        <v>1</v>
      </c>
      <c r="G59" s="135">
        <v>1</v>
      </c>
      <c r="H59" s="32">
        <v>0</v>
      </c>
      <c r="I59" s="138">
        <v>0</v>
      </c>
      <c r="J59" s="138">
        <v>0</v>
      </c>
      <c r="K59" s="32">
        <v>0</v>
      </c>
      <c r="L59" s="32">
        <v>0</v>
      </c>
      <c r="M59" s="32">
        <v>0</v>
      </c>
      <c r="P59" s="220"/>
    </row>
    <row r="60" spans="1:16" x14ac:dyDescent="0.2">
      <c r="A60" s="263"/>
      <c r="B60" s="38" t="s">
        <v>257</v>
      </c>
      <c r="C60" s="135">
        <v>3</v>
      </c>
      <c r="D60" s="135">
        <v>1</v>
      </c>
      <c r="E60" s="135">
        <v>0</v>
      </c>
      <c r="F60" s="135">
        <v>0</v>
      </c>
      <c r="G60" s="135">
        <v>0</v>
      </c>
      <c r="H60" s="32">
        <v>0</v>
      </c>
      <c r="I60" s="138">
        <v>0</v>
      </c>
      <c r="J60" s="138">
        <v>0</v>
      </c>
      <c r="K60" s="32">
        <v>0</v>
      </c>
      <c r="L60" s="32">
        <v>0</v>
      </c>
      <c r="M60" s="32">
        <v>0</v>
      </c>
      <c r="P60" s="220"/>
    </row>
    <row r="61" spans="1:16" ht="17" thickBot="1" x14ac:dyDescent="0.25">
      <c r="A61" s="264"/>
      <c r="B61" s="40" t="s">
        <v>258</v>
      </c>
      <c r="C61" s="33">
        <f t="shared" ref="C61" si="35">C60/C59</f>
        <v>0.6</v>
      </c>
      <c r="D61" s="33">
        <f t="shared" ref="D61:M61" si="36">D60/D59</f>
        <v>0.2</v>
      </c>
      <c r="E61" s="33">
        <f t="shared" si="36"/>
        <v>0</v>
      </c>
      <c r="F61" s="33">
        <f t="shared" si="36"/>
        <v>0</v>
      </c>
      <c r="G61" s="33">
        <f t="shared" si="36"/>
        <v>0</v>
      </c>
      <c r="H61" s="142" t="e">
        <f t="shared" si="36"/>
        <v>#DIV/0!</v>
      </c>
      <c r="I61" s="150" t="e">
        <f t="shared" si="36"/>
        <v>#DIV/0!</v>
      </c>
      <c r="J61" s="33" t="e">
        <f t="shared" si="36"/>
        <v>#DIV/0!</v>
      </c>
      <c r="K61" s="33" t="e">
        <f t="shared" si="36"/>
        <v>#DIV/0!</v>
      </c>
      <c r="L61" s="33" t="e">
        <f t="shared" si="36"/>
        <v>#DIV/0!</v>
      </c>
      <c r="M61" s="33" t="e">
        <f t="shared" si="36"/>
        <v>#DIV/0!</v>
      </c>
      <c r="P61" s="220"/>
    </row>
    <row r="62" spans="1:16" x14ac:dyDescent="0.2">
      <c r="A62" s="262" t="s">
        <v>216</v>
      </c>
      <c r="B62" s="210" t="s">
        <v>204</v>
      </c>
      <c r="C62" s="183">
        <f>AVERAGEIFS($F$94:$F$413,$B$94:$B$413,C$3,$E$94:$E$413,"FB")</f>
        <v>82.861794592545465</v>
      </c>
      <c r="D62" s="183">
        <f t="shared" ref="D62:J62" si="37">AVERAGEIFS($F$94:$F$413,$B$94:$B$413,D$3,$E$94:$E$413,"FB")</f>
        <v>82.995450733333328</v>
      </c>
      <c r="E62" s="183">
        <f t="shared" si="37"/>
        <v>83.533682337931054</v>
      </c>
      <c r="F62" s="183">
        <f t="shared" si="37"/>
        <v>84.09778732777778</v>
      </c>
      <c r="G62" s="183">
        <f t="shared" si="37"/>
        <v>81.002901441588236</v>
      </c>
      <c r="H62" s="183" t="e">
        <f t="shared" si="37"/>
        <v>#DIV/0!</v>
      </c>
      <c r="I62" s="183" t="e">
        <f t="shared" si="37"/>
        <v>#DIV/0!</v>
      </c>
      <c r="J62" s="183" t="e">
        <f t="shared" si="37"/>
        <v>#DIV/0!</v>
      </c>
      <c r="K62" s="194">
        <f>AVERAGEIFS(F94:F412, E94:E412,"FB")</f>
        <v>82.996533760858611</v>
      </c>
      <c r="L62" s="192"/>
      <c r="M62" s="184"/>
      <c r="N62" s="7"/>
      <c r="O62" s="7"/>
    </row>
    <row r="63" spans="1:16" x14ac:dyDescent="0.2">
      <c r="A63" s="263"/>
      <c r="B63" s="211" t="s">
        <v>208</v>
      </c>
      <c r="C63" s="183">
        <f>_xlfn.MINIFS($F$94:$F$413,$B$94:$B$413,C$3,$E$94:$E$413,"FB")</f>
        <v>80.527434681000003</v>
      </c>
      <c r="D63" s="183">
        <f t="shared" ref="D63:J63" si="38">_xlfn.MINIFS($F$94:$F$413,$B$94:$B$413,D$3,$E$94:$E$413,"FB")</f>
        <v>80.924434899999994</v>
      </c>
      <c r="E63" s="183">
        <f t="shared" si="38"/>
        <v>80.781511699999996</v>
      </c>
      <c r="F63" s="183">
        <f t="shared" si="38"/>
        <v>82.194837199999995</v>
      </c>
      <c r="G63" s="183">
        <f t="shared" si="38"/>
        <v>75.271158971999995</v>
      </c>
      <c r="H63" s="183">
        <f t="shared" si="38"/>
        <v>0</v>
      </c>
      <c r="I63" s="183">
        <f t="shared" si="38"/>
        <v>0</v>
      </c>
      <c r="J63" s="183">
        <f t="shared" si="38"/>
        <v>0</v>
      </c>
      <c r="K63" s="195">
        <f>_xlfn.MINIFS(F94:F412, E94:E412,"FB")</f>
        <v>75.271158971999995</v>
      </c>
      <c r="L63" s="192"/>
      <c r="M63" s="184"/>
      <c r="N63" s="7"/>
      <c r="O63" s="7"/>
    </row>
    <row r="64" spans="1:16" x14ac:dyDescent="0.2">
      <c r="A64" s="263"/>
      <c r="B64" s="211" t="s">
        <v>205</v>
      </c>
      <c r="C64" s="183">
        <f>_xlfn.MAXIFS($F$94:$F$413,$B$94:$B$413,C$3,$E$94:$E$413,"FB")</f>
        <v>86.196590839999999</v>
      </c>
      <c r="D64" s="183">
        <f t="shared" ref="D64:J64" si="39">_xlfn.MAXIFS($F$94:$F$413,$B$94:$B$413,D$3,$E$94:$E$413,"FB")</f>
        <v>84.799154299999998</v>
      </c>
      <c r="E64" s="183">
        <f t="shared" si="39"/>
        <v>85.751949699999997</v>
      </c>
      <c r="F64" s="183">
        <f t="shared" si="39"/>
        <v>85.863112000000001</v>
      </c>
      <c r="G64" s="183">
        <f t="shared" si="39"/>
        <v>83.211153684999999</v>
      </c>
      <c r="H64" s="183">
        <f t="shared" si="39"/>
        <v>0</v>
      </c>
      <c r="I64" s="183">
        <f t="shared" si="39"/>
        <v>0</v>
      </c>
      <c r="J64" s="183">
        <f t="shared" si="39"/>
        <v>0</v>
      </c>
      <c r="K64" s="195">
        <f>_xlfn.MAXIFS(F94:F412, E94:E412,"FB")</f>
        <v>86.196590839999999</v>
      </c>
      <c r="L64" s="192"/>
      <c r="M64" s="184"/>
      <c r="N64" s="7"/>
      <c r="O64" s="7"/>
    </row>
    <row r="65" spans="1:15" ht="17" thickBot="1" x14ac:dyDescent="0.25">
      <c r="A65" s="263"/>
      <c r="B65" s="211" t="s">
        <v>211</v>
      </c>
      <c r="C65" s="189">
        <f>AVERAGEIFS($G$94:$G$413,$B$94:$B$413,C$3,$E$94:$E$413,"FB")</f>
        <v>1783.6334099999999</v>
      </c>
      <c r="D65" s="189">
        <f t="shared" ref="D65:J65" si="40">AVERAGEIFS($G$95:$G$413,$B$95:$B$413,D$3,$E$95:$E$413,"FB")</f>
        <v>1882.9975020833333</v>
      </c>
      <c r="E65" s="189">
        <f t="shared" si="40"/>
        <v>1856.69457137931</v>
      </c>
      <c r="F65" s="189">
        <f t="shared" si="40"/>
        <v>2066.2122388888888</v>
      </c>
      <c r="G65" s="189">
        <f t="shared" si="40"/>
        <v>1853.9104617647063</v>
      </c>
      <c r="H65" s="189" t="e">
        <f t="shared" si="40"/>
        <v>#DIV/0!</v>
      </c>
      <c r="I65" s="189" t="e">
        <f t="shared" si="40"/>
        <v>#DIV/0!</v>
      </c>
      <c r="J65" s="191" t="e">
        <f t="shared" si="40"/>
        <v>#DIV/0!</v>
      </c>
      <c r="K65" s="236">
        <f>AVERAGEIFS(G94:G412, E94:E412,"FB")</f>
        <v>1892.569174545454</v>
      </c>
      <c r="L65" s="192"/>
      <c r="M65" s="184"/>
      <c r="N65" s="7"/>
      <c r="O65" s="7"/>
    </row>
    <row r="66" spans="1:15" x14ac:dyDescent="0.2">
      <c r="A66" s="263"/>
      <c r="B66" s="239" t="s">
        <v>236</v>
      </c>
      <c r="C66" s="183">
        <f>AVERAGEIFS($F$94:$F$413,$B$94:$B$413,C$3,$E$94:$E$413,"FB 2")</f>
        <v>79.868417230000006</v>
      </c>
      <c r="D66" s="183" t="e">
        <f t="shared" ref="D66:J66" si="41">AVERAGEIFS($F$94:$F$413,$B$94:$B$413,D$3,$E$94:$E$413,"FB 2")</f>
        <v>#DIV/0!</v>
      </c>
      <c r="E66" s="183">
        <f t="shared" si="41"/>
        <v>76.541561200000004</v>
      </c>
      <c r="F66" s="183">
        <f t="shared" si="41"/>
        <v>77.45068775</v>
      </c>
      <c r="G66" s="183">
        <f t="shared" si="41"/>
        <v>76.110528110285713</v>
      </c>
      <c r="H66" s="183" t="e">
        <f t="shared" si="41"/>
        <v>#DIV/0!</v>
      </c>
      <c r="I66" s="183" t="e">
        <f t="shared" si="41"/>
        <v>#DIV/0!</v>
      </c>
      <c r="J66" s="183" t="e">
        <f t="shared" si="41"/>
        <v>#DIV/0!</v>
      </c>
      <c r="K66" s="194">
        <f>AVERAGEIFS(F94:F412, E94:E412,"FB 2")</f>
        <v>77.061060245142841</v>
      </c>
      <c r="L66" s="192"/>
      <c r="M66" s="184"/>
      <c r="N66" s="7"/>
      <c r="O66" s="7"/>
    </row>
    <row r="67" spans="1:15" x14ac:dyDescent="0.2">
      <c r="A67" s="263"/>
      <c r="B67" s="239" t="s">
        <v>237</v>
      </c>
      <c r="C67" s="183">
        <f>_xlfn.MINIFS($F$94:$F$413,$B$94:$B$413,C$3,$E$94:$E$413,"FB 2")</f>
        <v>78.701237264</v>
      </c>
      <c r="D67" s="183">
        <f t="shared" ref="D67:J67" si="42">_xlfn.MINIFS($F$94:$F$413,$B$94:$B$413,D$3,$E$94:$E$413,"FB 2")</f>
        <v>0</v>
      </c>
      <c r="E67" s="183">
        <f t="shared" si="42"/>
        <v>76.541561200000004</v>
      </c>
      <c r="F67" s="183">
        <f t="shared" si="42"/>
        <v>76.160441500000005</v>
      </c>
      <c r="G67" s="183">
        <f t="shared" si="42"/>
        <v>74.365996241000005</v>
      </c>
      <c r="H67" s="183">
        <f t="shared" si="42"/>
        <v>0</v>
      </c>
      <c r="I67" s="183">
        <f t="shared" si="42"/>
        <v>0</v>
      </c>
      <c r="J67" s="183">
        <f t="shared" si="42"/>
        <v>0</v>
      </c>
      <c r="K67" s="195">
        <f>_xlfn.MINIFS(F94:F412, E94:E412,"FB 2")</f>
        <v>74.365996241000005</v>
      </c>
      <c r="L67" s="192"/>
      <c r="M67" s="184"/>
      <c r="N67" s="7"/>
      <c r="O67" s="7"/>
    </row>
    <row r="68" spans="1:15" x14ac:dyDescent="0.2">
      <c r="A68" s="263"/>
      <c r="B68" s="239" t="s">
        <v>238</v>
      </c>
      <c r="C68" s="183">
        <f>_xlfn.MAXIFS($F$94:$F$413,$B$94:$B$413,C$3,$E$94:$E$413,"FB 2")</f>
        <v>81.035597195999998</v>
      </c>
      <c r="D68" s="183">
        <f t="shared" ref="D68:J68" si="43">_xlfn.MAXIFS($F$94:$F$413,$B$94:$B$413,D$3,$E$94:$E$413,"FB 2")</f>
        <v>0</v>
      </c>
      <c r="E68" s="183">
        <f t="shared" si="43"/>
        <v>76.541561200000004</v>
      </c>
      <c r="F68" s="183">
        <f t="shared" si="43"/>
        <v>78.367758600000002</v>
      </c>
      <c r="G68" s="183">
        <f t="shared" si="43"/>
        <v>78.129553372999993</v>
      </c>
      <c r="H68" s="183">
        <f t="shared" si="43"/>
        <v>0</v>
      </c>
      <c r="I68" s="183">
        <f t="shared" si="43"/>
        <v>0</v>
      </c>
      <c r="J68" s="183">
        <f t="shared" si="43"/>
        <v>0</v>
      </c>
      <c r="K68" s="195">
        <f>_xlfn.MAXIFS(F94:F412, E94:E412,"FB 2")</f>
        <v>81.035597195999998</v>
      </c>
      <c r="L68" s="192"/>
      <c r="M68" s="184"/>
      <c r="N68" s="7"/>
      <c r="O68" s="7"/>
    </row>
    <row r="69" spans="1:15" ht="17" thickBot="1" x14ac:dyDescent="0.25">
      <c r="A69" s="263"/>
      <c r="B69" s="239" t="s">
        <v>239</v>
      </c>
      <c r="C69" s="189">
        <f>AVERAGEIFS($G$94:$G$413,$B$94:$B$413,C$3,$E$94:$E$413,"FB 2")</f>
        <v>2064.36951</v>
      </c>
      <c r="D69" s="189" t="e">
        <f t="shared" ref="D69:J69" si="44">AVERAGEIFS($G$94:$G$413,$B$94:$B$413,D$3,$E$94:$E$413,"FB 2")</f>
        <v>#DIV/0!</v>
      </c>
      <c r="E69" s="189">
        <f t="shared" si="44"/>
        <v>1895.53979</v>
      </c>
      <c r="F69" s="189">
        <f t="shared" si="44"/>
        <v>1738.8697824999999</v>
      </c>
      <c r="G69" s="189">
        <f t="shared" si="44"/>
        <v>1792.0417308571427</v>
      </c>
      <c r="H69" s="189" t="e">
        <f t="shared" si="44"/>
        <v>#DIV/0!</v>
      </c>
      <c r="I69" s="189" t="e">
        <f t="shared" si="44"/>
        <v>#DIV/0!</v>
      </c>
      <c r="J69" s="189" t="e">
        <f t="shared" si="44"/>
        <v>#DIV/0!</v>
      </c>
      <c r="K69" s="236">
        <f>AVERAGEIFS(G94:G412, E94:E412,"FB 2")</f>
        <v>1823.1464325714285</v>
      </c>
      <c r="L69" s="192"/>
      <c r="M69" s="184"/>
      <c r="N69" s="7"/>
      <c r="O69" s="7"/>
    </row>
    <row r="70" spans="1:15" x14ac:dyDescent="0.2">
      <c r="A70" s="263"/>
      <c r="B70" s="212" t="s">
        <v>206</v>
      </c>
      <c r="C70" s="183">
        <f>AVERAGEIFS($F$94:$F$413,$B$94:$B$413,C$3,$E$94:$E$413,"SL")</f>
        <v>72.32428553885714</v>
      </c>
      <c r="D70" s="183">
        <f t="shared" ref="D70:J70" si="45">AVERAGEIFS($F$95:$F$413,$B$95:$B$413,D$3,$E$95:$E$413,"SL")</f>
        <v>74.017520827777787</v>
      </c>
      <c r="E70" s="183">
        <f t="shared" si="45"/>
        <v>72.477501907692329</v>
      </c>
      <c r="F70" s="183">
        <f t="shared" si="45"/>
        <v>71.56079853</v>
      </c>
      <c r="G70" s="183">
        <f t="shared" si="45"/>
        <v>71.403914171764697</v>
      </c>
      <c r="H70" s="183" t="e">
        <f t="shared" si="45"/>
        <v>#DIV/0!</v>
      </c>
      <c r="I70" s="183" t="e">
        <f t="shared" si="45"/>
        <v>#DIV/0!</v>
      </c>
      <c r="J70" s="190" t="e">
        <f t="shared" si="45"/>
        <v>#DIV/0!</v>
      </c>
      <c r="K70" s="194">
        <f>AVERAGEIFS(F98:F416, E98:E416,"SL")</f>
        <v>72.371877595978745</v>
      </c>
      <c r="L70" s="192"/>
      <c r="M70" s="184"/>
      <c r="N70" s="7"/>
      <c r="O70" s="7"/>
    </row>
    <row r="71" spans="1:15" x14ac:dyDescent="0.2">
      <c r="A71" s="263"/>
      <c r="B71" s="212" t="s">
        <v>209</v>
      </c>
      <c r="C71" s="183">
        <f>_xlfn.MINIFS($F$94:$F$413,$B$94:$B$413,C$3,$E$94:$E$413,"SL")</f>
        <v>69.999003029999997</v>
      </c>
      <c r="D71" s="183">
        <f t="shared" ref="D71:J71" si="46">_xlfn.MINIFS($F$95:$F$413,$B$95:$B$413,D$3,$E$95:$E$413,"SL")</f>
        <v>72.349243200000004</v>
      </c>
      <c r="E71" s="183">
        <f t="shared" si="46"/>
        <v>68.919160700000006</v>
      </c>
      <c r="F71" s="183">
        <f t="shared" si="46"/>
        <v>69.046203399999996</v>
      </c>
      <c r="G71" s="183">
        <f t="shared" si="46"/>
        <v>65.552603735999995</v>
      </c>
      <c r="H71" s="183">
        <f t="shared" si="46"/>
        <v>0</v>
      </c>
      <c r="I71" s="183">
        <f t="shared" si="46"/>
        <v>0</v>
      </c>
      <c r="J71" s="190">
        <f t="shared" si="46"/>
        <v>0</v>
      </c>
      <c r="K71" s="195">
        <f>_xlfn.MINIFS(F98:F416, E98:E416,"SL")</f>
        <v>65.552603735999995</v>
      </c>
      <c r="L71" s="192"/>
      <c r="M71" s="184"/>
      <c r="N71" s="7"/>
      <c r="O71" s="7"/>
    </row>
    <row r="72" spans="1:15" x14ac:dyDescent="0.2">
      <c r="A72" s="263"/>
      <c r="B72" s="212" t="s">
        <v>207</v>
      </c>
      <c r="C72" s="183">
        <f>_xlfn.MAXIFS($F$94:$F$413,$B$94:$B$413,C$3,$E$94:$E$413,"SL")</f>
        <v>74.874158979000001</v>
      </c>
      <c r="D72" s="183">
        <f t="shared" ref="D72:J72" si="47">_xlfn.MAXIFS($F$95:$F$413,$B$95:$B$413,D$3,$E$95:$E$413,"SL")</f>
        <v>75.398201700000001</v>
      </c>
      <c r="E72" s="183">
        <f t="shared" si="47"/>
        <v>75.779321699999997</v>
      </c>
      <c r="F72" s="183">
        <f t="shared" si="47"/>
        <v>74.842398099999997</v>
      </c>
      <c r="G72" s="183">
        <f t="shared" si="47"/>
        <v>75.144116217999994</v>
      </c>
      <c r="H72" s="183">
        <f t="shared" si="47"/>
        <v>0</v>
      </c>
      <c r="I72" s="183">
        <f t="shared" si="47"/>
        <v>0</v>
      </c>
      <c r="J72" s="190">
        <f t="shared" si="47"/>
        <v>0</v>
      </c>
      <c r="K72" s="195">
        <f>_xlfn.MAXIFS(F98:F416, E98:E416,"SL")</f>
        <v>75.779321699999997</v>
      </c>
      <c r="L72" s="192"/>
      <c r="M72" s="184"/>
      <c r="N72" s="7"/>
      <c r="O72" s="7"/>
    </row>
    <row r="73" spans="1:15" ht="17" thickBot="1" x14ac:dyDescent="0.25">
      <c r="A73" s="263"/>
      <c r="B73" s="212" t="s">
        <v>212</v>
      </c>
      <c r="C73" s="189">
        <f>AVERAGEIFS($G$94:$G$413,$B$94:$B$413,C$3,$E$94:$E$413,"SL")</f>
        <v>1793.3248221428571</v>
      </c>
      <c r="D73" s="189">
        <f t="shared" ref="D73:J73" si="48">AVERAGEIFS($G$95:$G$413,$B$95:$B$413,D$3,$E$95:$E$413,"SL")</f>
        <v>1584.9344658888892</v>
      </c>
      <c r="E73" s="189">
        <f t="shared" si="48"/>
        <v>1824.0638748846156</v>
      </c>
      <c r="F73" s="189">
        <f t="shared" si="48"/>
        <v>1901.4282046000001</v>
      </c>
      <c r="G73" s="189">
        <f t="shared" si="48"/>
        <v>1857.4830861764704</v>
      </c>
      <c r="H73" s="189" t="e">
        <f t="shared" si="48"/>
        <v>#DIV/0!</v>
      </c>
      <c r="I73" s="189" t="e">
        <f t="shared" si="48"/>
        <v>#DIV/0!</v>
      </c>
      <c r="J73" s="191" t="e">
        <f t="shared" si="48"/>
        <v>#DIV/0!</v>
      </c>
      <c r="K73" s="236">
        <f>AVERAGEIFS(G98:G416, E98:E416,"SL")</f>
        <v>1792.5481219148933</v>
      </c>
      <c r="L73" s="192"/>
      <c r="M73" s="184"/>
      <c r="N73" s="7"/>
      <c r="O73" s="7"/>
    </row>
    <row r="74" spans="1:15" x14ac:dyDescent="0.2">
      <c r="A74" s="263"/>
      <c r="B74" s="241" t="s">
        <v>240</v>
      </c>
      <c r="C74" s="183" t="e">
        <f>AVERAGEIFS($F$94:$F$413,$B$94:$B$413,C$3,$E$94:$E$413,"SL 2")</f>
        <v>#DIV/0!</v>
      </c>
      <c r="D74" s="183" t="e">
        <f t="shared" ref="D74:J74" si="49">AVERAGEIFS($F$95:$F$413,$B$95:$B$413,D$3,$E$95:$E$413,"SL 2")</f>
        <v>#DIV/0!</v>
      </c>
      <c r="E74" s="183" t="e">
        <f t="shared" si="49"/>
        <v>#DIV/0!</v>
      </c>
      <c r="F74" s="183" t="e">
        <f t="shared" si="49"/>
        <v>#DIV/0!</v>
      </c>
      <c r="G74" s="183" t="e">
        <f t="shared" si="49"/>
        <v>#DIV/0!</v>
      </c>
      <c r="H74" s="183" t="e">
        <f t="shared" si="49"/>
        <v>#DIV/0!</v>
      </c>
      <c r="I74" s="183" t="e">
        <f t="shared" si="49"/>
        <v>#DIV/0!</v>
      </c>
      <c r="J74" s="183" t="e">
        <f t="shared" si="49"/>
        <v>#DIV/0!</v>
      </c>
      <c r="K74" s="194" t="e">
        <f>AVERAGEIFS(F94:F412, E94:E412,"CB")</f>
        <v>#DIV/0!</v>
      </c>
      <c r="L74" s="192"/>
      <c r="M74" s="184"/>
      <c r="N74" s="7"/>
      <c r="O74" s="7"/>
    </row>
    <row r="75" spans="1:15" x14ac:dyDescent="0.2">
      <c r="A75" s="263"/>
      <c r="B75" s="241" t="s">
        <v>241</v>
      </c>
      <c r="C75" s="183">
        <f>_xlfn.MINIFS($F$94:$F$413,$B$94:$B$413,C$3,$E$94:$E$413,"SL 2")</f>
        <v>0</v>
      </c>
      <c r="D75" s="183">
        <f t="shared" ref="D75:J75" si="50">_xlfn.MINIFS($F$95:$F$413,$B$95:$B$413,D$3,$E$95:$E$413,"SL 2")</f>
        <v>0</v>
      </c>
      <c r="E75" s="183">
        <f t="shared" si="50"/>
        <v>0</v>
      </c>
      <c r="F75" s="183">
        <f t="shared" si="50"/>
        <v>0</v>
      </c>
      <c r="G75" s="183">
        <f t="shared" si="50"/>
        <v>0</v>
      </c>
      <c r="H75" s="183">
        <f t="shared" si="50"/>
        <v>0</v>
      </c>
      <c r="I75" s="183">
        <f t="shared" si="50"/>
        <v>0</v>
      </c>
      <c r="J75" s="183">
        <f t="shared" si="50"/>
        <v>0</v>
      </c>
      <c r="K75" s="195">
        <f>_xlfn.MINIFS(F94:F412, E94:E412,"CB")</f>
        <v>0</v>
      </c>
      <c r="L75" s="192"/>
      <c r="M75" s="184"/>
      <c r="N75" s="7"/>
      <c r="O75" s="7"/>
    </row>
    <row r="76" spans="1:15" x14ac:dyDescent="0.2">
      <c r="A76" s="263"/>
      <c r="B76" s="241" t="s">
        <v>242</v>
      </c>
      <c r="C76" s="183">
        <f>_xlfn.MAXIFS($F$94:$F$413,$B$94:$B$413,C$3,$E$94:$E$413,"SL 2")</f>
        <v>0</v>
      </c>
      <c r="D76" s="183">
        <f t="shared" ref="D76:J76" si="51">_xlfn.MAXIFS($F$95:$F$413,$B$95:$B$413,D$3,$E$95:$E$413,"SL 2")</f>
        <v>0</v>
      </c>
      <c r="E76" s="183">
        <f t="shared" si="51"/>
        <v>0</v>
      </c>
      <c r="F76" s="183">
        <f t="shared" si="51"/>
        <v>0</v>
      </c>
      <c r="G76" s="183">
        <f t="shared" si="51"/>
        <v>0</v>
      </c>
      <c r="H76" s="183">
        <f t="shared" si="51"/>
        <v>0</v>
      </c>
      <c r="I76" s="183">
        <f t="shared" si="51"/>
        <v>0</v>
      </c>
      <c r="J76" s="183">
        <f t="shared" si="51"/>
        <v>0</v>
      </c>
      <c r="K76" s="195">
        <f>_xlfn.MAXIFS(F94:F412, E94:E412,"CB")</f>
        <v>0</v>
      </c>
      <c r="L76" s="192"/>
      <c r="M76" s="184"/>
      <c r="N76" s="7"/>
      <c r="O76" s="7"/>
    </row>
    <row r="77" spans="1:15" ht="17" thickBot="1" x14ac:dyDescent="0.25">
      <c r="A77" s="263"/>
      <c r="B77" s="241" t="s">
        <v>243</v>
      </c>
      <c r="C77" s="183" t="e">
        <f>AVERAGEIFS($G$94:$G$413,$B$94:$B$413,C$3,$E$94:$E$413,"SL 2")</f>
        <v>#DIV/0!</v>
      </c>
      <c r="D77" s="183" t="e">
        <f t="shared" ref="D77:J77" si="52">AVERAGEIFS($G$94:$G$413,$B$94:$B$413,D$3,$E$94:$E$413,"SL 2")</f>
        <v>#DIV/0!</v>
      </c>
      <c r="E77" s="183" t="e">
        <f t="shared" si="52"/>
        <v>#DIV/0!</v>
      </c>
      <c r="F77" s="183" t="e">
        <f t="shared" si="52"/>
        <v>#DIV/0!</v>
      </c>
      <c r="G77" s="183" t="e">
        <f t="shared" si="52"/>
        <v>#DIV/0!</v>
      </c>
      <c r="H77" s="183" t="e">
        <f t="shared" si="52"/>
        <v>#DIV/0!</v>
      </c>
      <c r="I77" s="183" t="e">
        <f t="shared" si="52"/>
        <v>#DIV/0!</v>
      </c>
      <c r="J77" s="183" t="e">
        <f t="shared" si="52"/>
        <v>#DIV/0!</v>
      </c>
      <c r="K77" s="236" t="e">
        <f>AVERAGEIFS(G94:G412, E94:E412,"CB")</f>
        <v>#DIV/0!</v>
      </c>
      <c r="L77" s="192"/>
      <c r="M77" s="184"/>
      <c r="N77" s="7"/>
      <c r="O77" s="7"/>
    </row>
    <row r="78" spans="1:15" x14ac:dyDescent="0.2">
      <c r="A78" s="263"/>
      <c r="B78" s="240" t="s">
        <v>232</v>
      </c>
      <c r="C78" s="183">
        <f>AVERAGEIFS($F$94:$F$413,$B$94:$B$413,C$3,$E$94:$E$413,"SP")</f>
        <v>70.238645475181812</v>
      </c>
      <c r="D78" s="183">
        <f t="shared" ref="D78:J78" si="53">AVERAGEIFS($F$94:$F$413,$B$94:$B$413,D$3,$E$94:$E$413,"SP")</f>
        <v>73.000319945454535</v>
      </c>
      <c r="E78" s="183">
        <f t="shared" si="53"/>
        <v>71.528772866666671</v>
      </c>
      <c r="F78" s="183">
        <f t="shared" si="53"/>
        <v>69.363802000000007</v>
      </c>
      <c r="G78" s="183">
        <f t="shared" si="53"/>
        <v>71.583824181200001</v>
      </c>
      <c r="H78" s="183" t="e">
        <f t="shared" si="53"/>
        <v>#DIV/0!</v>
      </c>
      <c r="I78" s="183" t="e">
        <f t="shared" si="53"/>
        <v>#DIV/0!</v>
      </c>
      <c r="J78" s="183" t="e">
        <f t="shared" si="53"/>
        <v>#DIV/0!</v>
      </c>
      <c r="K78" s="194">
        <f>AVERAGEIFS(F106:F424, E106:E424,"SP")</f>
        <v>71.846539121937496</v>
      </c>
      <c r="L78" s="192"/>
      <c r="M78" s="184"/>
      <c r="N78" s="7"/>
      <c r="O78" s="7"/>
    </row>
    <row r="79" spans="1:15" x14ac:dyDescent="0.2">
      <c r="A79" s="263"/>
      <c r="B79" s="240" t="s">
        <v>233</v>
      </c>
      <c r="C79" s="183">
        <f>_xlfn.MINIFS($F$94:$F$413,$B$94:$B$413,C$3,$E$94:$E$413,"SP")</f>
        <v>60.518648818000003</v>
      </c>
      <c r="D79" s="183">
        <f t="shared" ref="D79:J79" si="54">_xlfn.MINIFS($F$94:$F$413,$B$94:$B$413,D$3,$E$94:$E$413,"SP")</f>
        <v>70.316601399999996</v>
      </c>
      <c r="E79" s="183">
        <f t="shared" si="54"/>
        <v>68.855643499999999</v>
      </c>
      <c r="F79" s="183">
        <f t="shared" si="54"/>
        <v>69.363802000000007</v>
      </c>
      <c r="G79" s="183">
        <f t="shared" si="54"/>
        <v>68.141040673999996</v>
      </c>
      <c r="H79" s="183">
        <f t="shared" si="54"/>
        <v>0</v>
      </c>
      <c r="I79" s="183">
        <f t="shared" si="54"/>
        <v>0</v>
      </c>
      <c r="J79" s="183">
        <f t="shared" si="54"/>
        <v>0</v>
      </c>
      <c r="K79" s="195">
        <f>_xlfn.MINIFS(F106:F424, E106:E424,"SP")</f>
        <v>67.775801369999996</v>
      </c>
      <c r="L79" s="192"/>
      <c r="M79" s="184"/>
      <c r="N79" s="7"/>
      <c r="O79" s="7"/>
    </row>
    <row r="80" spans="1:15" x14ac:dyDescent="0.2">
      <c r="A80" s="263"/>
      <c r="B80" s="240" t="s">
        <v>234</v>
      </c>
      <c r="C80" s="183">
        <f>_xlfn.MAXIFS($F$94:$F$413,$B$94:$B$413,C$3,$E$94:$E$413,"SP")</f>
        <v>73.111482937999995</v>
      </c>
      <c r="D80" s="183">
        <f t="shared" ref="D80:J80" si="55">_xlfn.MAXIFS($F$94:$F$413,$B$94:$B$413,D$3,$E$94:$E$413,"SP")</f>
        <v>75.334680300000002</v>
      </c>
      <c r="E80" s="183">
        <f t="shared" si="55"/>
        <v>74.318355299999993</v>
      </c>
      <c r="F80" s="183">
        <f t="shared" si="55"/>
        <v>69.363802000000007</v>
      </c>
      <c r="G80" s="183">
        <f t="shared" si="55"/>
        <v>73.365559945000001</v>
      </c>
      <c r="H80" s="183">
        <f t="shared" si="55"/>
        <v>0</v>
      </c>
      <c r="I80" s="183">
        <f t="shared" si="55"/>
        <v>0</v>
      </c>
      <c r="J80" s="183">
        <f t="shared" si="55"/>
        <v>0</v>
      </c>
      <c r="K80" s="195">
        <f>_xlfn.MAXIFS(F106:F424, E106:E424,"SP")</f>
        <v>75.334680300000002</v>
      </c>
      <c r="L80" s="192"/>
      <c r="M80" s="184"/>
      <c r="N80" s="7"/>
      <c r="O80" s="7"/>
    </row>
    <row r="81" spans="1:32" ht="17" thickBot="1" x14ac:dyDescent="0.25">
      <c r="A81" s="263"/>
      <c r="B81" s="240" t="s">
        <v>235</v>
      </c>
      <c r="C81" s="189">
        <f>AVERAGEIFS($G$94:$G$413,$B$94:$B$413,C$3,$E$94:$E$413,"SP")</f>
        <v>487.60673527272735</v>
      </c>
      <c r="D81" s="189">
        <f t="shared" ref="D81:J81" si="56">AVERAGEIFS($G$94:$G$413,$B$94:$B$413,D$3,$E$94:$E$413,"SP")</f>
        <v>468.52742563636372</v>
      </c>
      <c r="E81" s="189">
        <f t="shared" si="56"/>
        <v>777.06432616666677</v>
      </c>
      <c r="F81" s="189">
        <f t="shared" si="56"/>
        <v>375.02029399999998</v>
      </c>
      <c r="G81" s="189">
        <f t="shared" si="56"/>
        <v>605.63541220000002</v>
      </c>
      <c r="H81" s="189" t="e">
        <f t="shared" si="56"/>
        <v>#DIV/0!</v>
      </c>
      <c r="I81" s="189" t="e">
        <f t="shared" si="56"/>
        <v>#DIV/0!</v>
      </c>
      <c r="J81" s="189" t="e">
        <f t="shared" si="56"/>
        <v>#DIV/0!</v>
      </c>
      <c r="K81" s="236">
        <f>AVERAGEIFS(G106:G424, E106:E424,"SP")</f>
        <v>552.61595246875004</v>
      </c>
      <c r="L81" s="192"/>
      <c r="M81" s="184"/>
      <c r="N81" s="7"/>
      <c r="O81" s="7"/>
    </row>
    <row r="82" spans="1:32" ht="16" customHeight="1" x14ac:dyDescent="0.2">
      <c r="A82" s="263"/>
      <c r="B82" s="214" t="s">
        <v>215</v>
      </c>
      <c r="C82" s="183" t="e">
        <f>AVERAGEIFS($F$94:$F$413,$B$94:$B$413,C$3,$E$94:$E$413,"CH")</f>
        <v>#DIV/0!</v>
      </c>
      <c r="D82" s="183">
        <f t="shared" ref="D82:J82" si="57">AVERAGEIFS($F$94:$F$413,$B$94:$B$413,D$3,$E$94:$E$413,"CH")</f>
        <v>73.873721100000012</v>
      </c>
      <c r="E82" s="183" t="e">
        <f t="shared" si="57"/>
        <v>#DIV/0!</v>
      </c>
      <c r="F82" s="183">
        <f t="shared" si="57"/>
        <v>73.187701779999998</v>
      </c>
      <c r="G82" s="183">
        <f t="shared" si="57"/>
        <v>73.581925147250004</v>
      </c>
      <c r="H82" s="183" t="e">
        <f t="shared" si="57"/>
        <v>#DIV/0!</v>
      </c>
      <c r="I82" s="183" t="e">
        <f t="shared" si="57"/>
        <v>#DIV/0!</v>
      </c>
      <c r="J82" s="183" t="e">
        <f t="shared" si="57"/>
        <v>#DIV/0!</v>
      </c>
      <c r="K82" s="194">
        <f>AVERAGEIFS(F94:F412, E94:E412,"CH")</f>
        <v>73.513442086124996</v>
      </c>
      <c r="L82" s="192"/>
      <c r="M82" s="184"/>
      <c r="N82" s="7"/>
      <c r="O82" s="265"/>
    </row>
    <row r="83" spans="1:32" ht="17" customHeight="1" thickBot="1" x14ac:dyDescent="0.25">
      <c r="A83" s="263"/>
      <c r="B83" s="214" t="s">
        <v>210</v>
      </c>
      <c r="C83" s="183">
        <f>_xlfn.MINIFS($F$94:$F$413,$B$94:$B$413,C$3,$E$94:$E$413,"CH")</f>
        <v>0</v>
      </c>
      <c r="D83" s="183">
        <f t="shared" ref="D83:J83" si="58">_xlfn.MINIFS($F$94:$F$413,$B$94:$B$413,D$3,$E$94:$E$413,"CH")</f>
        <v>71.332922400000001</v>
      </c>
      <c r="E83" s="183">
        <f t="shared" si="58"/>
        <v>0</v>
      </c>
      <c r="F83" s="183">
        <f t="shared" si="58"/>
        <v>72.539799000000002</v>
      </c>
      <c r="G83" s="183">
        <f t="shared" si="58"/>
        <v>72.349243193999996</v>
      </c>
      <c r="H83" s="183">
        <f t="shared" si="58"/>
        <v>0</v>
      </c>
      <c r="I83" s="183">
        <f t="shared" si="58"/>
        <v>0</v>
      </c>
      <c r="J83" s="183">
        <f t="shared" si="58"/>
        <v>0</v>
      </c>
      <c r="K83" s="195">
        <f>_xlfn.MINIFS(F94:F412, E94:E412,"CH")</f>
        <v>71.332922400000001</v>
      </c>
      <c r="L83" s="192"/>
      <c r="M83" s="184"/>
      <c r="N83" s="7"/>
      <c r="O83" s="266"/>
    </row>
    <row r="84" spans="1:32" x14ac:dyDescent="0.2">
      <c r="A84" s="263"/>
      <c r="B84" s="214" t="s">
        <v>214</v>
      </c>
      <c r="C84" s="183">
        <f>_xlfn.MAXIFS($F$94:$F$413,$B$94:$B$413,C$3,$E$94:$E$413,"CH")</f>
        <v>0</v>
      </c>
      <c r="D84" s="183">
        <f t="shared" ref="D84:J84" si="59">_xlfn.MAXIFS($F$94:$F$413,$B$94:$B$413,D$3,$E$94:$E$413,"CH")</f>
        <v>75.398201700000001</v>
      </c>
      <c r="E84" s="183">
        <f t="shared" si="59"/>
        <v>0</v>
      </c>
      <c r="F84" s="183">
        <f t="shared" si="59"/>
        <v>73.937235299999998</v>
      </c>
      <c r="G84" s="183">
        <f t="shared" si="59"/>
        <v>75.398201725000007</v>
      </c>
      <c r="H84" s="183">
        <f t="shared" si="59"/>
        <v>0</v>
      </c>
      <c r="I84" s="183">
        <f t="shared" si="59"/>
        <v>0</v>
      </c>
      <c r="J84" s="183">
        <f t="shared" si="59"/>
        <v>0</v>
      </c>
      <c r="K84" s="195">
        <f>_xlfn.MAXIFS(F94:F412, E94:E412,"CH")</f>
        <v>75.398201725000007</v>
      </c>
      <c r="L84" s="192"/>
      <c r="M84" s="184"/>
      <c r="N84" s="7"/>
      <c r="O84" s="7"/>
    </row>
    <row r="85" spans="1:32" ht="17" thickBot="1" x14ac:dyDescent="0.25">
      <c r="A85" s="264"/>
      <c r="B85" s="215" t="s">
        <v>213</v>
      </c>
      <c r="C85" s="189" t="e">
        <f>AVERAGEIFS($G$94:$G$413,$B$94:$B$413,C$3,$E$94:$E$413,"CH")</f>
        <v>#DIV/0!</v>
      </c>
      <c r="D85" s="189">
        <f t="shared" ref="D85:J85" si="60">AVERAGEIFS($G$94:$G$413,$B$94:$B$413,D$3,$E$94:$E$413,"CH")</f>
        <v>2067.6366899999998</v>
      </c>
      <c r="E85" s="189" t="e">
        <f t="shared" si="60"/>
        <v>#DIV/0!</v>
      </c>
      <c r="F85" s="189">
        <f t="shared" si="60"/>
        <v>1602.6578251999999</v>
      </c>
      <c r="G85" s="189">
        <f t="shared" si="60"/>
        <v>1512.26863125</v>
      </c>
      <c r="H85" s="189" t="e">
        <f t="shared" si="60"/>
        <v>#DIV/0!</v>
      </c>
      <c r="I85" s="189" t="e">
        <f t="shared" si="60"/>
        <v>#DIV/0!</v>
      </c>
      <c r="J85" s="189" t="e">
        <f t="shared" si="60"/>
        <v>#DIV/0!</v>
      </c>
      <c r="K85" s="237">
        <f>AVERAGEIFS(G94:G412, E94:E412,"CH")</f>
        <v>1644.6467653750001</v>
      </c>
      <c r="L85" s="193"/>
      <c r="M85" s="185"/>
      <c r="N85" s="7"/>
      <c r="O85" s="7"/>
    </row>
    <row r="86" spans="1:32" x14ac:dyDescent="0.2">
      <c r="A86" s="267" t="s">
        <v>221</v>
      </c>
      <c r="B86" s="12" t="s">
        <v>217</v>
      </c>
      <c r="C86" s="11">
        <f t="shared" ref="C86:J86" si="61">AVERAGEIFS($K$95:$K$413,$B$95:$B$413,C$3)</f>
        <v>81.781474456428569</v>
      </c>
      <c r="D86" s="11">
        <f t="shared" si="61"/>
        <v>73.88328460000001</v>
      </c>
      <c r="E86" s="11">
        <f t="shared" si="61"/>
        <v>75.181451069230775</v>
      </c>
      <c r="F86" s="11">
        <f t="shared" si="61"/>
        <v>78.147731055555539</v>
      </c>
      <c r="G86" s="11">
        <f t="shared" si="61"/>
        <v>79.344089590999999</v>
      </c>
      <c r="H86" s="11" t="e">
        <f t="shared" si="61"/>
        <v>#DIV/0!</v>
      </c>
      <c r="I86" s="11" t="e">
        <f t="shared" si="61"/>
        <v>#DIV/0!</v>
      </c>
      <c r="J86" s="11" t="e">
        <f t="shared" si="61"/>
        <v>#DIV/0!</v>
      </c>
      <c r="K86" s="198">
        <f>AVERAGE(K94:K412)</f>
        <v>77.205419903528295</v>
      </c>
      <c r="L86" s="10"/>
      <c r="M86" s="10"/>
      <c r="N86" s="7"/>
      <c r="O86" s="7"/>
    </row>
    <row r="87" spans="1:32" x14ac:dyDescent="0.2">
      <c r="A87" s="268"/>
      <c r="B87" s="12" t="s">
        <v>218</v>
      </c>
      <c r="C87" s="11">
        <f t="shared" ref="C87:J87" si="62">AVERAGEIFS($L$95:$L$413,$B$95:$B$413,C$3)</f>
        <v>7.223380644285716</v>
      </c>
      <c r="D87" s="11">
        <f t="shared" si="62"/>
        <v>10.451684941666668</v>
      </c>
      <c r="E87" s="11">
        <f t="shared" si="62"/>
        <v>7.9377459318749999</v>
      </c>
      <c r="F87" s="11">
        <f t="shared" si="62"/>
        <v>12.053290294444444</v>
      </c>
      <c r="G87" s="11">
        <f t="shared" si="62"/>
        <v>9.475408146923078</v>
      </c>
      <c r="H87" s="11" t="e">
        <f t="shared" si="62"/>
        <v>#DIV/0!</v>
      </c>
      <c r="I87" s="11" t="e">
        <f t="shared" si="62"/>
        <v>#DIV/0!</v>
      </c>
      <c r="J87" s="11" t="e">
        <f t="shared" si="62"/>
        <v>#DIV/0!</v>
      </c>
      <c r="K87" s="198">
        <f>AVERAGE(L94:L412)</f>
        <v>9.3797848645614028</v>
      </c>
      <c r="L87" s="10"/>
      <c r="M87" s="10"/>
      <c r="N87" s="7"/>
      <c r="O87" s="7"/>
    </row>
    <row r="88" spans="1:32" x14ac:dyDescent="0.2">
      <c r="A88" s="268"/>
      <c r="B88" s="218" t="s">
        <v>219</v>
      </c>
      <c r="C88" s="11">
        <f>AVERAGEIFS($O$94:$O$413,$B$94:$B$413,C$3)</f>
        <v>131.16666666666666</v>
      </c>
      <c r="D88" s="11">
        <f t="shared" ref="D88:G88" si="63">AVERAGEIFS($O$94:$O$413,$B$94:$B$413,D$3)</f>
        <v>178.44444444444446</v>
      </c>
      <c r="E88" s="11">
        <f t="shared" si="63"/>
        <v>189.15384615384616</v>
      </c>
      <c r="F88" s="11">
        <f t="shared" si="63"/>
        <v>149.22222222222223</v>
      </c>
      <c r="G88" s="11">
        <f t="shared" si="63"/>
        <v>134.54545454545453</v>
      </c>
      <c r="H88" s="11" t="e">
        <f>AVERAGEIFS($O$352:$O$413,$B$95:$B$413,H$3)</f>
        <v>#VALUE!</v>
      </c>
      <c r="I88" s="11" t="e">
        <f>AVERAGEIFS($O$352:$O$413,$B$95:$B$413,I$3)</f>
        <v>#VALUE!</v>
      </c>
      <c r="J88" s="11" t="e">
        <f>AVERAGEIFS($O$352:$O$413,$B$95:$B$413,J$3)</f>
        <v>#VALUE!</v>
      </c>
      <c r="K88" s="234" t="e">
        <f>AVERAGE(O382:O412)</f>
        <v>#DIV/0!</v>
      </c>
      <c r="N88" s="7"/>
      <c r="O88" s="7"/>
    </row>
    <row r="89" spans="1:32" x14ac:dyDescent="0.2">
      <c r="A89" s="268"/>
      <c r="B89" s="12" t="s">
        <v>231</v>
      </c>
      <c r="C89" s="33">
        <f>AVERAGEIFS($P$94:$P$413,$B$94:$B$413,C$3)</f>
        <v>0.82259974328571417</v>
      </c>
      <c r="D89" s="33" t="e">
        <f t="shared" ref="D89:J89" si="64">AVERAGEIFS($P$352:$P$413,$B$95:$B$413,D$3)</f>
        <v>#VALUE!</v>
      </c>
      <c r="E89" s="33" t="e">
        <f t="shared" si="64"/>
        <v>#VALUE!</v>
      </c>
      <c r="F89" s="33" t="e">
        <f t="shared" si="64"/>
        <v>#VALUE!</v>
      </c>
      <c r="G89" s="33" t="e">
        <f t="shared" si="64"/>
        <v>#VALUE!</v>
      </c>
      <c r="H89" s="33" t="e">
        <f t="shared" si="64"/>
        <v>#VALUE!</v>
      </c>
      <c r="I89" s="33" t="e">
        <f t="shared" si="64"/>
        <v>#VALUE!</v>
      </c>
      <c r="J89" s="33" t="e">
        <f t="shared" si="64"/>
        <v>#VALUE!</v>
      </c>
      <c r="K89" s="235" t="e">
        <f>AVERAGE(P382:P412)</f>
        <v>#DIV/0!</v>
      </c>
    </row>
    <row r="90" spans="1:32" ht="17" thickBot="1" x14ac:dyDescent="0.25">
      <c r="A90" s="269"/>
      <c r="B90" s="12" t="s">
        <v>220</v>
      </c>
      <c r="C90" s="33" t="e">
        <f>(SUM(C50,C53,C56,C59)/(SUM(C49,C52,C55,C58)))</f>
        <v>#DIV/0!</v>
      </c>
      <c r="D90" s="33">
        <f t="shared" ref="D90:F90" si="65">(SUM(D50,D53,D56,D59)/(SUM(D49,D52,D55,D58)))</f>
        <v>20.099560761347</v>
      </c>
      <c r="E90" s="33" t="e">
        <f t="shared" si="65"/>
        <v>#DIV/0!</v>
      </c>
      <c r="F90" s="33">
        <f t="shared" si="65"/>
        <v>13.23529411764706</v>
      </c>
      <c r="G90" s="172" t="e">
        <f>(SUM(C50:F50)+SUM(C53:F53)+SUM(C56:F56)+SUM(C59:F59))/(SUM(C49:F49)+SUM(C52:F52)+SUM(C55:F55)+SUM(C58:F58))</f>
        <v>#DIV/0!</v>
      </c>
      <c r="H90" s="172" t="e">
        <f t="shared" ref="H90:J90" si="66">(SUM(D50:G50)+SUM(D53:G53)+SUM(D56:G56)+SUM(D59:G59))/(SUM(D49:G49)+SUM(D52:G52)+SUM(D55:G55)+SUM(D58:G58))</f>
        <v>#DIV/0!</v>
      </c>
      <c r="I90" s="172" t="e">
        <f t="shared" si="66"/>
        <v>#DIV/0!</v>
      </c>
      <c r="J90" s="172" t="e">
        <f t="shared" si="66"/>
        <v>#DIV/0!</v>
      </c>
      <c r="K90" s="201" t="e">
        <f>(SUM(D50:G50)+SUM(D53:G53)+SUM(D56:G56)+SUM(D59:G59))/(SUM(D49:G49)+SUM(D52:G52)+SUM(D55:G55)+SUM(D58:G58))</f>
        <v>#DIV/0!</v>
      </c>
    </row>
    <row r="93" spans="1:32" s="6" customFormat="1" x14ac:dyDescent="0.2">
      <c r="A93" s="6" t="s">
        <v>0</v>
      </c>
      <c r="B93" s="6" t="s">
        <v>1</v>
      </c>
      <c r="C93" s="6" t="s">
        <v>2</v>
      </c>
      <c r="D93" s="6" t="s">
        <v>3</v>
      </c>
      <c r="E93" s="12" t="s">
        <v>31</v>
      </c>
      <c r="F93" s="15" t="s">
        <v>30</v>
      </c>
      <c r="G93" s="202" t="s">
        <v>5</v>
      </c>
      <c r="H93" s="21" t="s">
        <v>32</v>
      </c>
      <c r="I93" s="18" t="s">
        <v>203</v>
      </c>
      <c r="J93" s="6" t="s">
        <v>4</v>
      </c>
      <c r="K93" s="15" t="s">
        <v>6</v>
      </c>
      <c r="L93" s="15" t="s">
        <v>7</v>
      </c>
      <c r="M93" s="15" t="s">
        <v>8</v>
      </c>
      <c r="N93" s="15" t="s">
        <v>9</v>
      </c>
      <c r="O93" s="15" t="s">
        <v>11</v>
      </c>
      <c r="P93" s="171" t="s">
        <v>15</v>
      </c>
    </row>
    <row r="94" spans="1:32" x14ac:dyDescent="0.2">
      <c r="A94">
        <v>24</v>
      </c>
      <c r="B94" s="1">
        <v>46193</v>
      </c>
      <c r="C94" s="2">
        <v>0.80903935185185183</v>
      </c>
      <c r="D94" t="s">
        <v>21</v>
      </c>
      <c r="E94" s="10" t="s">
        <v>33</v>
      </c>
      <c r="F94" s="11">
        <v>81.877238550000001</v>
      </c>
      <c r="G94" s="4">
        <v>2217.4936499999999</v>
      </c>
      <c r="H94" s="20">
        <v>0</v>
      </c>
      <c r="I94" s="17"/>
      <c r="J94" t="s">
        <v>24</v>
      </c>
      <c r="K94" s="11"/>
      <c r="L94" s="11"/>
      <c r="M94" s="11"/>
      <c r="N94" s="11"/>
      <c r="O94" s="11"/>
      <c r="P94" s="33"/>
      <c r="R94" s="10" t="s">
        <v>33</v>
      </c>
      <c r="S94" s="20">
        <v>0</v>
      </c>
      <c r="T94" s="17"/>
      <c r="W94" s="13"/>
      <c r="Z94" t="s">
        <v>33</v>
      </c>
      <c r="AA94">
        <v>99</v>
      </c>
      <c r="AB94" s="5">
        <f>AA94/AA99</f>
        <v>0.38372093023255816</v>
      </c>
      <c r="AC94" s="13" t="s">
        <v>35</v>
      </c>
      <c r="AD94" s="22">
        <v>1</v>
      </c>
      <c r="AE94" s="19" t="s">
        <v>38</v>
      </c>
      <c r="AF94" s="16"/>
    </row>
    <row r="95" spans="1:32" x14ac:dyDescent="0.2">
      <c r="A95">
        <v>25</v>
      </c>
      <c r="B95" s="1">
        <v>46193</v>
      </c>
      <c r="C95" s="2">
        <v>0.80923611111111116</v>
      </c>
      <c r="D95" t="s">
        <v>21</v>
      </c>
      <c r="E95" s="10" t="s">
        <v>33</v>
      </c>
      <c r="F95" s="11">
        <v>83.020598054999994</v>
      </c>
      <c r="G95" s="4">
        <v>1106.80151</v>
      </c>
      <c r="H95" s="20">
        <v>1</v>
      </c>
      <c r="I95" s="17" t="s">
        <v>38</v>
      </c>
      <c r="J95" t="s">
        <v>24</v>
      </c>
      <c r="K95" s="11">
        <v>72.474161304999996</v>
      </c>
      <c r="L95" s="11">
        <v>20.961555499999999</v>
      </c>
      <c r="M95" s="11">
        <v>-37.506442999999997</v>
      </c>
      <c r="N95" s="11">
        <v>79.849494988000004</v>
      </c>
      <c r="O95" s="11"/>
      <c r="P95" s="33">
        <v>0.63034603099999997</v>
      </c>
      <c r="R95" s="10" t="s">
        <v>33</v>
      </c>
      <c r="S95" s="20">
        <v>1</v>
      </c>
      <c r="T95" s="17" t="s">
        <v>38</v>
      </c>
      <c r="W95" s="13"/>
      <c r="Z95" t="s">
        <v>54</v>
      </c>
      <c r="AA95">
        <v>14</v>
      </c>
      <c r="AB95" s="5">
        <f>AA95/AA99</f>
        <v>5.4263565891472867E-2</v>
      </c>
      <c r="AC95" s="13" t="s">
        <v>35</v>
      </c>
      <c r="AD95" s="22">
        <v>1</v>
      </c>
      <c r="AE95" s="19" t="s">
        <v>45</v>
      </c>
      <c r="AF95" s="16"/>
    </row>
    <row r="96" spans="1:32" x14ac:dyDescent="0.2">
      <c r="A96">
        <v>26</v>
      </c>
      <c r="B96" s="1">
        <v>46193</v>
      </c>
      <c r="C96" s="2">
        <v>0.80954861111111109</v>
      </c>
      <c r="D96" t="s">
        <v>21</v>
      </c>
      <c r="E96" s="10" t="s">
        <v>37</v>
      </c>
      <c r="F96" s="11">
        <v>71.396439541999996</v>
      </c>
      <c r="G96" s="4">
        <v>2167.2817399999999</v>
      </c>
      <c r="H96" s="20">
        <v>0</v>
      </c>
      <c r="I96" s="17"/>
      <c r="J96" t="s">
        <v>24</v>
      </c>
      <c r="K96" s="11"/>
      <c r="L96" s="11"/>
      <c r="M96" s="11"/>
      <c r="N96" s="11"/>
      <c r="O96" s="11"/>
      <c r="P96" s="33"/>
      <c r="R96" s="10" t="s">
        <v>33</v>
      </c>
      <c r="S96" s="20">
        <v>0</v>
      </c>
      <c r="T96" s="17"/>
      <c r="W96" s="13"/>
      <c r="Z96" t="s">
        <v>37</v>
      </c>
      <c r="AA96">
        <v>95</v>
      </c>
      <c r="AB96" s="5">
        <f>AA96/AA99</f>
        <v>0.36821705426356588</v>
      </c>
      <c r="AC96" s="13" t="s">
        <v>35</v>
      </c>
      <c r="AD96" s="22">
        <v>1</v>
      </c>
      <c r="AE96" s="19" t="s">
        <v>38</v>
      </c>
      <c r="AF96" s="16">
        <v>60.849678400000002</v>
      </c>
    </row>
    <row r="97" spans="1:32" x14ac:dyDescent="0.2">
      <c r="A97">
        <v>27</v>
      </c>
      <c r="B97" s="1">
        <v>46193</v>
      </c>
      <c r="C97" s="2">
        <v>0.80981481481481477</v>
      </c>
      <c r="D97" t="s">
        <v>21</v>
      </c>
      <c r="E97" s="10" t="s">
        <v>33</v>
      </c>
      <c r="F97" s="11">
        <v>82.941196446000006</v>
      </c>
      <c r="G97" s="4">
        <v>1054.1746800000001</v>
      </c>
      <c r="H97" s="20">
        <v>0</v>
      </c>
      <c r="I97" s="17"/>
      <c r="J97" t="s">
        <v>24</v>
      </c>
      <c r="K97" s="11"/>
      <c r="L97" s="11"/>
      <c r="M97" s="11"/>
      <c r="N97" s="11"/>
      <c r="O97" s="11"/>
      <c r="P97" s="33"/>
      <c r="R97" s="10" t="s">
        <v>33</v>
      </c>
      <c r="S97" s="20">
        <v>1</v>
      </c>
      <c r="T97" s="17" t="s">
        <v>39</v>
      </c>
      <c r="W97" s="13"/>
      <c r="Z97" t="s">
        <v>35</v>
      </c>
      <c r="AA97">
        <v>16</v>
      </c>
      <c r="AB97" s="5">
        <f>AA97/AA99</f>
        <v>6.2015503875968991E-2</v>
      </c>
      <c r="AC97" s="13" t="s">
        <v>35</v>
      </c>
      <c r="AD97" s="22">
        <v>1</v>
      </c>
      <c r="AE97" s="19" t="s">
        <v>45</v>
      </c>
      <c r="AF97" s="16"/>
    </row>
    <row r="98" spans="1:32" x14ac:dyDescent="0.2">
      <c r="A98">
        <v>28</v>
      </c>
      <c r="B98" s="1">
        <v>46193</v>
      </c>
      <c r="C98" s="2">
        <v>0.81021990740740746</v>
      </c>
      <c r="D98" t="s">
        <v>21</v>
      </c>
      <c r="E98" s="10" t="s">
        <v>46</v>
      </c>
      <c r="F98" s="11">
        <v>72.476279012999996</v>
      </c>
      <c r="G98" s="4">
        <v>422.546448</v>
      </c>
      <c r="H98" s="20">
        <v>1</v>
      </c>
      <c r="I98" s="17"/>
      <c r="J98" t="s">
        <v>24</v>
      </c>
      <c r="K98" s="11"/>
      <c r="L98" s="11"/>
      <c r="M98" s="11"/>
      <c r="N98" s="11"/>
      <c r="O98" s="11"/>
      <c r="P98" s="33"/>
      <c r="R98" s="10" t="s">
        <v>33</v>
      </c>
      <c r="S98" s="20">
        <v>0</v>
      </c>
      <c r="T98" s="17"/>
      <c r="W98" s="13"/>
      <c r="Z98" t="s">
        <v>46</v>
      </c>
      <c r="AA98">
        <v>34</v>
      </c>
      <c r="AB98" s="5">
        <f>AA98/AA99</f>
        <v>0.13178294573643412</v>
      </c>
      <c r="AC98" s="13" t="s">
        <v>35</v>
      </c>
      <c r="AD98" s="22">
        <v>1</v>
      </c>
      <c r="AE98" s="19" t="s">
        <v>38</v>
      </c>
      <c r="AF98" s="16">
        <v>56.925841699999999</v>
      </c>
    </row>
    <row r="99" spans="1:32" x14ac:dyDescent="0.2">
      <c r="A99">
        <v>29</v>
      </c>
      <c r="B99" s="1">
        <v>46193</v>
      </c>
      <c r="C99" s="2">
        <v>0.81043981481481486</v>
      </c>
      <c r="D99" t="s">
        <v>21</v>
      </c>
      <c r="E99" s="10" t="s">
        <v>37</v>
      </c>
      <c r="F99" s="11">
        <v>69.999003029999997</v>
      </c>
      <c r="G99" s="4">
        <v>1153.40283</v>
      </c>
      <c r="H99" s="20">
        <v>1</v>
      </c>
      <c r="I99" s="17" t="s">
        <v>45</v>
      </c>
      <c r="J99" t="s">
        <v>24</v>
      </c>
      <c r="K99" s="11"/>
      <c r="L99" s="11"/>
      <c r="M99" s="11"/>
      <c r="N99" s="11">
        <v>54.394308619</v>
      </c>
      <c r="O99" s="11"/>
      <c r="P99" s="33"/>
      <c r="R99" s="10" t="s">
        <v>33</v>
      </c>
      <c r="S99" s="20">
        <v>1</v>
      </c>
      <c r="T99" s="17"/>
      <c r="W99" s="13"/>
      <c r="AA99">
        <f>SUM(AA94:AA98)</f>
        <v>258</v>
      </c>
      <c r="AC99" s="13" t="s">
        <v>35</v>
      </c>
      <c r="AD99" s="22">
        <v>1</v>
      </c>
      <c r="AE99" s="19" t="s">
        <v>39</v>
      </c>
      <c r="AF99" s="16"/>
    </row>
    <row r="100" spans="1:32" x14ac:dyDescent="0.2">
      <c r="A100">
        <v>30</v>
      </c>
      <c r="B100" s="1">
        <v>46193</v>
      </c>
      <c r="C100" s="2">
        <v>0.81074074074074076</v>
      </c>
      <c r="D100" t="s">
        <v>21</v>
      </c>
      <c r="E100" s="10" t="s">
        <v>33</v>
      </c>
      <c r="F100" s="11">
        <v>83.274675062</v>
      </c>
      <c r="G100" s="4">
        <v>2161.44922</v>
      </c>
      <c r="H100" s="20">
        <v>1</v>
      </c>
      <c r="I100" s="17" t="s">
        <v>39</v>
      </c>
      <c r="J100" t="s">
        <v>29</v>
      </c>
      <c r="K100" s="11"/>
      <c r="L100" s="11"/>
      <c r="M100" s="11"/>
      <c r="N100" s="11">
        <v>60.491193113000001</v>
      </c>
      <c r="O100" s="11"/>
      <c r="P100" s="33"/>
      <c r="R100" s="10" t="s">
        <v>33</v>
      </c>
      <c r="S100" s="20">
        <v>0</v>
      </c>
      <c r="T100" s="17"/>
      <c r="W100" s="13"/>
      <c r="AC100" s="13" t="s">
        <v>35</v>
      </c>
      <c r="AD100" s="22">
        <v>1</v>
      </c>
      <c r="AE100" s="19" t="s">
        <v>254</v>
      </c>
      <c r="AF100" s="16"/>
    </row>
    <row r="101" spans="1:32" x14ac:dyDescent="0.2">
      <c r="A101">
        <v>31</v>
      </c>
      <c r="B101" s="1">
        <v>46193</v>
      </c>
      <c r="C101" s="2">
        <v>0.81114583333333334</v>
      </c>
      <c r="D101" t="s">
        <v>21</v>
      </c>
      <c r="E101" s="10" t="s">
        <v>46</v>
      </c>
      <c r="F101" s="11">
        <v>60.518648818000003</v>
      </c>
      <c r="G101" s="4">
        <v>476.80215500000003</v>
      </c>
      <c r="H101" s="20">
        <v>1</v>
      </c>
      <c r="I101" s="17" t="s">
        <v>38</v>
      </c>
      <c r="J101" t="s">
        <v>29</v>
      </c>
      <c r="K101" s="11"/>
      <c r="L101" s="11"/>
      <c r="M101" s="11"/>
      <c r="N101" s="11">
        <v>67.964791144000003</v>
      </c>
      <c r="O101" s="11"/>
      <c r="P101" s="33"/>
      <c r="R101" s="10" t="s">
        <v>33</v>
      </c>
      <c r="S101" s="20">
        <v>1</v>
      </c>
      <c r="T101" s="17" t="s">
        <v>263</v>
      </c>
      <c r="W101" s="13"/>
      <c r="AC101" s="13" t="s">
        <v>35</v>
      </c>
      <c r="AD101" s="22">
        <v>1</v>
      </c>
      <c r="AE101" s="19" t="s">
        <v>255</v>
      </c>
      <c r="AF101" s="16"/>
    </row>
    <row r="102" spans="1:32" x14ac:dyDescent="0.2">
      <c r="A102">
        <v>32</v>
      </c>
      <c r="B102" s="1">
        <v>46193</v>
      </c>
      <c r="C102" s="2">
        <v>0.81136574074074075</v>
      </c>
      <c r="D102" t="s">
        <v>21</v>
      </c>
      <c r="E102" s="10" t="s">
        <v>33</v>
      </c>
      <c r="F102" s="11">
        <v>82.957076678000007</v>
      </c>
      <c r="G102" s="4">
        <v>2216.2407199999998</v>
      </c>
      <c r="H102" s="20">
        <v>0</v>
      </c>
      <c r="I102" s="17"/>
      <c r="J102" t="s">
        <v>29</v>
      </c>
      <c r="K102" s="11"/>
      <c r="L102" s="11"/>
      <c r="M102" s="11"/>
      <c r="N102" s="11"/>
      <c r="O102" s="11"/>
      <c r="P102" s="33"/>
      <c r="R102" s="10" t="s">
        <v>33</v>
      </c>
      <c r="S102" s="20">
        <v>1</v>
      </c>
      <c r="T102" s="17" t="s">
        <v>266</v>
      </c>
      <c r="W102" s="10"/>
      <c r="AC102" s="10" t="s">
        <v>35</v>
      </c>
      <c r="AD102" s="20">
        <v>0</v>
      </c>
      <c r="AE102" s="17" t="s">
        <v>48</v>
      </c>
      <c r="AF102" s="11"/>
    </row>
    <row r="103" spans="1:32" x14ac:dyDescent="0.2">
      <c r="A103">
        <v>33</v>
      </c>
      <c r="B103" s="1">
        <v>46193</v>
      </c>
      <c r="C103" s="2">
        <v>0.81153935185185189</v>
      </c>
      <c r="D103" t="s">
        <v>21</v>
      </c>
      <c r="E103" s="10" t="s">
        <v>37</v>
      </c>
      <c r="F103" s="11">
        <v>72.222200439999995</v>
      </c>
      <c r="G103" s="4">
        <v>1107.9284700000001</v>
      </c>
      <c r="H103" s="20">
        <v>1</v>
      </c>
      <c r="I103" s="17" t="s">
        <v>255</v>
      </c>
      <c r="J103" t="s">
        <v>29</v>
      </c>
      <c r="K103" s="11">
        <v>85.916649707999994</v>
      </c>
      <c r="L103" s="11">
        <v>-10.2373505</v>
      </c>
      <c r="M103" s="11">
        <v>-29.089359300000002</v>
      </c>
      <c r="N103" s="11">
        <v>65.520416463999993</v>
      </c>
      <c r="O103" s="11">
        <v>13</v>
      </c>
      <c r="P103" s="172">
        <v>0.90081039399999996</v>
      </c>
      <c r="R103" s="10" t="s">
        <v>33</v>
      </c>
      <c r="S103" s="20">
        <v>0</v>
      </c>
      <c r="T103" s="17"/>
      <c r="W103" s="10"/>
      <c r="AC103" s="10" t="s">
        <v>35</v>
      </c>
      <c r="AD103" s="20">
        <v>1</v>
      </c>
      <c r="AE103" s="17" t="s">
        <v>267</v>
      </c>
      <c r="AF103" s="11">
        <v>85.954929723000006</v>
      </c>
    </row>
    <row r="104" spans="1:32" x14ac:dyDescent="0.2">
      <c r="A104">
        <v>34</v>
      </c>
      <c r="B104" s="1">
        <v>46193</v>
      </c>
      <c r="C104" s="2">
        <v>0.81199074074074074</v>
      </c>
      <c r="D104" t="s">
        <v>21</v>
      </c>
      <c r="E104" s="10" t="s">
        <v>54</v>
      </c>
      <c r="F104" s="11">
        <v>78.701237264</v>
      </c>
      <c r="G104" s="4">
        <v>2008.0217299999999</v>
      </c>
      <c r="H104" s="20">
        <v>0</v>
      </c>
      <c r="I104" s="17"/>
      <c r="J104" t="s">
        <v>22</v>
      </c>
      <c r="K104" s="11"/>
      <c r="L104" s="11"/>
      <c r="M104" s="11"/>
      <c r="N104" s="11"/>
      <c r="O104" s="11"/>
      <c r="P104" s="33"/>
      <c r="R104" s="10" t="s">
        <v>33</v>
      </c>
      <c r="S104" s="20">
        <v>0</v>
      </c>
      <c r="T104" s="17"/>
      <c r="W104" s="10"/>
      <c r="AC104" s="10" t="s">
        <v>35</v>
      </c>
      <c r="AD104" s="20">
        <v>1</v>
      </c>
      <c r="AE104" s="17" t="s">
        <v>39</v>
      </c>
      <c r="AF104" s="11"/>
    </row>
    <row r="105" spans="1:32" x14ac:dyDescent="0.2">
      <c r="A105">
        <v>35</v>
      </c>
      <c r="B105" s="1">
        <v>46193</v>
      </c>
      <c r="C105" s="2">
        <v>0.81212962962962965</v>
      </c>
      <c r="D105" t="s">
        <v>21</v>
      </c>
      <c r="E105" s="10" t="s">
        <v>33</v>
      </c>
      <c r="F105" s="11">
        <v>82.702991170999994</v>
      </c>
      <c r="G105" s="4">
        <v>2192.9953599999999</v>
      </c>
      <c r="H105" s="20">
        <v>1</v>
      </c>
      <c r="I105" s="17"/>
      <c r="J105" t="s">
        <v>22</v>
      </c>
      <c r="K105" s="11"/>
      <c r="L105" s="11"/>
      <c r="M105" s="11"/>
      <c r="N105" s="11"/>
      <c r="O105" s="11"/>
      <c r="P105" s="33"/>
      <c r="R105" s="10" t="s">
        <v>54</v>
      </c>
      <c r="S105" s="20">
        <v>0</v>
      </c>
      <c r="T105" s="17"/>
      <c r="W105" s="10"/>
      <c r="AC105" s="10" t="s">
        <v>35</v>
      </c>
      <c r="AD105" s="20">
        <v>1</v>
      </c>
      <c r="AE105" s="17" t="s">
        <v>255</v>
      </c>
      <c r="AF105" s="11">
        <v>82.776035632000003</v>
      </c>
    </row>
    <row r="106" spans="1:32" x14ac:dyDescent="0.2">
      <c r="A106">
        <v>36</v>
      </c>
      <c r="B106" s="1">
        <v>46193</v>
      </c>
      <c r="C106" s="2">
        <v>0.81231481481481482</v>
      </c>
      <c r="D106" t="s">
        <v>21</v>
      </c>
      <c r="E106" s="10" t="s">
        <v>46</v>
      </c>
      <c r="F106" s="11">
        <v>73.111482937999995</v>
      </c>
      <c r="G106" s="4">
        <v>398.13812300000001</v>
      </c>
      <c r="H106" s="20">
        <v>1</v>
      </c>
      <c r="I106" s="17" t="s">
        <v>38</v>
      </c>
      <c r="J106" t="s">
        <v>22</v>
      </c>
      <c r="K106" s="11"/>
      <c r="L106" s="11"/>
      <c r="M106" s="11"/>
      <c r="N106" s="11">
        <v>65.127068492000006</v>
      </c>
      <c r="O106" s="11"/>
      <c r="P106" s="33"/>
      <c r="R106" s="10" t="s">
        <v>54</v>
      </c>
      <c r="S106" s="20">
        <v>1</v>
      </c>
      <c r="T106" s="17" t="s">
        <v>254</v>
      </c>
      <c r="W106" s="10"/>
      <c r="AC106" s="10" t="s">
        <v>35</v>
      </c>
      <c r="AD106" s="20">
        <v>0</v>
      </c>
      <c r="AE106" s="17"/>
      <c r="AF106" s="11"/>
    </row>
    <row r="107" spans="1:32" x14ac:dyDescent="0.2">
      <c r="A107">
        <v>37</v>
      </c>
      <c r="B107" s="1">
        <v>46193</v>
      </c>
      <c r="C107" s="2">
        <v>0.81263888888888891</v>
      </c>
      <c r="D107" t="s">
        <v>21</v>
      </c>
      <c r="E107" s="10" t="s">
        <v>46</v>
      </c>
      <c r="F107" s="11">
        <v>72.095157685999993</v>
      </c>
      <c r="G107" s="4">
        <v>927.75555399999996</v>
      </c>
      <c r="H107" s="20">
        <v>0</v>
      </c>
      <c r="I107" s="17"/>
      <c r="J107" t="s">
        <v>22</v>
      </c>
      <c r="K107" s="11"/>
      <c r="L107" s="11"/>
      <c r="M107" s="11"/>
      <c r="N107" s="11"/>
      <c r="O107" s="11"/>
      <c r="P107" s="33"/>
      <c r="R107" s="10" t="s">
        <v>37</v>
      </c>
      <c r="S107" s="20">
        <v>0</v>
      </c>
      <c r="T107" s="17"/>
      <c r="W107" s="10"/>
      <c r="AC107" s="10" t="s">
        <v>35</v>
      </c>
      <c r="AD107" s="20">
        <v>1</v>
      </c>
      <c r="AE107" s="17" t="s">
        <v>255</v>
      </c>
      <c r="AF107" s="11">
        <v>78.099644420000004</v>
      </c>
    </row>
    <row r="108" spans="1:32" x14ac:dyDescent="0.2">
      <c r="A108">
        <v>38</v>
      </c>
      <c r="B108" s="1">
        <v>46193</v>
      </c>
      <c r="C108" s="2">
        <v>0.81282407407407409</v>
      </c>
      <c r="D108" t="s">
        <v>21</v>
      </c>
      <c r="E108" s="10" t="s">
        <v>54</v>
      </c>
      <c r="F108" s="11">
        <v>81.035597195999998</v>
      </c>
      <c r="G108" s="4">
        <v>2120.71729</v>
      </c>
      <c r="H108" s="20">
        <v>1</v>
      </c>
      <c r="I108" s="17" t="s">
        <v>254</v>
      </c>
      <c r="J108" t="s">
        <v>22</v>
      </c>
      <c r="K108" s="11">
        <v>81.067101979</v>
      </c>
      <c r="L108" s="11">
        <v>22.161544800000001</v>
      </c>
      <c r="M108" s="11">
        <v>-15.692535400000001</v>
      </c>
      <c r="N108" s="11">
        <v>64.227990004000006</v>
      </c>
      <c r="O108" s="11">
        <v>238</v>
      </c>
      <c r="P108" s="33">
        <v>0.839594803</v>
      </c>
      <c r="R108" s="10" t="s">
        <v>37</v>
      </c>
      <c r="S108" s="20">
        <v>1</v>
      </c>
      <c r="T108" s="17" t="s">
        <v>45</v>
      </c>
      <c r="W108" s="10"/>
      <c r="AC108" s="10" t="s">
        <v>35</v>
      </c>
      <c r="AD108" s="20">
        <v>1</v>
      </c>
      <c r="AE108" s="17" t="s">
        <v>254</v>
      </c>
      <c r="AF108" s="11">
        <v>85.396361210999999</v>
      </c>
    </row>
    <row r="109" spans="1:32" x14ac:dyDescent="0.2">
      <c r="A109">
        <v>39</v>
      </c>
      <c r="B109" s="1">
        <v>46193</v>
      </c>
      <c r="C109" s="2">
        <v>0.8134837962962963</v>
      </c>
      <c r="D109" t="s">
        <v>21</v>
      </c>
      <c r="E109" s="10" t="s">
        <v>37</v>
      </c>
      <c r="F109" s="11">
        <v>71.968123433000002</v>
      </c>
      <c r="G109" s="4">
        <v>1088.6904300000001</v>
      </c>
      <c r="H109" s="20">
        <v>1</v>
      </c>
      <c r="I109" s="17" t="s">
        <v>39</v>
      </c>
      <c r="J109" t="s">
        <v>20</v>
      </c>
      <c r="K109" s="11"/>
      <c r="L109" s="11"/>
      <c r="M109" s="11"/>
      <c r="N109" s="11">
        <v>72.544475137999996</v>
      </c>
      <c r="O109" s="11"/>
      <c r="P109" s="33"/>
      <c r="R109" s="10" t="s">
        <v>37</v>
      </c>
      <c r="S109" s="20">
        <v>1</v>
      </c>
      <c r="T109" s="17" t="s">
        <v>255</v>
      </c>
      <c r="W109" s="10"/>
      <c r="AC109" s="10" t="s">
        <v>35</v>
      </c>
      <c r="AD109" s="20">
        <v>0</v>
      </c>
      <c r="AE109" s="17"/>
      <c r="AF109" s="11"/>
    </row>
    <row r="110" spans="1:32" x14ac:dyDescent="0.2">
      <c r="A110">
        <v>40</v>
      </c>
      <c r="B110" s="1">
        <v>46193</v>
      </c>
      <c r="C110" s="2">
        <v>0.81370370370370371</v>
      </c>
      <c r="D110" t="s">
        <v>21</v>
      </c>
      <c r="E110" s="10" t="s">
        <v>46</v>
      </c>
      <c r="F110" s="11">
        <v>72.285721816999995</v>
      </c>
      <c r="G110" s="4">
        <v>425.70111100000003</v>
      </c>
      <c r="H110" s="20">
        <v>1</v>
      </c>
      <c r="I110" s="17" t="s">
        <v>39</v>
      </c>
      <c r="J110" t="s">
        <v>20</v>
      </c>
      <c r="K110" s="11"/>
      <c r="L110" s="11"/>
      <c r="M110" s="11"/>
      <c r="N110" s="11">
        <v>74.539306213000003</v>
      </c>
      <c r="O110" s="11"/>
      <c r="P110" s="33"/>
      <c r="R110" s="10" t="s">
        <v>37</v>
      </c>
      <c r="S110" s="20">
        <v>1</v>
      </c>
      <c r="T110" s="17" t="s">
        <v>39</v>
      </c>
      <c r="W110" s="10"/>
      <c r="AC110" s="10" t="s">
        <v>33</v>
      </c>
      <c r="AD110" s="20">
        <v>0</v>
      </c>
      <c r="AE110" s="17"/>
      <c r="AF110" s="11"/>
    </row>
    <row r="111" spans="1:32" x14ac:dyDescent="0.2">
      <c r="A111">
        <v>41</v>
      </c>
      <c r="B111" s="1">
        <v>46193</v>
      </c>
      <c r="C111" s="2">
        <v>0.8139467592592593</v>
      </c>
      <c r="D111" t="s">
        <v>21</v>
      </c>
      <c r="E111" s="10" t="s">
        <v>37</v>
      </c>
      <c r="F111" s="11">
        <v>72.476279012999996</v>
      </c>
      <c r="G111" s="4">
        <v>2208.1242699999998</v>
      </c>
      <c r="H111" s="161">
        <v>1</v>
      </c>
      <c r="I111" s="162" t="s">
        <v>45</v>
      </c>
      <c r="J111" s="155" t="s">
        <v>20</v>
      </c>
      <c r="K111" s="11"/>
      <c r="L111" s="11"/>
      <c r="M111" s="11"/>
      <c r="N111" s="11">
        <v>66.784747230999997</v>
      </c>
      <c r="O111" s="11"/>
      <c r="P111" s="33"/>
      <c r="R111" s="10" t="s">
        <v>37</v>
      </c>
      <c r="S111" s="161">
        <v>1</v>
      </c>
      <c r="T111" s="162" t="s">
        <v>45</v>
      </c>
      <c r="W111" s="10"/>
      <c r="AC111" s="10" t="s">
        <v>33</v>
      </c>
      <c r="AD111" s="161">
        <v>1</v>
      </c>
      <c r="AE111" s="162" t="s">
        <v>38</v>
      </c>
      <c r="AF111" s="11">
        <v>72.474161304999996</v>
      </c>
    </row>
    <row r="112" spans="1:32" x14ac:dyDescent="0.2">
      <c r="A112">
        <v>59</v>
      </c>
      <c r="B112" s="1">
        <v>46193</v>
      </c>
      <c r="C112" s="2">
        <v>0.83054398148148145</v>
      </c>
      <c r="D112" t="s">
        <v>21</v>
      </c>
      <c r="E112" s="10" t="s">
        <v>37</v>
      </c>
      <c r="F112" s="11">
        <v>71.507601840000007</v>
      </c>
      <c r="G112" s="4">
        <v>2124.7395000000001</v>
      </c>
      <c r="H112" s="20">
        <v>0</v>
      </c>
      <c r="I112" s="17"/>
      <c r="J112" t="s">
        <v>22</v>
      </c>
      <c r="K112" s="11"/>
      <c r="L112" s="11"/>
      <c r="M112" s="11"/>
      <c r="N112" s="11"/>
      <c r="O112" s="11"/>
      <c r="P112" s="33"/>
      <c r="R112" s="10" t="s">
        <v>37</v>
      </c>
      <c r="S112" s="20">
        <v>0</v>
      </c>
      <c r="T112" s="17"/>
      <c r="W112" s="10"/>
      <c r="AC112" s="10" t="s">
        <v>33</v>
      </c>
      <c r="AD112" s="20">
        <v>0</v>
      </c>
      <c r="AE112" s="17"/>
      <c r="AF112" s="11"/>
    </row>
    <row r="113" spans="1:32" x14ac:dyDescent="0.2">
      <c r="A113">
        <v>60</v>
      </c>
      <c r="B113" s="1">
        <v>46193</v>
      </c>
      <c r="C113" s="2">
        <v>0.83078703703703705</v>
      </c>
      <c r="D113" t="s">
        <v>21</v>
      </c>
      <c r="E113" s="10" t="s">
        <v>46</v>
      </c>
      <c r="F113" s="11">
        <v>70.888281277999994</v>
      </c>
      <c r="G113" s="4">
        <v>452.68221999999997</v>
      </c>
      <c r="H113" s="20">
        <v>1</v>
      </c>
      <c r="I113" s="17"/>
      <c r="J113" t="s">
        <v>22</v>
      </c>
      <c r="K113" s="11"/>
      <c r="L113" s="11"/>
      <c r="M113" s="11"/>
      <c r="N113" s="11"/>
      <c r="O113" s="11"/>
      <c r="P113" s="33"/>
      <c r="R113" s="10" t="s">
        <v>37</v>
      </c>
      <c r="S113" s="20">
        <v>0</v>
      </c>
      <c r="T113" s="17" t="s">
        <v>48</v>
      </c>
      <c r="W113" s="10"/>
      <c r="AC113" s="10" t="s">
        <v>33</v>
      </c>
      <c r="AD113" s="20">
        <v>1</v>
      </c>
      <c r="AE113" s="17" t="s">
        <v>39</v>
      </c>
      <c r="AF113" s="11"/>
    </row>
    <row r="114" spans="1:32" x14ac:dyDescent="0.2">
      <c r="A114">
        <v>61</v>
      </c>
      <c r="B114" s="1">
        <v>46193</v>
      </c>
      <c r="C114" s="2">
        <v>0.83101851851851849</v>
      </c>
      <c r="D114" t="s">
        <v>21</v>
      </c>
      <c r="E114" s="10" t="s">
        <v>33</v>
      </c>
      <c r="F114" s="11">
        <v>80.527434681000003</v>
      </c>
      <c r="G114" s="4">
        <v>2119.5991199999999</v>
      </c>
      <c r="H114" s="20">
        <v>0</v>
      </c>
      <c r="I114" s="17"/>
      <c r="J114" t="s">
        <v>22</v>
      </c>
      <c r="K114" s="11"/>
      <c r="L114" s="11"/>
      <c r="M114" s="11"/>
      <c r="N114" s="11"/>
      <c r="O114" s="11"/>
      <c r="P114" s="33"/>
      <c r="R114" s="10" t="s">
        <v>37</v>
      </c>
      <c r="S114" s="20">
        <v>1</v>
      </c>
      <c r="T114" s="17" t="s">
        <v>39</v>
      </c>
      <c r="W114" s="10"/>
      <c r="AC114" s="10" t="s">
        <v>33</v>
      </c>
      <c r="AD114" s="20">
        <v>0</v>
      </c>
      <c r="AE114" s="17"/>
      <c r="AF114" s="11"/>
    </row>
    <row r="115" spans="1:32" x14ac:dyDescent="0.2">
      <c r="A115">
        <v>62</v>
      </c>
      <c r="B115" s="1">
        <v>46193</v>
      </c>
      <c r="C115" s="2">
        <v>0.83123842592592589</v>
      </c>
      <c r="D115" t="s">
        <v>21</v>
      </c>
      <c r="E115" s="10" t="s">
        <v>46</v>
      </c>
      <c r="F115" s="11">
        <v>70.062520156999994</v>
      </c>
      <c r="G115" s="4">
        <v>398.52328499999999</v>
      </c>
      <c r="H115" s="20">
        <v>0</v>
      </c>
      <c r="I115" s="17"/>
      <c r="J115" t="s">
        <v>22</v>
      </c>
      <c r="K115" s="11"/>
      <c r="L115" s="11"/>
      <c r="M115" s="11"/>
      <c r="N115" s="11"/>
      <c r="O115" s="11"/>
      <c r="P115" s="33"/>
      <c r="R115" s="10" t="s">
        <v>37</v>
      </c>
      <c r="S115" s="20">
        <v>0</v>
      </c>
      <c r="T115" s="17"/>
      <c r="W115" s="10"/>
      <c r="AC115" s="10" t="s">
        <v>33</v>
      </c>
      <c r="AD115" s="20">
        <v>1</v>
      </c>
      <c r="AE115" s="17"/>
      <c r="AF115" s="11"/>
    </row>
    <row r="116" spans="1:32" x14ac:dyDescent="0.2">
      <c r="A116">
        <v>63</v>
      </c>
      <c r="B116" s="1">
        <v>46193</v>
      </c>
      <c r="C116" s="2">
        <v>0.83144675925925926</v>
      </c>
      <c r="D116" t="s">
        <v>21</v>
      </c>
      <c r="E116" s="10" t="s">
        <v>37</v>
      </c>
      <c r="F116" s="11">
        <v>70.237199803999999</v>
      </c>
      <c r="G116" s="4">
        <v>2114.2058099999999</v>
      </c>
      <c r="H116" s="20">
        <v>0</v>
      </c>
      <c r="I116" s="17" t="s">
        <v>48</v>
      </c>
      <c r="J116" t="s">
        <v>22</v>
      </c>
      <c r="K116" s="11"/>
      <c r="L116" s="11"/>
      <c r="M116" s="11"/>
      <c r="N116" s="11"/>
      <c r="O116" s="11"/>
      <c r="P116" s="33"/>
      <c r="R116" s="10" t="s">
        <v>37</v>
      </c>
      <c r="S116" s="20">
        <v>0</v>
      </c>
      <c r="T116" s="17"/>
      <c r="W116" s="10"/>
      <c r="AC116" s="10" t="s">
        <v>33</v>
      </c>
      <c r="AD116" s="20">
        <v>0</v>
      </c>
      <c r="AE116" s="17"/>
      <c r="AF116" s="11"/>
    </row>
    <row r="117" spans="1:32" x14ac:dyDescent="0.2">
      <c r="A117">
        <v>64</v>
      </c>
      <c r="B117" s="1">
        <v>46193</v>
      </c>
      <c r="C117" s="2">
        <v>0.83168981481481485</v>
      </c>
      <c r="D117" t="s">
        <v>21</v>
      </c>
      <c r="E117" s="10" t="s">
        <v>33</v>
      </c>
      <c r="F117" s="11">
        <v>82.766512547999994</v>
      </c>
      <c r="G117" s="4">
        <v>2075.6269499999999</v>
      </c>
      <c r="H117" s="20">
        <v>1</v>
      </c>
      <c r="I117" s="17" t="s">
        <v>263</v>
      </c>
      <c r="J117" t="s">
        <v>22</v>
      </c>
      <c r="K117" s="11">
        <v>83.092285813999993</v>
      </c>
      <c r="L117" s="11">
        <v>39.418464700000001</v>
      </c>
      <c r="M117" s="11">
        <v>-0.52251154200000005</v>
      </c>
      <c r="N117" s="11">
        <v>64.227990004000006</v>
      </c>
      <c r="O117" s="11">
        <v>302</v>
      </c>
      <c r="P117" s="33">
        <v>0.85660484299999995</v>
      </c>
      <c r="R117" s="10" t="s">
        <v>37</v>
      </c>
      <c r="S117" s="20">
        <v>1</v>
      </c>
      <c r="T117" s="17" t="s">
        <v>265</v>
      </c>
      <c r="W117" s="10"/>
      <c r="AC117" s="10" t="s">
        <v>33</v>
      </c>
      <c r="AD117" s="20">
        <v>1</v>
      </c>
      <c r="AE117" s="17" t="s">
        <v>263</v>
      </c>
      <c r="AF117" s="11">
        <v>83.092285813999993</v>
      </c>
    </row>
    <row r="118" spans="1:32" x14ac:dyDescent="0.2">
      <c r="A118">
        <v>65</v>
      </c>
      <c r="B118" s="1">
        <v>46193</v>
      </c>
      <c r="C118" s="2">
        <v>0.83199074074074075</v>
      </c>
      <c r="D118" t="s">
        <v>21</v>
      </c>
      <c r="E118" s="10" t="s">
        <v>46</v>
      </c>
      <c r="F118" s="11">
        <v>67.775801369999996</v>
      </c>
      <c r="G118" s="4">
        <v>484.56939699999998</v>
      </c>
      <c r="H118" s="20">
        <v>0</v>
      </c>
      <c r="I118" s="17"/>
      <c r="J118" t="s">
        <v>20</v>
      </c>
      <c r="K118" s="11"/>
      <c r="L118" s="11"/>
      <c r="M118" s="11"/>
      <c r="N118" s="11"/>
      <c r="O118" s="11"/>
      <c r="P118" s="33"/>
      <c r="R118" s="10" t="s">
        <v>37</v>
      </c>
      <c r="S118" s="20">
        <v>1</v>
      </c>
      <c r="T118" s="17"/>
      <c r="W118" s="10"/>
      <c r="AC118" s="10" t="s">
        <v>33</v>
      </c>
      <c r="AD118" s="20">
        <v>1</v>
      </c>
      <c r="AE118" s="17" t="s">
        <v>266</v>
      </c>
      <c r="AF118" s="11">
        <v>95.480697761000002</v>
      </c>
    </row>
    <row r="119" spans="1:32" x14ac:dyDescent="0.2">
      <c r="A119">
        <v>66</v>
      </c>
      <c r="B119" s="1">
        <v>46193</v>
      </c>
      <c r="C119" s="2">
        <v>0.83232638888888888</v>
      </c>
      <c r="D119" t="s">
        <v>21</v>
      </c>
      <c r="E119" s="10" t="s">
        <v>37</v>
      </c>
      <c r="F119" s="11">
        <v>72.095157685999993</v>
      </c>
      <c r="G119" s="4">
        <v>2184.2080099999998</v>
      </c>
      <c r="H119" s="20">
        <v>1</v>
      </c>
      <c r="I119" s="17" t="s">
        <v>39</v>
      </c>
      <c r="J119" t="s">
        <v>20</v>
      </c>
      <c r="K119" s="11"/>
      <c r="L119" s="11"/>
      <c r="M119" s="11"/>
      <c r="N119" s="11">
        <v>66.082342616000005</v>
      </c>
      <c r="O119" s="11"/>
      <c r="P119" s="33"/>
      <c r="R119" s="10" t="s">
        <v>37</v>
      </c>
      <c r="S119" s="20">
        <v>1</v>
      </c>
      <c r="T119" s="17"/>
      <c r="W119" s="10"/>
      <c r="AC119" s="10" t="s">
        <v>33</v>
      </c>
      <c r="AD119" s="20">
        <v>0</v>
      </c>
      <c r="AE119" s="17"/>
      <c r="AF119" s="11"/>
    </row>
    <row r="120" spans="1:32" x14ac:dyDescent="0.2">
      <c r="A120">
        <v>67</v>
      </c>
      <c r="B120" s="1">
        <v>46193</v>
      </c>
      <c r="C120" s="2">
        <v>0.83265046296296297</v>
      </c>
      <c r="D120" t="s">
        <v>21</v>
      </c>
      <c r="E120" s="10" t="s">
        <v>46</v>
      </c>
      <c r="F120" s="11">
        <v>69.935481652999997</v>
      </c>
      <c r="G120" s="4">
        <v>848.53832999999997</v>
      </c>
      <c r="H120" s="20">
        <v>1</v>
      </c>
      <c r="I120" s="17" t="s">
        <v>39</v>
      </c>
      <c r="J120" t="s">
        <v>20</v>
      </c>
      <c r="K120" s="11"/>
      <c r="L120" s="11"/>
      <c r="M120" s="11"/>
      <c r="N120" s="11">
        <v>69.285313297000002</v>
      </c>
      <c r="O120" s="11"/>
      <c r="P120" s="33"/>
      <c r="R120" s="10" t="s">
        <v>37</v>
      </c>
      <c r="S120" s="20">
        <v>1</v>
      </c>
      <c r="T120" s="17" t="s">
        <v>255</v>
      </c>
      <c r="W120" s="10"/>
      <c r="AC120" s="10" t="s">
        <v>33</v>
      </c>
      <c r="AD120" s="20">
        <v>0</v>
      </c>
      <c r="AE120" s="17"/>
      <c r="AF120" s="11"/>
    </row>
    <row r="121" spans="1:32" x14ac:dyDescent="0.2">
      <c r="A121">
        <v>68</v>
      </c>
      <c r="B121" s="1">
        <v>46193</v>
      </c>
      <c r="C121" s="2">
        <v>0.83295138888888887</v>
      </c>
      <c r="D121" t="s">
        <v>21</v>
      </c>
      <c r="E121" s="10" t="s">
        <v>37</v>
      </c>
      <c r="F121" s="11">
        <v>73.349679713</v>
      </c>
      <c r="G121" s="4">
        <v>2246.1018100000001</v>
      </c>
      <c r="H121" s="20">
        <v>0</v>
      </c>
      <c r="I121" s="17"/>
      <c r="J121" t="s">
        <v>20</v>
      </c>
      <c r="K121" s="11"/>
      <c r="L121" s="11"/>
      <c r="M121" s="11"/>
      <c r="N121" s="11"/>
      <c r="O121" s="11"/>
      <c r="P121" s="33"/>
      <c r="R121" s="10" t="s">
        <v>46</v>
      </c>
      <c r="S121" s="20">
        <v>1</v>
      </c>
      <c r="T121" s="17"/>
      <c r="W121" s="13"/>
      <c r="AC121" s="13" t="s">
        <v>33</v>
      </c>
      <c r="AD121" s="22">
        <v>1</v>
      </c>
      <c r="AE121" s="19" t="s">
        <v>255</v>
      </c>
      <c r="AF121" s="16">
        <v>92.905001100000007</v>
      </c>
    </row>
    <row r="122" spans="1:32" x14ac:dyDescent="0.2">
      <c r="A122">
        <v>69</v>
      </c>
      <c r="B122" s="1">
        <v>46193</v>
      </c>
      <c r="C122" s="2">
        <v>0.8332060185185185</v>
      </c>
      <c r="D122" t="s">
        <v>21</v>
      </c>
      <c r="E122" s="10" t="s">
        <v>33</v>
      </c>
      <c r="F122" s="11">
        <v>82.814153468000001</v>
      </c>
      <c r="G122" s="4">
        <v>2230.7722199999998</v>
      </c>
      <c r="H122" s="20">
        <v>1</v>
      </c>
      <c r="I122" s="17" t="s">
        <v>266</v>
      </c>
      <c r="J122" t="s">
        <v>20</v>
      </c>
      <c r="K122" s="11">
        <v>95.480697761000002</v>
      </c>
      <c r="L122" s="11">
        <v>11.794431700000001</v>
      </c>
      <c r="M122" s="11">
        <v>-26.042739900000001</v>
      </c>
      <c r="N122" s="11">
        <v>69.510082862999994</v>
      </c>
      <c r="O122" s="11">
        <v>207</v>
      </c>
      <c r="P122" s="33">
        <v>0.92406227099999905</v>
      </c>
      <c r="R122" s="10" t="s">
        <v>46</v>
      </c>
      <c r="S122" s="20">
        <v>1</v>
      </c>
      <c r="T122" s="17" t="s">
        <v>38</v>
      </c>
      <c r="W122" s="13"/>
      <c r="AC122" s="13" t="s">
        <v>33</v>
      </c>
      <c r="AD122" s="22">
        <v>0</v>
      </c>
      <c r="AE122" s="19"/>
      <c r="AF122" s="16"/>
    </row>
    <row r="123" spans="1:32" x14ac:dyDescent="0.2">
      <c r="A123">
        <v>70</v>
      </c>
      <c r="B123" s="1">
        <v>46193</v>
      </c>
      <c r="C123" s="2">
        <v>0.83362268518518523</v>
      </c>
      <c r="D123" t="s">
        <v>21</v>
      </c>
      <c r="E123" s="10" t="s">
        <v>37</v>
      </c>
      <c r="F123" s="11">
        <v>74.874158979000001</v>
      </c>
      <c r="G123" s="4">
        <v>1164.78943</v>
      </c>
      <c r="H123" s="20">
        <v>0</v>
      </c>
      <c r="I123" s="17"/>
      <c r="J123" t="s">
        <v>17</v>
      </c>
      <c r="K123" s="11"/>
      <c r="L123" s="11"/>
      <c r="M123" s="11"/>
      <c r="N123" s="11"/>
      <c r="O123" s="11"/>
      <c r="P123" s="33"/>
      <c r="R123" s="10" t="s">
        <v>46</v>
      </c>
      <c r="S123" s="20">
        <v>1</v>
      </c>
      <c r="T123" s="17" t="s">
        <v>38</v>
      </c>
      <c r="W123" s="13"/>
      <c r="AC123" s="13" t="s">
        <v>33</v>
      </c>
      <c r="AD123" s="22">
        <v>1</v>
      </c>
      <c r="AE123" s="19"/>
      <c r="AF123" s="16"/>
    </row>
    <row r="124" spans="1:32" x14ac:dyDescent="0.2">
      <c r="A124">
        <v>71</v>
      </c>
      <c r="B124" s="1">
        <v>46193</v>
      </c>
      <c r="C124" s="2">
        <v>0.83384259259259264</v>
      </c>
      <c r="D124" t="s">
        <v>21</v>
      </c>
      <c r="E124" s="10" t="s">
        <v>46</v>
      </c>
      <c r="F124" s="11">
        <v>71.888721824000001</v>
      </c>
      <c r="G124" s="4">
        <v>372.69415299999997</v>
      </c>
      <c r="H124" s="20">
        <v>1</v>
      </c>
      <c r="I124" s="17" t="s">
        <v>39</v>
      </c>
      <c r="J124" t="s">
        <v>17</v>
      </c>
      <c r="K124" s="11"/>
      <c r="L124" s="11"/>
      <c r="M124" s="11"/>
      <c r="N124" s="11">
        <v>69.453891478000003</v>
      </c>
      <c r="O124" s="11"/>
      <c r="P124" s="33"/>
      <c r="R124" s="10" t="s">
        <v>46</v>
      </c>
      <c r="S124" s="20">
        <v>0</v>
      </c>
      <c r="T124" s="17"/>
      <c r="W124" s="13"/>
      <c r="AC124" s="13" t="s">
        <v>33</v>
      </c>
      <c r="AD124" s="22">
        <v>1</v>
      </c>
      <c r="AE124" s="19" t="s">
        <v>38</v>
      </c>
      <c r="AF124" s="16"/>
    </row>
    <row r="125" spans="1:32" x14ac:dyDescent="0.2">
      <c r="A125">
        <v>72</v>
      </c>
      <c r="B125" s="1">
        <v>46193</v>
      </c>
      <c r="C125" s="2">
        <v>0.83410879629629631</v>
      </c>
      <c r="D125" t="s">
        <v>21</v>
      </c>
      <c r="E125" s="10" t="s">
        <v>37</v>
      </c>
      <c r="F125" s="11">
        <v>73.174995815000003</v>
      </c>
      <c r="G125" s="4">
        <v>2152.7905300000002</v>
      </c>
      <c r="H125" s="20">
        <v>1</v>
      </c>
      <c r="I125" s="17" t="s">
        <v>265</v>
      </c>
      <c r="J125" t="s">
        <v>17</v>
      </c>
      <c r="K125" s="11">
        <v>84.835360926000007</v>
      </c>
      <c r="L125" s="11">
        <v>-7.1139535900000004</v>
      </c>
      <c r="M125" s="11">
        <v>-28.276945099999999</v>
      </c>
      <c r="N125" s="11">
        <v>67.824308431999995</v>
      </c>
      <c r="O125" s="11">
        <v>20</v>
      </c>
      <c r="P125" s="33">
        <v>0.85899864199999998</v>
      </c>
      <c r="R125" s="10" t="s">
        <v>46</v>
      </c>
      <c r="S125" s="20">
        <v>1</v>
      </c>
      <c r="T125" s="17" t="s">
        <v>39</v>
      </c>
      <c r="W125" s="13"/>
      <c r="AC125" s="13" t="s">
        <v>33</v>
      </c>
      <c r="AD125" s="22">
        <v>1</v>
      </c>
      <c r="AE125" s="19" t="s">
        <v>255</v>
      </c>
      <c r="AF125" s="16"/>
    </row>
    <row r="126" spans="1:32" x14ac:dyDescent="0.2">
      <c r="A126">
        <v>73</v>
      </c>
      <c r="B126" s="1">
        <v>46193</v>
      </c>
      <c r="C126" s="2">
        <v>0.8344907407407407</v>
      </c>
      <c r="D126" t="s">
        <v>21</v>
      </c>
      <c r="E126" s="10" t="s">
        <v>33</v>
      </c>
      <c r="F126" s="11">
        <v>86.196590839999999</v>
      </c>
      <c r="G126" s="4">
        <v>1105.03979</v>
      </c>
      <c r="H126" s="20">
        <v>0</v>
      </c>
      <c r="I126" s="17"/>
      <c r="J126" t="s">
        <v>19</v>
      </c>
      <c r="K126" s="11"/>
      <c r="L126" s="11"/>
      <c r="M126" s="11"/>
      <c r="N126" s="11"/>
      <c r="O126" s="11"/>
      <c r="P126" s="33"/>
      <c r="R126" s="10" t="s">
        <v>46</v>
      </c>
      <c r="S126" s="20">
        <v>1</v>
      </c>
      <c r="T126" s="17"/>
      <c r="W126" s="13"/>
      <c r="AC126" s="13" t="s">
        <v>33</v>
      </c>
      <c r="AD126" s="22">
        <v>1</v>
      </c>
      <c r="AE126" s="19" t="s">
        <v>38</v>
      </c>
      <c r="AF126" s="16"/>
    </row>
    <row r="127" spans="1:32" x14ac:dyDescent="0.2">
      <c r="A127">
        <v>74</v>
      </c>
      <c r="B127" s="1">
        <v>46193</v>
      </c>
      <c r="C127" s="2">
        <v>0.8347106481481481</v>
      </c>
      <c r="D127" t="s">
        <v>21</v>
      </c>
      <c r="E127" s="10" t="s">
        <v>33</v>
      </c>
      <c r="F127" s="11">
        <v>82.401273019000001</v>
      </c>
      <c r="G127" s="4">
        <v>1139.7742900000001</v>
      </c>
      <c r="H127" s="20">
        <v>0</v>
      </c>
      <c r="I127" s="17"/>
      <c r="J127" t="s">
        <v>19</v>
      </c>
      <c r="K127" s="11"/>
      <c r="L127" s="11"/>
      <c r="M127" s="11"/>
      <c r="N127" s="11"/>
      <c r="O127" s="11"/>
      <c r="P127" s="33"/>
      <c r="R127" s="10" t="s">
        <v>46</v>
      </c>
      <c r="S127" s="20">
        <v>0</v>
      </c>
      <c r="T127" s="17"/>
      <c r="W127" s="13"/>
      <c r="AC127" s="13" t="s">
        <v>33</v>
      </c>
      <c r="AD127" s="22">
        <v>1</v>
      </c>
      <c r="AE127" s="19"/>
      <c r="AF127" s="16"/>
    </row>
    <row r="128" spans="1:32" x14ac:dyDescent="0.2">
      <c r="A128">
        <v>75</v>
      </c>
      <c r="B128" s="1">
        <v>46193</v>
      </c>
      <c r="C128" s="2">
        <v>0.83491898148148147</v>
      </c>
      <c r="D128" t="s">
        <v>21</v>
      </c>
      <c r="E128" s="10" t="s">
        <v>46</v>
      </c>
      <c r="F128" s="11">
        <v>71.587003672999998</v>
      </c>
      <c r="G128" s="4">
        <v>155.72331199999999</v>
      </c>
      <c r="H128" s="20">
        <v>0</v>
      </c>
      <c r="I128" s="17"/>
      <c r="J128" t="s">
        <v>19</v>
      </c>
      <c r="K128" s="11"/>
      <c r="L128" s="11"/>
      <c r="M128" s="11"/>
      <c r="N128" s="11"/>
      <c r="O128" s="11"/>
      <c r="P128" s="33"/>
      <c r="R128" s="10" t="s">
        <v>46</v>
      </c>
      <c r="S128" s="20">
        <v>0</v>
      </c>
      <c r="T128" s="17"/>
      <c r="W128" s="13"/>
      <c r="AC128" s="13" t="s">
        <v>33</v>
      </c>
      <c r="AD128" s="22">
        <v>1</v>
      </c>
      <c r="AE128" s="19"/>
      <c r="AF128" s="16"/>
    </row>
    <row r="129" spans="1:32" x14ac:dyDescent="0.2">
      <c r="A129">
        <v>76</v>
      </c>
      <c r="B129" s="1">
        <v>46193</v>
      </c>
      <c r="C129" s="2">
        <v>0.83535879629629628</v>
      </c>
      <c r="D129" t="s">
        <v>21</v>
      </c>
      <c r="E129" s="10" t="s">
        <v>37</v>
      </c>
      <c r="F129" s="11">
        <v>73.556115575000007</v>
      </c>
      <c r="G129" s="4">
        <v>2158.9992699999998</v>
      </c>
      <c r="H129" s="20">
        <v>1</v>
      </c>
      <c r="I129" s="17"/>
      <c r="J129" t="s">
        <v>19</v>
      </c>
      <c r="K129" s="11"/>
      <c r="L129" s="11"/>
      <c r="M129" s="11"/>
      <c r="N129" s="11"/>
      <c r="O129" s="11"/>
      <c r="P129" s="33"/>
      <c r="R129" s="10" t="s">
        <v>46</v>
      </c>
      <c r="S129" s="20">
        <v>1</v>
      </c>
      <c r="T129" s="17" t="s">
        <v>39</v>
      </c>
      <c r="W129" s="13"/>
      <c r="AC129" s="13" t="s">
        <v>33</v>
      </c>
      <c r="AD129" s="22">
        <v>0</v>
      </c>
      <c r="AE129" s="19"/>
      <c r="AF129" s="16"/>
    </row>
    <row r="130" spans="1:32" x14ac:dyDescent="0.2">
      <c r="A130">
        <v>77</v>
      </c>
      <c r="B130" s="1">
        <v>46193</v>
      </c>
      <c r="C130" s="2">
        <v>0.83554398148148146</v>
      </c>
      <c r="D130" t="s">
        <v>21</v>
      </c>
      <c r="E130" s="10" t="s">
        <v>37</v>
      </c>
      <c r="F130" s="11">
        <v>72.333362961000006</v>
      </c>
      <c r="G130" s="4">
        <v>2178.93604</v>
      </c>
      <c r="H130" s="20">
        <v>1</v>
      </c>
      <c r="I130" s="17"/>
      <c r="J130" t="s">
        <v>19</v>
      </c>
      <c r="K130" s="11"/>
      <c r="L130" s="11"/>
      <c r="M130" s="11"/>
      <c r="N130" s="11"/>
      <c r="O130" s="11"/>
      <c r="P130" s="33"/>
      <c r="R130" s="10" t="s">
        <v>46</v>
      </c>
      <c r="S130" s="20">
        <v>1</v>
      </c>
      <c r="T130" s="17" t="s">
        <v>39</v>
      </c>
      <c r="W130" s="13"/>
      <c r="AC130" s="13" t="s">
        <v>33</v>
      </c>
      <c r="AD130" s="22">
        <v>0</v>
      </c>
      <c r="AE130" s="19"/>
      <c r="AF130" s="16"/>
    </row>
    <row r="131" spans="1:32" x14ac:dyDescent="0.2">
      <c r="A131">
        <v>78</v>
      </c>
      <c r="B131" s="1">
        <v>46193</v>
      </c>
      <c r="C131" s="2">
        <v>0.83572916666666663</v>
      </c>
      <c r="D131" t="s">
        <v>21</v>
      </c>
      <c r="E131" s="10" t="s">
        <v>37</v>
      </c>
      <c r="F131" s="11">
        <v>73.349679713</v>
      </c>
      <c r="G131" s="4">
        <v>1056.3493699999999</v>
      </c>
      <c r="H131" s="20">
        <v>1</v>
      </c>
      <c r="I131" s="17" t="s">
        <v>255</v>
      </c>
      <c r="J131" t="s">
        <v>19</v>
      </c>
      <c r="K131" s="11">
        <v>69.604063702000005</v>
      </c>
      <c r="L131" s="11">
        <v>-26.421028100000001</v>
      </c>
      <c r="M131" s="11">
        <v>-43.215694399999997</v>
      </c>
      <c r="N131" s="11">
        <v>63.328911292000001</v>
      </c>
      <c r="O131" s="11">
        <v>7</v>
      </c>
      <c r="P131" s="33">
        <v>0.74778121900000005</v>
      </c>
      <c r="R131" s="10" t="s">
        <v>46</v>
      </c>
      <c r="S131" s="20">
        <v>0</v>
      </c>
      <c r="T131" s="17"/>
      <c r="W131" s="13"/>
      <c r="AC131" s="13" t="s">
        <v>33</v>
      </c>
      <c r="AD131" s="22">
        <v>1</v>
      </c>
      <c r="AE131" s="19" t="s">
        <v>38</v>
      </c>
      <c r="AF131" s="16"/>
    </row>
    <row r="132" spans="1:32" s="114" customFormat="1" x14ac:dyDescent="0.2">
      <c r="A132" s="114">
        <v>333</v>
      </c>
      <c r="B132" s="108">
        <v>46200</v>
      </c>
      <c r="C132" s="109">
        <v>0.74565972222222221</v>
      </c>
      <c r="D132" s="107" t="s">
        <v>21</v>
      </c>
      <c r="E132" s="110" t="s">
        <v>33</v>
      </c>
      <c r="F132" s="111">
        <v>82.067794399999997</v>
      </c>
      <c r="G132" s="228">
        <v>2075.41284</v>
      </c>
      <c r="H132" s="113">
        <v>1</v>
      </c>
      <c r="I132" s="112" t="s">
        <v>255</v>
      </c>
      <c r="J132" s="107" t="s">
        <v>19</v>
      </c>
      <c r="K132" s="111">
        <v>92.905001100000007</v>
      </c>
      <c r="L132" s="111">
        <v>32.331512500000002</v>
      </c>
      <c r="M132" s="111">
        <v>19.357580200000001</v>
      </c>
      <c r="N132" s="111">
        <v>62.205063199999998</v>
      </c>
      <c r="O132" s="111">
        <v>353</v>
      </c>
      <c r="P132" s="230">
        <v>0.98375358999999996</v>
      </c>
      <c r="R132" s="110" t="s">
        <v>35</v>
      </c>
      <c r="S132" s="113">
        <v>1</v>
      </c>
      <c r="T132" s="112" t="s">
        <v>38</v>
      </c>
      <c r="W132" s="110"/>
      <c r="AC132" s="110" t="s">
        <v>33</v>
      </c>
      <c r="AD132" s="113">
        <v>1</v>
      </c>
      <c r="AE132" s="112" t="s">
        <v>38</v>
      </c>
      <c r="AF132" s="111"/>
    </row>
    <row r="133" spans="1:32" x14ac:dyDescent="0.2">
      <c r="A133">
        <v>334</v>
      </c>
      <c r="B133" s="8">
        <v>46200</v>
      </c>
      <c r="C133" s="9">
        <v>0.74608796296296298</v>
      </c>
      <c r="D133" s="7" t="s">
        <v>21</v>
      </c>
      <c r="E133" s="13" t="s">
        <v>37</v>
      </c>
      <c r="F133" s="16">
        <v>72.793876100000006</v>
      </c>
      <c r="G133" s="129">
        <v>2197.5895999999998</v>
      </c>
      <c r="H133" s="22">
        <v>0</v>
      </c>
      <c r="I133" s="19"/>
      <c r="J133" s="7" t="s">
        <v>22</v>
      </c>
      <c r="K133" s="16"/>
      <c r="L133" s="16"/>
      <c r="M133" s="16"/>
      <c r="N133" s="16"/>
      <c r="O133" s="16"/>
      <c r="P133" s="175"/>
      <c r="R133" s="13" t="s">
        <v>35</v>
      </c>
      <c r="S133" s="22">
        <v>1</v>
      </c>
      <c r="T133" s="19" t="s">
        <v>45</v>
      </c>
      <c r="W133" s="13"/>
      <c r="AC133" s="13" t="s">
        <v>33</v>
      </c>
      <c r="AD133" s="22">
        <v>1</v>
      </c>
      <c r="AE133" s="19" t="s">
        <v>38</v>
      </c>
      <c r="AF133" s="16">
        <v>66.8249517</v>
      </c>
    </row>
    <row r="134" spans="1:32" x14ac:dyDescent="0.2">
      <c r="A134">
        <v>335</v>
      </c>
      <c r="B134" s="8">
        <v>46200</v>
      </c>
      <c r="C134" s="9">
        <v>0.74631944444444442</v>
      </c>
      <c r="D134" s="7" t="s">
        <v>21</v>
      </c>
      <c r="E134" s="13" t="s">
        <v>33</v>
      </c>
      <c r="F134" s="16">
        <v>82.7029912</v>
      </c>
      <c r="G134" s="129">
        <v>2163.2907700000001</v>
      </c>
      <c r="H134" s="22">
        <v>0</v>
      </c>
      <c r="I134" s="19"/>
      <c r="J134" s="7" t="s">
        <v>22</v>
      </c>
      <c r="K134" s="16"/>
      <c r="L134" s="16"/>
      <c r="M134" s="16"/>
      <c r="N134" s="16"/>
      <c r="O134" s="16"/>
      <c r="P134" s="175"/>
      <c r="R134" s="13" t="s">
        <v>35</v>
      </c>
      <c r="S134" s="22">
        <v>1</v>
      </c>
      <c r="T134" s="19" t="s">
        <v>38</v>
      </c>
      <c r="W134" s="13"/>
      <c r="AC134" s="13" t="s">
        <v>33</v>
      </c>
      <c r="AD134" s="22">
        <v>1</v>
      </c>
      <c r="AE134" s="19" t="s">
        <v>38</v>
      </c>
      <c r="AF134" s="16"/>
    </row>
    <row r="135" spans="1:32" x14ac:dyDescent="0.2">
      <c r="A135">
        <v>336</v>
      </c>
      <c r="B135" s="8">
        <v>46200</v>
      </c>
      <c r="C135" s="9">
        <v>0.74652777777777779</v>
      </c>
      <c r="D135" s="7" t="s">
        <v>21</v>
      </c>
      <c r="E135" s="13" t="s">
        <v>33</v>
      </c>
      <c r="F135" s="16">
        <v>83.147632299999998</v>
      </c>
      <c r="G135" s="129">
        <v>2063.4147899999998</v>
      </c>
      <c r="H135" s="22">
        <v>1</v>
      </c>
      <c r="I135" s="19"/>
      <c r="J135" s="7" t="s">
        <v>22</v>
      </c>
      <c r="K135" s="16"/>
      <c r="L135" s="16"/>
      <c r="M135" s="16"/>
      <c r="N135" s="16"/>
      <c r="O135" s="16"/>
      <c r="P135" s="175"/>
      <c r="R135" s="13" t="s">
        <v>33</v>
      </c>
      <c r="S135" s="22">
        <v>1</v>
      </c>
      <c r="T135" s="19" t="s">
        <v>255</v>
      </c>
      <c r="W135" s="13"/>
      <c r="AC135" s="13" t="s">
        <v>33</v>
      </c>
      <c r="AD135" s="22">
        <v>1</v>
      </c>
      <c r="AE135" s="19" t="s">
        <v>38</v>
      </c>
      <c r="AF135" s="16"/>
    </row>
    <row r="136" spans="1:32" x14ac:dyDescent="0.2">
      <c r="A136">
        <v>337</v>
      </c>
      <c r="B136" s="8">
        <v>46200</v>
      </c>
      <c r="C136" s="9">
        <v>0.74673611111111116</v>
      </c>
      <c r="D136" s="7" t="s">
        <v>21</v>
      </c>
      <c r="E136" s="13" t="s">
        <v>37</v>
      </c>
      <c r="F136" s="16">
        <v>73.556115599999998</v>
      </c>
      <c r="G136" s="129">
        <v>774.15527299999997</v>
      </c>
      <c r="H136" s="22">
        <v>1</v>
      </c>
      <c r="I136" s="19" t="s">
        <v>39</v>
      </c>
      <c r="J136" s="7" t="s">
        <v>22</v>
      </c>
      <c r="K136" s="16"/>
      <c r="L136" s="16"/>
      <c r="M136" s="16"/>
      <c r="N136" s="16">
        <v>60.238323399999999</v>
      </c>
      <c r="O136" s="16"/>
      <c r="P136" s="175"/>
      <c r="R136" s="13" t="s">
        <v>33</v>
      </c>
      <c r="S136" s="22">
        <v>0</v>
      </c>
      <c r="T136" s="19"/>
      <c r="W136" s="13"/>
      <c r="AC136" s="13" t="s">
        <v>33</v>
      </c>
      <c r="AD136" s="22">
        <v>1</v>
      </c>
      <c r="AE136" s="19" t="s">
        <v>45</v>
      </c>
      <c r="AF136" s="16"/>
    </row>
    <row r="137" spans="1:32" x14ac:dyDescent="0.2">
      <c r="A137">
        <v>338</v>
      </c>
      <c r="B137" s="8">
        <v>46200</v>
      </c>
      <c r="C137" s="9">
        <v>0.74697916666666664</v>
      </c>
      <c r="D137" s="7" t="s">
        <v>21</v>
      </c>
      <c r="E137" s="13" t="s">
        <v>37</v>
      </c>
      <c r="F137" s="16">
        <v>74.048397600000001</v>
      </c>
      <c r="G137" s="129">
        <v>742.75006099999996</v>
      </c>
      <c r="H137" s="22">
        <v>1</v>
      </c>
      <c r="I137" s="19" t="s">
        <v>255</v>
      </c>
      <c r="J137" s="7" t="s">
        <v>22</v>
      </c>
      <c r="K137" s="16">
        <v>63.281769400000002</v>
      </c>
      <c r="L137" s="16">
        <v>-21.109677999999999</v>
      </c>
      <c r="M137" s="16">
        <v>-28.946097999999999</v>
      </c>
      <c r="N137" s="16">
        <v>57.822048600000002</v>
      </c>
      <c r="O137" s="16">
        <v>5</v>
      </c>
      <c r="P137" s="177">
        <v>0.72928641999999999</v>
      </c>
      <c r="R137" s="13" t="s">
        <v>33</v>
      </c>
      <c r="S137" s="22">
        <v>1</v>
      </c>
      <c r="T137" s="19"/>
      <c r="W137" s="13"/>
      <c r="AC137" s="13" t="s">
        <v>33</v>
      </c>
      <c r="AD137" s="22">
        <v>1</v>
      </c>
      <c r="AE137" s="19" t="s">
        <v>38</v>
      </c>
      <c r="AF137" s="16">
        <v>51.356886899999999</v>
      </c>
    </row>
    <row r="138" spans="1:32" x14ac:dyDescent="0.2">
      <c r="A138">
        <v>339</v>
      </c>
      <c r="B138" s="8">
        <v>46200</v>
      </c>
      <c r="C138" s="9">
        <v>0.7474305555555556</v>
      </c>
      <c r="D138" s="7" t="s">
        <v>21</v>
      </c>
      <c r="E138" s="13" t="s">
        <v>33</v>
      </c>
      <c r="F138" s="16">
        <v>83.846350700000002</v>
      </c>
      <c r="G138" s="129">
        <v>2139.20435</v>
      </c>
      <c r="H138" s="22">
        <v>1</v>
      </c>
      <c r="I138" s="19" t="s">
        <v>38</v>
      </c>
      <c r="J138" s="7" t="s">
        <v>23</v>
      </c>
      <c r="K138" s="16"/>
      <c r="L138" s="16"/>
      <c r="M138" s="16"/>
      <c r="N138" s="16">
        <v>60.182132199999998</v>
      </c>
      <c r="O138" s="16"/>
      <c r="P138" s="175"/>
      <c r="R138" s="13" t="s">
        <v>33</v>
      </c>
      <c r="S138" s="22">
        <v>1</v>
      </c>
      <c r="T138" s="19" t="s">
        <v>38</v>
      </c>
      <c r="W138" s="13"/>
      <c r="AC138" s="13" t="s">
        <v>33</v>
      </c>
      <c r="AD138" s="22">
        <v>0</v>
      </c>
      <c r="AE138" s="19"/>
      <c r="AF138" s="16"/>
    </row>
    <row r="139" spans="1:32" x14ac:dyDescent="0.2">
      <c r="A139">
        <v>340</v>
      </c>
      <c r="B139" s="8">
        <v>46200</v>
      </c>
      <c r="C139" s="9">
        <v>0.74768518518518523</v>
      </c>
      <c r="D139" s="7" t="s">
        <v>21</v>
      </c>
      <c r="E139" s="13" t="s">
        <v>37</v>
      </c>
      <c r="F139" s="16">
        <v>74.826517800000005</v>
      </c>
      <c r="G139" s="129">
        <v>425.22851600000001</v>
      </c>
      <c r="H139" s="22">
        <v>1</v>
      </c>
      <c r="I139" s="19" t="s">
        <v>39</v>
      </c>
      <c r="J139" s="7" t="s">
        <v>23</v>
      </c>
      <c r="K139" s="16"/>
      <c r="L139" s="16"/>
      <c r="M139" s="16"/>
      <c r="N139" s="16">
        <v>41.357656599999999</v>
      </c>
      <c r="O139" s="16"/>
      <c r="P139" s="175"/>
      <c r="R139" s="13" t="s">
        <v>33</v>
      </c>
      <c r="S139" s="22">
        <v>1</v>
      </c>
      <c r="T139" s="19" t="s">
        <v>255</v>
      </c>
      <c r="W139" s="13"/>
      <c r="AC139" s="13" t="s">
        <v>33</v>
      </c>
      <c r="AD139" s="22">
        <v>1</v>
      </c>
      <c r="AE139" s="19"/>
      <c r="AF139" s="16"/>
    </row>
    <row r="140" spans="1:32" x14ac:dyDescent="0.2">
      <c r="A140">
        <v>341</v>
      </c>
      <c r="B140" s="8">
        <v>46200</v>
      </c>
      <c r="C140" s="9">
        <v>0.74789351851851849</v>
      </c>
      <c r="D140" s="7" t="s">
        <v>21</v>
      </c>
      <c r="E140" s="13" t="s">
        <v>37</v>
      </c>
      <c r="F140" s="16">
        <v>72.603320400000001</v>
      </c>
      <c r="G140" s="129">
        <v>2266.43091</v>
      </c>
      <c r="H140" s="169">
        <v>1</v>
      </c>
      <c r="I140" s="170" t="s">
        <v>45</v>
      </c>
      <c r="J140" s="165" t="s">
        <v>23</v>
      </c>
      <c r="K140" s="16"/>
      <c r="L140" s="16"/>
      <c r="M140" s="16"/>
      <c r="N140" s="16">
        <v>55.181004299999998</v>
      </c>
      <c r="O140" s="16"/>
      <c r="P140" s="175"/>
      <c r="R140" s="13" t="s">
        <v>33</v>
      </c>
      <c r="S140" s="169">
        <v>1</v>
      </c>
      <c r="T140" s="170" t="s">
        <v>38</v>
      </c>
      <c r="W140" s="13"/>
      <c r="AC140" s="13" t="s">
        <v>33</v>
      </c>
      <c r="AD140" s="169">
        <v>0</v>
      </c>
      <c r="AE140" s="170"/>
      <c r="AF140" s="16"/>
    </row>
    <row r="141" spans="1:32" x14ac:dyDescent="0.2">
      <c r="A141">
        <v>371</v>
      </c>
      <c r="B141" s="8">
        <v>46200</v>
      </c>
      <c r="C141" s="9">
        <v>0.75819444444444439</v>
      </c>
      <c r="D141" s="7" t="s">
        <v>21</v>
      </c>
      <c r="E141" s="13" t="s">
        <v>37</v>
      </c>
      <c r="F141" s="16">
        <v>73.174995800000005</v>
      </c>
      <c r="G141" s="129">
        <v>2124.8356899999999</v>
      </c>
      <c r="H141" s="22">
        <v>1</v>
      </c>
      <c r="I141" s="19" t="s">
        <v>39</v>
      </c>
      <c r="J141" s="7" t="s">
        <v>22</v>
      </c>
      <c r="K141" s="16"/>
      <c r="L141" s="16"/>
      <c r="M141" s="16"/>
      <c r="N141" s="16">
        <v>61.896002099999997</v>
      </c>
      <c r="O141" s="16"/>
      <c r="P141" s="175"/>
      <c r="R141" s="13" t="s">
        <v>33</v>
      </c>
      <c r="S141" s="22">
        <v>1</v>
      </c>
      <c r="T141" s="19"/>
      <c r="W141" s="13"/>
      <c r="AC141" s="13" t="s">
        <v>33</v>
      </c>
      <c r="AD141" s="22">
        <v>0</v>
      </c>
      <c r="AE141" s="19"/>
      <c r="AF141" s="16"/>
    </row>
    <row r="142" spans="1:32" x14ac:dyDescent="0.2">
      <c r="A142">
        <v>372</v>
      </c>
      <c r="B142" s="8">
        <v>46200</v>
      </c>
      <c r="C142" s="9">
        <v>0.75843749999999999</v>
      </c>
      <c r="D142" s="7" t="s">
        <v>21</v>
      </c>
      <c r="E142" s="13" t="s">
        <v>46</v>
      </c>
      <c r="F142" s="16">
        <v>71.459960899999999</v>
      </c>
      <c r="G142" s="129">
        <v>322.40194700000001</v>
      </c>
      <c r="H142" s="22">
        <v>0</v>
      </c>
      <c r="I142" s="19"/>
      <c r="J142" s="7" t="s">
        <v>22</v>
      </c>
      <c r="K142" s="16"/>
      <c r="L142" s="16"/>
      <c r="M142" s="16"/>
      <c r="N142" s="16"/>
      <c r="O142" s="16"/>
      <c r="P142" s="175"/>
      <c r="R142" s="13" t="s">
        <v>33</v>
      </c>
      <c r="S142" s="22">
        <v>1</v>
      </c>
      <c r="T142" s="19"/>
      <c r="W142" s="13"/>
      <c r="AC142" s="13" t="s">
        <v>33</v>
      </c>
      <c r="AD142" s="22">
        <v>0</v>
      </c>
      <c r="AE142" s="19"/>
      <c r="AF142" s="16"/>
    </row>
    <row r="143" spans="1:32" x14ac:dyDescent="0.2">
      <c r="A143">
        <v>373</v>
      </c>
      <c r="B143" s="8">
        <v>46200</v>
      </c>
      <c r="C143" s="9">
        <v>0.75864583333333335</v>
      </c>
      <c r="D143" s="7" t="s">
        <v>21</v>
      </c>
      <c r="E143" s="13" t="s">
        <v>33</v>
      </c>
      <c r="F143" s="16">
        <v>81.226152799999994</v>
      </c>
      <c r="G143" s="129">
        <v>2018.83276</v>
      </c>
      <c r="H143" s="22">
        <v>1</v>
      </c>
      <c r="I143" s="19" t="s">
        <v>255</v>
      </c>
      <c r="J143" s="7" t="s">
        <v>22</v>
      </c>
      <c r="K143" s="16"/>
      <c r="L143" s="16"/>
      <c r="M143" s="16"/>
      <c r="N143" s="16">
        <v>65.492320800000002</v>
      </c>
      <c r="O143" s="16"/>
      <c r="P143" s="175"/>
      <c r="R143" s="13" t="s">
        <v>33</v>
      </c>
      <c r="S143" s="22">
        <v>0</v>
      </c>
      <c r="T143" s="19"/>
      <c r="W143" s="13"/>
      <c r="AC143" s="13" t="s">
        <v>33</v>
      </c>
      <c r="AD143" s="22">
        <v>1</v>
      </c>
      <c r="AE143" s="19" t="s">
        <v>38</v>
      </c>
      <c r="AF143" s="16"/>
    </row>
    <row r="144" spans="1:32" x14ac:dyDescent="0.2">
      <c r="A144">
        <v>374</v>
      </c>
      <c r="B144" s="8">
        <v>46200</v>
      </c>
      <c r="C144" s="9">
        <v>0.75900462962962967</v>
      </c>
      <c r="D144" s="7" t="s">
        <v>21</v>
      </c>
      <c r="E144" s="13" t="s">
        <v>37</v>
      </c>
      <c r="F144" s="16">
        <v>74.111919200000003</v>
      </c>
      <c r="G144" s="129">
        <v>2206.2072800000001</v>
      </c>
      <c r="H144" s="22">
        <v>1</v>
      </c>
      <c r="I144" s="19" t="s">
        <v>254</v>
      </c>
      <c r="J144" s="7" t="s">
        <v>24</v>
      </c>
      <c r="K144" s="16">
        <v>84.570241999999993</v>
      </c>
      <c r="L144" s="16">
        <v>29.893549</v>
      </c>
      <c r="M144" s="16">
        <v>-12.638973</v>
      </c>
      <c r="N144" s="16">
        <v>65.632803300000006</v>
      </c>
      <c r="O144" s="16">
        <v>291</v>
      </c>
      <c r="P144" s="175">
        <v>0.87633079000000003</v>
      </c>
      <c r="R144" s="13" t="s">
        <v>33</v>
      </c>
      <c r="S144" s="22">
        <v>0</v>
      </c>
      <c r="T144" s="19"/>
      <c r="W144" s="13"/>
      <c r="AC144" s="13" t="s">
        <v>33</v>
      </c>
      <c r="AD144" s="22">
        <v>1</v>
      </c>
      <c r="AE144" s="19" t="s">
        <v>255</v>
      </c>
      <c r="AF144" s="16">
        <v>48.9620435</v>
      </c>
    </row>
    <row r="145" spans="1:32" x14ac:dyDescent="0.2">
      <c r="A145">
        <v>375</v>
      </c>
      <c r="B145" s="8">
        <v>46200</v>
      </c>
      <c r="C145" s="9">
        <v>0.75962962962962965</v>
      </c>
      <c r="D145" s="7" t="s">
        <v>21</v>
      </c>
      <c r="E145" s="13" t="s">
        <v>46</v>
      </c>
      <c r="F145" s="16">
        <v>72.412756099999996</v>
      </c>
      <c r="G145" s="129">
        <v>476.379211</v>
      </c>
      <c r="H145" s="22">
        <v>1</v>
      </c>
      <c r="I145" s="19"/>
      <c r="J145" s="7" t="s">
        <v>23</v>
      </c>
      <c r="K145" s="16"/>
      <c r="L145" s="16"/>
      <c r="M145" s="16"/>
      <c r="N145" s="16"/>
      <c r="O145" s="16"/>
      <c r="P145" s="175"/>
      <c r="R145" s="13" t="s">
        <v>33</v>
      </c>
      <c r="S145" s="22">
        <v>1</v>
      </c>
      <c r="T145" s="19" t="s">
        <v>38</v>
      </c>
      <c r="W145" s="13"/>
      <c r="AC145" s="13" t="s">
        <v>33</v>
      </c>
      <c r="AD145" s="22">
        <v>0</v>
      </c>
      <c r="AE145" s="19"/>
      <c r="AF145" s="16"/>
    </row>
    <row r="146" spans="1:32" x14ac:dyDescent="0.2">
      <c r="A146">
        <v>376</v>
      </c>
      <c r="B146" s="8">
        <v>46200</v>
      </c>
      <c r="C146" s="9">
        <v>0.75982638888888887</v>
      </c>
      <c r="D146" s="7" t="s">
        <v>21</v>
      </c>
      <c r="E146" s="13" t="s">
        <v>37</v>
      </c>
      <c r="F146" s="16">
        <v>74.874159000000006</v>
      </c>
      <c r="G146" s="129">
        <v>2258.3474099999999</v>
      </c>
      <c r="H146" s="22">
        <v>0</v>
      </c>
      <c r="I146" s="19"/>
      <c r="J146" s="7" t="s">
        <v>23</v>
      </c>
      <c r="K146" s="16"/>
      <c r="L146" s="16"/>
      <c r="M146" s="16"/>
      <c r="N146" s="16"/>
      <c r="O146" s="16"/>
      <c r="P146" s="175"/>
      <c r="R146" s="13" t="s">
        <v>33</v>
      </c>
      <c r="S146" s="22">
        <v>1</v>
      </c>
      <c r="T146" s="19" t="s">
        <v>38</v>
      </c>
      <c r="W146" s="13"/>
      <c r="AC146" s="13" t="s">
        <v>33</v>
      </c>
      <c r="AD146" s="22">
        <v>0</v>
      </c>
      <c r="AE146" s="19"/>
      <c r="AF146" s="16"/>
    </row>
    <row r="147" spans="1:32" x14ac:dyDescent="0.2">
      <c r="A147">
        <v>377</v>
      </c>
      <c r="B147" s="8">
        <v>46200</v>
      </c>
      <c r="C147" s="9">
        <v>0.76003472222222224</v>
      </c>
      <c r="D147" s="7" t="s">
        <v>21</v>
      </c>
      <c r="E147" s="13" t="s">
        <v>33</v>
      </c>
      <c r="F147" s="16">
        <v>83.766957300000001</v>
      </c>
      <c r="G147" s="129">
        <v>2154.4187000000002</v>
      </c>
      <c r="H147" s="22">
        <v>1</v>
      </c>
      <c r="I147" s="19" t="s">
        <v>38</v>
      </c>
      <c r="J147" s="7" t="s">
        <v>23</v>
      </c>
      <c r="K147" s="16"/>
      <c r="L147" s="16"/>
      <c r="M147" s="16"/>
      <c r="N147" s="16">
        <v>63.694163600000003</v>
      </c>
      <c r="O147" s="16"/>
      <c r="P147" s="175"/>
      <c r="R147" s="13" t="s">
        <v>33</v>
      </c>
      <c r="S147" s="22">
        <v>1</v>
      </c>
      <c r="T147" s="19" t="s">
        <v>38</v>
      </c>
      <c r="W147" s="13"/>
      <c r="AC147" s="13" t="s">
        <v>33</v>
      </c>
      <c r="AD147" s="22">
        <v>1</v>
      </c>
      <c r="AE147" s="19"/>
      <c r="AF147" s="16"/>
    </row>
    <row r="148" spans="1:32" x14ac:dyDescent="0.2">
      <c r="A148">
        <v>378</v>
      </c>
      <c r="B148" s="8">
        <v>46200</v>
      </c>
      <c r="C148" s="9">
        <v>0.76030092592592591</v>
      </c>
      <c r="D148" s="7" t="s">
        <v>21</v>
      </c>
      <c r="E148" s="13" t="s">
        <v>46</v>
      </c>
      <c r="F148" s="16">
        <v>72.476279000000005</v>
      </c>
      <c r="G148" s="129">
        <v>456.13092</v>
      </c>
      <c r="H148" s="22">
        <v>1</v>
      </c>
      <c r="I148" s="19" t="s">
        <v>255</v>
      </c>
      <c r="J148" s="7" t="s">
        <v>23</v>
      </c>
      <c r="K148" s="16">
        <v>86.379833500000004</v>
      </c>
      <c r="L148" s="16">
        <v>25.0311165</v>
      </c>
      <c r="M148" s="16">
        <v>6.7649469399999997</v>
      </c>
      <c r="N148" s="16">
        <v>60.519288799999998</v>
      </c>
      <c r="O148" s="16">
        <v>273</v>
      </c>
      <c r="P148" s="175">
        <v>0.96457923999999995</v>
      </c>
      <c r="R148" s="13" t="s">
        <v>33</v>
      </c>
      <c r="S148" s="22">
        <v>1</v>
      </c>
      <c r="T148" s="19" t="s">
        <v>38</v>
      </c>
      <c r="W148" s="13"/>
      <c r="AC148" s="13" t="s">
        <v>33</v>
      </c>
      <c r="AD148" s="22">
        <v>1</v>
      </c>
      <c r="AE148" s="19" t="s">
        <v>263</v>
      </c>
      <c r="AF148" s="16">
        <v>61.748752699999997</v>
      </c>
    </row>
    <row r="149" spans="1:32" x14ac:dyDescent="0.2">
      <c r="A149">
        <v>379</v>
      </c>
      <c r="B149" s="8">
        <v>46200</v>
      </c>
      <c r="C149" s="9">
        <v>0.76064814814814818</v>
      </c>
      <c r="D149" s="7" t="s">
        <v>21</v>
      </c>
      <c r="E149" s="13" t="s">
        <v>37</v>
      </c>
      <c r="F149" s="16">
        <v>74.127799699999997</v>
      </c>
      <c r="G149" s="129">
        <v>2181.72388</v>
      </c>
      <c r="H149" s="22">
        <v>0</v>
      </c>
      <c r="I149" s="19"/>
      <c r="J149" s="7" t="s">
        <v>20</v>
      </c>
      <c r="K149" s="16"/>
      <c r="L149" s="16"/>
      <c r="M149" s="16"/>
      <c r="N149" s="16"/>
      <c r="O149" s="16"/>
      <c r="P149" s="175"/>
      <c r="R149" s="13" t="s">
        <v>33</v>
      </c>
      <c r="S149" s="22">
        <v>1</v>
      </c>
      <c r="T149" s="19" t="s">
        <v>38</v>
      </c>
      <c r="W149" s="13"/>
      <c r="AC149" s="13" t="s">
        <v>33</v>
      </c>
      <c r="AD149" s="22">
        <v>1</v>
      </c>
      <c r="AE149" s="19"/>
      <c r="AF149" s="16"/>
    </row>
    <row r="150" spans="1:32" x14ac:dyDescent="0.2">
      <c r="A150">
        <v>380</v>
      </c>
      <c r="B150" s="8">
        <v>46200</v>
      </c>
      <c r="C150" s="9">
        <v>0.76085648148148144</v>
      </c>
      <c r="D150" s="7" t="s">
        <v>21</v>
      </c>
      <c r="E150" s="13" t="s">
        <v>46</v>
      </c>
      <c r="F150" s="16">
        <v>71.380559099999999</v>
      </c>
      <c r="G150" s="129">
        <v>476.70333900000003</v>
      </c>
      <c r="H150" s="22">
        <v>0</v>
      </c>
      <c r="I150" s="19"/>
      <c r="J150" s="7" t="s">
        <v>20</v>
      </c>
      <c r="K150" s="16"/>
      <c r="L150" s="16"/>
      <c r="M150" s="16"/>
      <c r="N150" s="16"/>
      <c r="O150" s="16"/>
      <c r="P150" s="175"/>
      <c r="R150" s="13" t="s">
        <v>33</v>
      </c>
      <c r="S150" s="22">
        <v>1</v>
      </c>
      <c r="T150" s="19" t="s">
        <v>45</v>
      </c>
      <c r="W150" s="13"/>
      <c r="AC150" s="13" t="s">
        <v>33</v>
      </c>
      <c r="AD150" s="22">
        <v>1</v>
      </c>
      <c r="AE150" s="19" t="s">
        <v>255</v>
      </c>
      <c r="AF150" s="16">
        <v>86.554013800000007</v>
      </c>
    </row>
    <row r="151" spans="1:32" x14ac:dyDescent="0.2">
      <c r="A151">
        <v>381</v>
      </c>
      <c r="B151" s="8">
        <v>46200</v>
      </c>
      <c r="C151" s="9">
        <v>0.76108796296296299</v>
      </c>
      <c r="D151" s="7" t="s">
        <v>21</v>
      </c>
      <c r="E151" s="13" t="s">
        <v>46</v>
      </c>
      <c r="F151" s="16">
        <v>74.064279900000002</v>
      </c>
      <c r="G151" s="129">
        <v>701.00518799999998</v>
      </c>
      <c r="H151" s="22">
        <v>1</v>
      </c>
      <c r="I151" s="19" t="s">
        <v>38</v>
      </c>
      <c r="J151" s="7" t="s">
        <v>20</v>
      </c>
      <c r="K151" s="16">
        <v>96.139958399999998</v>
      </c>
      <c r="L151" s="16">
        <v>13.672565499999999</v>
      </c>
      <c r="M151" s="16"/>
      <c r="N151" s="16">
        <v>69.116734899999997</v>
      </c>
      <c r="O151" s="16">
        <v>259</v>
      </c>
      <c r="P151" s="175">
        <v>0.96066176999999997</v>
      </c>
      <c r="R151" s="13" t="s">
        <v>33</v>
      </c>
      <c r="S151" s="22">
        <v>1</v>
      </c>
      <c r="T151" s="19" t="s">
        <v>38</v>
      </c>
      <c r="W151" s="13"/>
      <c r="AC151" s="13" t="s">
        <v>33</v>
      </c>
      <c r="AD151" s="22">
        <v>1</v>
      </c>
      <c r="AE151" s="19"/>
      <c r="AF151" s="16"/>
    </row>
    <row r="152" spans="1:32" x14ac:dyDescent="0.2">
      <c r="A152">
        <v>382</v>
      </c>
      <c r="B152" s="8">
        <v>46200</v>
      </c>
      <c r="C152" s="9">
        <v>0.76137731481481485</v>
      </c>
      <c r="D152" s="7" t="s">
        <v>21</v>
      </c>
      <c r="E152" s="13" t="s">
        <v>33</v>
      </c>
      <c r="F152" s="16">
        <v>83.782837799999996</v>
      </c>
      <c r="G152" s="129">
        <v>2165.5983900000001</v>
      </c>
      <c r="H152" s="22">
        <v>1</v>
      </c>
      <c r="I152" s="19"/>
      <c r="J152" s="7" t="s">
        <v>20</v>
      </c>
      <c r="K152" s="16"/>
      <c r="L152" s="16"/>
      <c r="M152" s="16"/>
      <c r="N152" s="16"/>
      <c r="O152" s="16"/>
      <c r="P152" s="175"/>
      <c r="R152" s="13" t="s">
        <v>33</v>
      </c>
      <c r="S152" s="22">
        <v>0</v>
      </c>
      <c r="T152" s="19"/>
      <c r="W152" s="13"/>
      <c r="AC152" s="13" t="s">
        <v>33</v>
      </c>
      <c r="AD152" s="22">
        <v>0</v>
      </c>
      <c r="AE152" s="19"/>
      <c r="AF152" s="16"/>
    </row>
    <row r="153" spans="1:32" x14ac:dyDescent="0.2">
      <c r="A153">
        <v>383</v>
      </c>
      <c r="B153" s="8">
        <v>46200</v>
      </c>
      <c r="C153" s="9">
        <v>0.76178240740740744</v>
      </c>
      <c r="D153" s="7" t="s">
        <v>21</v>
      </c>
      <c r="E153" s="13" t="s">
        <v>37</v>
      </c>
      <c r="F153" s="16">
        <v>75.398201700000001</v>
      </c>
      <c r="G153" s="129">
        <v>2340.3535200000001</v>
      </c>
      <c r="H153" s="22">
        <v>0</v>
      </c>
      <c r="I153" s="19"/>
      <c r="J153" s="7" t="s">
        <v>20</v>
      </c>
      <c r="K153" s="16"/>
      <c r="L153" s="16"/>
      <c r="M153" s="16"/>
      <c r="N153" s="16"/>
      <c r="O153" s="16"/>
      <c r="P153" s="175"/>
      <c r="R153" s="13" t="s">
        <v>33</v>
      </c>
      <c r="S153" s="22">
        <v>1</v>
      </c>
      <c r="T153" s="19"/>
      <c r="W153" s="13"/>
      <c r="AC153" s="13" t="s">
        <v>33</v>
      </c>
      <c r="AD153" s="22">
        <v>1</v>
      </c>
      <c r="AE153" s="19" t="s">
        <v>45</v>
      </c>
      <c r="AF153" s="16"/>
    </row>
    <row r="154" spans="1:32" x14ac:dyDescent="0.2">
      <c r="A154">
        <v>384</v>
      </c>
      <c r="B154" s="8">
        <v>46200</v>
      </c>
      <c r="C154" s="9">
        <v>0.76201388888888888</v>
      </c>
      <c r="D154" s="7" t="s">
        <v>21</v>
      </c>
      <c r="E154" s="13" t="s">
        <v>46</v>
      </c>
      <c r="F154" s="16">
        <v>74.000756699999997</v>
      </c>
      <c r="G154" s="129">
        <v>173.44059799999999</v>
      </c>
      <c r="H154" s="169">
        <v>1</v>
      </c>
      <c r="I154" s="170" t="s">
        <v>45</v>
      </c>
      <c r="J154" s="165" t="s">
        <v>20</v>
      </c>
      <c r="K154" s="16"/>
      <c r="L154" s="16"/>
      <c r="M154" s="16"/>
      <c r="N154" s="16">
        <v>66.194725399999996</v>
      </c>
      <c r="O154" s="16"/>
      <c r="P154" s="175"/>
      <c r="R154" s="13" t="s">
        <v>33</v>
      </c>
      <c r="S154" s="169">
        <v>0</v>
      </c>
      <c r="T154" s="170"/>
      <c r="W154" s="13"/>
      <c r="AC154" s="13" t="s">
        <v>33</v>
      </c>
      <c r="AD154" s="169">
        <v>1</v>
      </c>
      <c r="AE154" s="170" t="s">
        <v>38</v>
      </c>
      <c r="AF154" s="16"/>
    </row>
    <row r="155" spans="1:32" x14ac:dyDescent="0.2">
      <c r="A155">
        <v>411</v>
      </c>
      <c r="B155" s="8">
        <v>46200</v>
      </c>
      <c r="C155" s="9">
        <v>0.77238425925925924</v>
      </c>
      <c r="D155" s="7" t="s">
        <v>21</v>
      </c>
      <c r="E155" s="13" t="s">
        <v>33</v>
      </c>
      <c r="F155" s="16">
        <v>81.353195799999995</v>
      </c>
      <c r="G155" s="129">
        <v>2057.3383800000001</v>
      </c>
      <c r="H155" s="22">
        <v>1</v>
      </c>
      <c r="I155" s="19"/>
      <c r="J155" s="7" t="s">
        <v>22</v>
      </c>
      <c r="K155" s="16"/>
      <c r="L155" s="16"/>
      <c r="M155" s="16"/>
      <c r="N155" s="16"/>
      <c r="O155" s="16"/>
      <c r="P155" s="175"/>
      <c r="R155" s="13" t="s">
        <v>33</v>
      </c>
      <c r="S155" s="22">
        <v>0</v>
      </c>
      <c r="T155" s="19"/>
      <c r="W155" s="13"/>
      <c r="AC155" s="13" t="s">
        <v>33</v>
      </c>
      <c r="AD155" s="22">
        <v>1</v>
      </c>
      <c r="AE155" s="19" t="s">
        <v>39</v>
      </c>
      <c r="AF155" s="16"/>
    </row>
    <row r="156" spans="1:32" x14ac:dyDescent="0.2">
      <c r="A156">
        <v>412</v>
      </c>
      <c r="B156" s="8">
        <v>46200</v>
      </c>
      <c r="C156" s="9">
        <v>0.77252314814814815</v>
      </c>
      <c r="D156" s="7" t="s">
        <v>21</v>
      </c>
      <c r="E156" s="13" t="s">
        <v>37</v>
      </c>
      <c r="F156" s="16">
        <v>73.603756700000005</v>
      </c>
      <c r="G156" s="129">
        <v>2192.9355500000001</v>
      </c>
      <c r="H156" s="22">
        <v>1</v>
      </c>
      <c r="I156" s="19" t="s">
        <v>255</v>
      </c>
      <c r="J156" s="7" t="s">
        <v>22</v>
      </c>
      <c r="K156" s="16"/>
      <c r="L156" s="16"/>
      <c r="M156" s="16"/>
      <c r="N156" s="16">
        <v>58.215396599999998</v>
      </c>
      <c r="O156" s="16"/>
      <c r="P156" s="175"/>
      <c r="R156" s="13" t="s">
        <v>33</v>
      </c>
      <c r="S156" s="22">
        <v>0</v>
      </c>
      <c r="T156" s="19"/>
      <c r="W156" s="13"/>
      <c r="AC156" s="13" t="s">
        <v>33</v>
      </c>
      <c r="AD156" s="22">
        <v>1</v>
      </c>
      <c r="AE156" s="19" t="s">
        <v>255</v>
      </c>
      <c r="AF156" s="16">
        <v>70.052911600000002</v>
      </c>
    </row>
    <row r="157" spans="1:32" x14ac:dyDescent="0.2">
      <c r="A157">
        <v>413</v>
      </c>
      <c r="B157" s="8">
        <v>46200</v>
      </c>
      <c r="C157" s="9">
        <v>0.77288194444444447</v>
      </c>
      <c r="D157" s="7" t="s">
        <v>21</v>
      </c>
      <c r="E157" s="13" t="s">
        <v>37</v>
      </c>
      <c r="F157" s="16">
        <v>72.349243200000004</v>
      </c>
      <c r="G157" s="129">
        <v>1052.58105</v>
      </c>
      <c r="H157" s="22">
        <v>1</v>
      </c>
      <c r="I157" s="19"/>
      <c r="J157" s="7" t="s">
        <v>20</v>
      </c>
      <c r="K157" s="16"/>
      <c r="L157" s="16"/>
      <c r="M157" s="16"/>
      <c r="N157" s="16"/>
      <c r="O157" s="16"/>
      <c r="P157" s="175"/>
      <c r="R157" s="13" t="s">
        <v>33</v>
      </c>
      <c r="S157" s="22">
        <v>1</v>
      </c>
      <c r="T157" s="19" t="s">
        <v>38</v>
      </c>
      <c r="W157" s="13"/>
      <c r="AC157" s="13" t="s">
        <v>33</v>
      </c>
      <c r="AD157" s="22">
        <v>0</v>
      </c>
      <c r="AE157" s="19"/>
      <c r="AF157" s="16"/>
    </row>
    <row r="158" spans="1:32" x14ac:dyDescent="0.2">
      <c r="A158">
        <v>414</v>
      </c>
      <c r="B158" s="8">
        <v>46200</v>
      </c>
      <c r="C158" s="9">
        <v>0.77305555555555561</v>
      </c>
      <c r="D158" s="7" t="s">
        <v>21</v>
      </c>
      <c r="E158" s="13" t="s">
        <v>35</v>
      </c>
      <c r="F158" s="16">
        <v>71.332922400000001</v>
      </c>
      <c r="G158" s="129">
        <v>1828.59</v>
      </c>
      <c r="H158" s="22">
        <v>1</v>
      </c>
      <c r="I158" s="19" t="s">
        <v>38</v>
      </c>
      <c r="J158" s="7" t="s">
        <v>20</v>
      </c>
      <c r="K158" s="16"/>
      <c r="L158" s="16"/>
      <c r="M158" s="16"/>
      <c r="N158" s="16">
        <v>70.100104700000003</v>
      </c>
      <c r="O158" s="16"/>
      <c r="P158" s="175"/>
      <c r="R158" s="13" t="s">
        <v>33</v>
      </c>
      <c r="S158" s="22">
        <v>1</v>
      </c>
      <c r="T158" s="19" t="s">
        <v>255</v>
      </c>
      <c r="W158" s="13"/>
      <c r="AC158" s="13" t="s">
        <v>33</v>
      </c>
      <c r="AD158" s="22">
        <v>1</v>
      </c>
      <c r="AE158" s="19" t="s">
        <v>255</v>
      </c>
      <c r="AF158" s="16">
        <v>91.0002894</v>
      </c>
    </row>
    <row r="159" spans="1:32" x14ac:dyDescent="0.2">
      <c r="A159">
        <v>415</v>
      </c>
      <c r="B159" s="8">
        <v>46200</v>
      </c>
      <c r="C159" s="9">
        <v>0.77334490740740736</v>
      </c>
      <c r="D159" s="7" t="s">
        <v>21</v>
      </c>
      <c r="E159" s="13" t="s">
        <v>33</v>
      </c>
      <c r="F159" s="16">
        <v>83.592273399999996</v>
      </c>
      <c r="G159" s="129">
        <v>1070.896</v>
      </c>
      <c r="H159" s="22">
        <v>0</v>
      </c>
      <c r="I159" s="19"/>
      <c r="J159" s="7" t="s">
        <v>20</v>
      </c>
      <c r="K159" s="16"/>
      <c r="L159" s="16"/>
      <c r="M159" s="16"/>
      <c r="N159" s="16"/>
      <c r="O159" s="16"/>
      <c r="P159" s="175"/>
      <c r="R159" s="13" t="s">
        <v>37</v>
      </c>
      <c r="S159" s="22">
        <v>0</v>
      </c>
      <c r="T159" s="19"/>
      <c r="W159" s="13"/>
      <c r="AC159" s="13" t="s">
        <v>33</v>
      </c>
      <c r="AD159" s="22">
        <v>1</v>
      </c>
      <c r="AE159" s="19" t="s">
        <v>38</v>
      </c>
      <c r="AF159" s="16"/>
    </row>
    <row r="160" spans="1:32" x14ac:dyDescent="0.2">
      <c r="A160">
        <v>416</v>
      </c>
      <c r="B160" s="8">
        <v>46200</v>
      </c>
      <c r="C160" s="9">
        <v>0.77351851851851849</v>
      </c>
      <c r="D160" s="7" t="s">
        <v>21</v>
      </c>
      <c r="E160" s="13" t="s">
        <v>35</v>
      </c>
      <c r="F160" s="16">
        <v>74.890039200000004</v>
      </c>
      <c r="G160" s="129">
        <v>2139.8146999999999</v>
      </c>
      <c r="H160" s="22">
        <v>1</v>
      </c>
      <c r="I160" s="19" t="s">
        <v>45</v>
      </c>
      <c r="J160" s="7" t="s">
        <v>20</v>
      </c>
      <c r="K160" s="16"/>
      <c r="L160" s="16"/>
      <c r="M160" s="16"/>
      <c r="N160" s="16">
        <v>63.947028799999998</v>
      </c>
      <c r="O160" s="16"/>
      <c r="P160" s="175"/>
      <c r="R160" s="13" t="s">
        <v>37</v>
      </c>
      <c r="S160" s="22">
        <v>1</v>
      </c>
      <c r="T160" s="19" t="s">
        <v>39</v>
      </c>
      <c r="W160" s="13"/>
      <c r="AC160" s="13" t="s">
        <v>33</v>
      </c>
      <c r="AD160" s="22">
        <v>1</v>
      </c>
      <c r="AE160" s="19"/>
      <c r="AF160" s="16"/>
    </row>
    <row r="161" spans="1:32" x14ac:dyDescent="0.2">
      <c r="A161">
        <v>417</v>
      </c>
      <c r="B161" s="8">
        <v>46200</v>
      </c>
      <c r="C161" s="9">
        <v>0.77384259259259258</v>
      </c>
      <c r="D161" s="7" t="s">
        <v>21</v>
      </c>
      <c r="E161" s="13" t="s">
        <v>46</v>
      </c>
      <c r="F161" s="16">
        <v>72.349243200000004</v>
      </c>
      <c r="G161" s="129">
        <v>452.31091300000003</v>
      </c>
      <c r="H161" s="22">
        <v>1</v>
      </c>
      <c r="I161" s="19" t="s">
        <v>254</v>
      </c>
      <c r="J161" s="7" t="s">
        <v>27</v>
      </c>
      <c r="K161" s="16">
        <v>100.35252800000001</v>
      </c>
      <c r="L161" s="16">
        <v>14.174640699999999</v>
      </c>
      <c r="M161" s="16">
        <v>-32.348053</v>
      </c>
      <c r="N161" s="16">
        <v>71.982553199999998</v>
      </c>
      <c r="O161" s="16">
        <v>246</v>
      </c>
      <c r="P161" s="175">
        <v>0.97411742999999995</v>
      </c>
      <c r="R161" s="13" t="s">
        <v>37</v>
      </c>
      <c r="S161" s="22">
        <v>1</v>
      </c>
      <c r="T161" s="19" t="s">
        <v>255</v>
      </c>
      <c r="W161" s="13"/>
      <c r="AC161" s="13" t="s">
        <v>33</v>
      </c>
      <c r="AD161" s="22">
        <v>1</v>
      </c>
      <c r="AE161" s="19" t="s">
        <v>255</v>
      </c>
      <c r="AF161" s="16">
        <v>46.679646699999999</v>
      </c>
    </row>
    <row r="162" spans="1:32" x14ac:dyDescent="0.2">
      <c r="A162">
        <v>418</v>
      </c>
      <c r="B162" s="8">
        <v>46200</v>
      </c>
      <c r="C162" s="9">
        <v>0.77422453703703709</v>
      </c>
      <c r="D162" s="7" t="s">
        <v>21</v>
      </c>
      <c r="E162" s="13" t="s">
        <v>33</v>
      </c>
      <c r="F162" s="16">
        <v>83.385837600000002</v>
      </c>
      <c r="G162" s="129">
        <v>2164.9611799999998</v>
      </c>
      <c r="H162" s="22">
        <v>0</v>
      </c>
      <c r="I162" s="19"/>
      <c r="J162" s="7" t="s">
        <v>29</v>
      </c>
      <c r="K162" s="16"/>
      <c r="L162" s="16"/>
      <c r="M162" s="16"/>
      <c r="N162" s="16"/>
      <c r="O162" s="16"/>
      <c r="P162" s="175"/>
      <c r="R162" s="13" t="s">
        <v>37</v>
      </c>
      <c r="S162" s="22">
        <v>1</v>
      </c>
      <c r="T162" s="19" t="s">
        <v>39</v>
      </c>
      <c r="W162" s="13"/>
      <c r="AC162" s="13" t="s">
        <v>33</v>
      </c>
      <c r="AD162" s="22">
        <v>1</v>
      </c>
      <c r="AE162" s="19" t="s">
        <v>254</v>
      </c>
      <c r="AF162" s="16">
        <v>84.886483400000003</v>
      </c>
    </row>
    <row r="163" spans="1:32" x14ac:dyDescent="0.2">
      <c r="A163">
        <v>419</v>
      </c>
      <c r="B163" s="8">
        <v>46200</v>
      </c>
      <c r="C163" s="9">
        <v>0.77440972222222226</v>
      </c>
      <c r="D163" s="7" t="s">
        <v>21</v>
      </c>
      <c r="E163" s="13" t="s">
        <v>33</v>
      </c>
      <c r="F163" s="16">
        <v>84.211590000000001</v>
      </c>
      <c r="G163" s="129">
        <v>2213.7905300000002</v>
      </c>
      <c r="H163" s="22">
        <v>1</v>
      </c>
      <c r="I163" s="19" t="s">
        <v>38</v>
      </c>
      <c r="J163" s="7" t="s">
        <v>29</v>
      </c>
      <c r="K163" s="16"/>
      <c r="L163" s="16"/>
      <c r="M163" s="16"/>
      <c r="N163" s="16">
        <v>60.294519000000001</v>
      </c>
      <c r="O163" s="16"/>
      <c r="P163" s="175"/>
      <c r="R163" s="13" t="s">
        <v>37</v>
      </c>
      <c r="S163" s="22">
        <v>1</v>
      </c>
      <c r="T163" s="19" t="s">
        <v>45</v>
      </c>
      <c r="W163" s="13"/>
      <c r="AC163" s="13" t="s">
        <v>33</v>
      </c>
      <c r="AD163" s="22">
        <v>0</v>
      </c>
      <c r="AE163" s="19"/>
      <c r="AF163" s="16"/>
    </row>
    <row r="164" spans="1:32" x14ac:dyDescent="0.2">
      <c r="A164">
        <v>420</v>
      </c>
      <c r="B164" s="8">
        <v>46200</v>
      </c>
      <c r="C164" s="9">
        <v>0.77471064814814816</v>
      </c>
      <c r="D164" s="7" t="s">
        <v>21</v>
      </c>
      <c r="E164" s="13" t="s">
        <v>35</v>
      </c>
      <c r="F164" s="16">
        <v>75.398201700000001</v>
      </c>
      <c r="G164" s="129">
        <v>2234.5053699999999</v>
      </c>
      <c r="H164" s="22">
        <v>1</v>
      </c>
      <c r="I164" s="19" t="s">
        <v>38</v>
      </c>
      <c r="J164" s="7" t="s">
        <v>29</v>
      </c>
      <c r="K164" s="16">
        <v>60.849678400000002</v>
      </c>
      <c r="L164" s="16">
        <v>-36.341155999999998</v>
      </c>
      <c r="M164" s="16"/>
      <c r="N164" s="16">
        <v>64.789916199999993</v>
      </c>
      <c r="O164" s="16">
        <v>5</v>
      </c>
      <c r="P164" s="175">
        <v>0.63487022000000004</v>
      </c>
      <c r="R164" s="13" t="s">
        <v>37</v>
      </c>
      <c r="S164" s="22">
        <v>1</v>
      </c>
      <c r="T164" s="19" t="s">
        <v>39</v>
      </c>
      <c r="W164" s="13"/>
      <c r="AC164" s="13" t="s">
        <v>33</v>
      </c>
      <c r="AD164" s="22">
        <v>0</v>
      </c>
      <c r="AE164" s="19"/>
      <c r="AF164" s="16"/>
    </row>
    <row r="165" spans="1:32" x14ac:dyDescent="0.2">
      <c r="A165">
        <v>421</v>
      </c>
      <c r="B165" s="8">
        <v>46200</v>
      </c>
      <c r="C165" s="9">
        <v>0.77509259259259256</v>
      </c>
      <c r="D165" s="7" t="s">
        <v>21</v>
      </c>
      <c r="E165" s="13" t="s">
        <v>46</v>
      </c>
      <c r="F165" s="16">
        <v>75.334680300000002</v>
      </c>
      <c r="G165" s="129">
        <v>770.50109899999995</v>
      </c>
      <c r="H165" s="22">
        <v>0</v>
      </c>
      <c r="I165" s="19"/>
      <c r="J165" s="7" t="s">
        <v>29</v>
      </c>
      <c r="K165" s="16"/>
      <c r="L165" s="16"/>
      <c r="M165" s="16"/>
      <c r="N165" s="16"/>
      <c r="O165" s="16"/>
      <c r="P165" s="175"/>
      <c r="R165" s="13" t="s">
        <v>37</v>
      </c>
      <c r="S165" s="22">
        <v>1</v>
      </c>
      <c r="T165" s="19" t="s">
        <v>254</v>
      </c>
      <c r="W165" s="13"/>
      <c r="AC165" s="13" t="s">
        <v>33</v>
      </c>
      <c r="AD165" s="22">
        <v>1</v>
      </c>
      <c r="AE165" s="19" t="s">
        <v>38</v>
      </c>
      <c r="AF165" s="16">
        <v>75.531486200000003</v>
      </c>
    </row>
    <row r="166" spans="1:32" x14ac:dyDescent="0.2">
      <c r="A166">
        <v>422</v>
      </c>
      <c r="B166" s="8">
        <v>46200</v>
      </c>
      <c r="C166" s="9">
        <v>0.77527777777777773</v>
      </c>
      <c r="D166" s="7" t="s">
        <v>21</v>
      </c>
      <c r="E166" s="13" t="s">
        <v>33</v>
      </c>
      <c r="F166" s="16">
        <v>84.799154299999998</v>
      </c>
      <c r="G166" s="129">
        <v>2152.75659</v>
      </c>
      <c r="H166" s="22">
        <v>1</v>
      </c>
      <c r="I166" s="19" t="s">
        <v>38</v>
      </c>
      <c r="J166" s="7" t="s">
        <v>29</v>
      </c>
      <c r="K166" s="16"/>
      <c r="L166" s="16"/>
      <c r="M166" s="16"/>
      <c r="N166" s="16">
        <v>65.576607800000005</v>
      </c>
      <c r="O166" s="16"/>
      <c r="P166" s="175"/>
      <c r="R166" s="13" t="s">
        <v>37</v>
      </c>
      <c r="S166" s="22">
        <v>0</v>
      </c>
      <c r="T166" s="19"/>
      <c r="W166" s="13"/>
      <c r="AC166" s="13" t="s">
        <v>33</v>
      </c>
      <c r="AD166" s="22">
        <v>0</v>
      </c>
      <c r="AE166" s="19" t="s">
        <v>48</v>
      </c>
      <c r="AF166" s="16"/>
    </row>
    <row r="167" spans="1:32" x14ac:dyDescent="0.2">
      <c r="A167">
        <v>423</v>
      </c>
      <c r="B167" s="8">
        <v>46200</v>
      </c>
      <c r="C167" s="9">
        <v>0.77553240740740736</v>
      </c>
      <c r="D167" s="7" t="s">
        <v>21</v>
      </c>
      <c r="E167" s="13" t="s">
        <v>46</v>
      </c>
      <c r="F167" s="16">
        <v>73.8737225</v>
      </c>
      <c r="G167" s="129">
        <v>426.58618200000001</v>
      </c>
      <c r="H167" s="22">
        <v>0</v>
      </c>
      <c r="I167" s="19"/>
      <c r="J167" s="7" t="s">
        <v>29</v>
      </c>
      <c r="K167" s="16"/>
      <c r="L167" s="16"/>
      <c r="M167" s="16"/>
      <c r="N167" s="16"/>
      <c r="O167" s="16"/>
      <c r="P167" s="175"/>
      <c r="R167" s="13" t="s">
        <v>37</v>
      </c>
      <c r="S167" s="22">
        <v>0</v>
      </c>
      <c r="T167" s="19"/>
      <c r="W167" s="13"/>
      <c r="AC167" s="13" t="s">
        <v>33</v>
      </c>
      <c r="AD167" s="22">
        <v>1</v>
      </c>
      <c r="AE167" s="19" t="s">
        <v>263</v>
      </c>
      <c r="AF167" s="16">
        <v>89.843549899999999</v>
      </c>
    </row>
    <row r="168" spans="1:32" x14ac:dyDescent="0.2">
      <c r="A168">
        <v>424</v>
      </c>
      <c r="B168" s="8">
        <v>46200</v>
      </c>
      <c r="C168" s="9">
        <v>0.77571759259259254</v>
      </c>
      <c r="D168" s="7" t="s">
        <v>21</v>
      </c>
      <c r="E168" s="13" t="s">
        <v>33</v>
      </c>
      <c r="F168" s="16">
        <v>84.608590199999995</v>
      </c>
      <c r="G168" s="129">
        <v>2208.4797400000002</v>
      </c>
      <c r="H168" s="22">
        <v>1</v>
      </c>
      <c r="I168" s="19" t="s">
        <v>38</v>
      </c>
      <c r="J168" s="7" t="s">
        <v>29</v>
      </c>
      <c r="K168" s="16">
        <v>66.8249517</v>
      </c>
      <c r="L168" s="16">
        <v>-8.7242078999999997</v>
      </c>
      <c r="M168" s="16">
        <v>34.205371900000003</v>
      </c>
      <c r="N168" s="16">
        <v>61.980293400000001</v>
      </c>
      <c r="O168" s="16"/>
      <c r="P168" s="175">
        <v>0.70397399999999999</v>
      </c>
      <c r="R168" s="13" t="s">
        <v>37</v>
      </c>
      <c r="S168" s="22">
        <v>0</v>
      </c>
      <c r="T168" s="19"/>
      <c r="W168" s="13"/>
      <c r="AC168" s="13" t="s">
        <v>33</v>
      </c>
      <c r="AD168" s="22">
        <v>1</v>
      </c>
      <c r="AE168" s="19" t="s">
        <v>39</v>
      </c>
      <c r="AF168" s="16"/>
    </row>
    <row r="169" spans="1:32" x14ac:dyDescent="0.2">
      <c r="A169">
        <v>425</v>
      </c>
      <c r="B169" s="8">
        <v>46200</v>
      </c>
      <c r="C169" s="9">
        <v>0.7760069444444444</v>
      </c>
      <c r="D169" s="7" t="s">
        <v>21</v>
      </c>
      <c r="E169" s="13" t="s">
        <v>46</v>
      </c>
      <c r="F169" s="16">
        <v>75.334680300000002</v>
      </c>
      <c r="G169" s="129">
        <v>742.033142</v>
      </c>
      <c r="H169" s="22">
        <v>1</v>
      </c>
      <c r="I169" s="19" t="s">
        <v>254</v>
      </c>
      <c r="J169" s="7" t="s">
        <v>29</v>
      </c>
      <c r="K169" s="16">
        <v>70.304578100000001</v>
      </c>
      <c r="L169" s="16">
        <v>15.1617832</v>
      </c>
      <c r="M169" s="16">
        <v>0.78689814000000002</v>
      </c>
      <c r="N169" s="16">
        <v>49.168406900000001</v>
      </c>
      <c r="O169" s="16">
        <v>153</v>
      </c>
      <c r="P169" s="175">
        <v>0.91416069</v>
      </c>
      <c r="R169" s="13" t="s">
        <v>37</v>
      </c>
      <c r="S169" s="22">
        <v>1</v>
      </c>
      <c r="T169" s="19" t="s">
        <v>255</v>
      </c>
      <c r="W169" s="13"/>
      <c r="AC169" s="13" t="s">
        <v>33</v>
      </c>
      <c r="AD169" s="22">
        <v>1</v>
      </c>
      <c r="AE169" s="19" t="s">
        <v>39</v>
      </c>
      <c r="AF169" s="16"/>
    </row>
    <row r="170" spans="1:32" x14ac:dyDescent="0.2">
      <c r="A170">
        <v>426</v>
      </c>
      <c r="B170" s="8">
        <v>46200</v>
      </c>
      <c r="C170" s="9">
        <v>0.77651620370370367</v>
      </c>
      <c r="D170" s="7" t="s">
        <v>21</v>
      </c>
      <c r="E170" s="13" t="s">
        <v>37</v>
      </c>
      <c r="F170" s="16">
        <v>75.144116199999999</v>
      </c>
      <c r="G170" s="129">
        <v>1112.31763</v>
      </c>
      <c r="H170" s="169">
        <v>1</v>
      </c>
      <c r="I170" s="170" t="s">
        <v>255</v>
      </c>
      <c r="J170" s="165" t="s">
        <v>19</v>
      </c>
      <c r="K170" s="16">
        <v>64.671944199999999</v>
      </c>
      <c r="L170" s="16">
        <v>-5.6335483000000002</v>
      </c>
      <c r="M170" s="16">
        <v>-25.685604000000001</v>
      </c>
      <c r="N170" s="16">
        <v>59.564013299999999</v>
      </c>
      <c r="O170" s="16">
        <v>21</v>
      </c>
      <c r="P170" s="175">
        <v>0.72583600000000004</v>
      </c>
      <c r="R170" s="13" t="s">
        <v>37</v>
      </c>
      <c r="S170" s="169">
        <v>1</v>
      </c>
      <c r="T170" s="170"/>
      <c r="W170" s="13"/>
      <c r="AC170" s="13" t="s">
        <v>33</v>
      </c>
      <c r="AD170" s="169">
        <v>1</v>
      </c>
      <c r="AE170" s="170" t="s">
        <v>45</v>
      </c>
      <c r="AF170" s="16"/>
    </row>
    <row r="171" spans="1:32" x14ac:dyDescent="0.2">
      <c r="A171">
        <v>453</v>
      </c>
      <c r="B171" s="8">
        <v>46200</v>
      </c>
      <c r="C171" s="9">
        <v>0.78914351851851849</v>
      </c>
      <c r="D171" s="7" t="s">
        <v>21</v>
      </c>
      <c r="E171" s="13" t="s">
        <v>33</v>
      </c>
      <c r="F171" s="16">
        <v>80.924434899999994</v>
      </c>
      <c r="G171" s="129">
        <v>1049.4462900000001</v>
      </c>
      <c r="H171" s="22">
        <v>1</v>
      </c>
      <c r="I171" s="19" t="s">
        <v>38</v>
      </c>
      <c r="J171" s="7" t="s">
        <v>29</v>
      </c>
      <c r="K171" s="16"/>
      <c r="L171" s="16"/>
      <c r="M171" s="16"/>
      <c r="N171" s="16">
        <v>63.553681099999999</v>
      </c>
      <c r="O171" s="16"/>
      <c r="P171" s="175"/>
      <c r="R171" s="13" t="s">
        <v>37</v>
      </c>
      <c r="S171" s="22">
        <v>1</v>
      </c>
      <c r="T171" s="19" t="s">
        <v>255</v>
      </c>
      <c r="W171" s="13"/>
      <c r="AC171" s="13" t="s">
        <v>33</v>
      </c>
      <c r="AD171" s="22">
        <v>1</v>
      </c>
      <c r="AE171" s="19" t="s">
        <v>38</v>
      </c>
      <c r="AF171" s="16"/>
    </row>
    <row r="172" spans="1:32" x14ac:dyDescent="0.2">
      <c r="A172">
        <v>454</v>
      </c>
      <c r="B172" s="8">
        <v>46200</v>
      </c>
      <c r="C172" s="9">
        <v>0.78939814814814813</v>
      </c>
      <c r="D172" s="7" t="s">
        <v>21</v>
      </c>
      <c r="E172" s="13" t="s">
        <v>37</v>
      </c>
      <c r="F172" s="16">
        <v>72.920918799999995</v>
      </c>
      <c r="G172" s="129">
        <v>726.56890899999996</v>
      </c>
      <c r="H172" s="22">
        <v>0</v>
      </c>
      <c r="I172" s="19"/>
      <c r="J172" s="7" t="s">
        <v>29</v>
      </c>
      <c r="K172" s="16"/>
      <c r="L172" s="16"/>
      <c r="M172" s="16"/>
      <c r="N172" s="16"/>
      <c r="O172" s="16"/>
      <c r="P172" s="175"/>
      <c r="R172" s="13" t="s">
        <v>37</v>
      </c>
      <c r="S172" s="22">
        <v>0</v>
      </c>
      <c r="T172" s="19"/>
      <c r="W172" s="13"/>
      <c r="AC172" s="13" t="s">
        <v>33</v>
      </c>
      <c r="AD172" s="22">
        <v>1</v>
      </c>
      <c r="AE172" s="19" t="s">
        <v>254</v>
      </c>
      <c r="AF172" s="16">
        <v>96.627445100000003</v>
      </c>
    </row>
    <row r="173" spans="1:32" x14ac:dyDescent="0.2">
      <c r="A173">
        <v>455</v>
      </c>
      <c r="B173" s="8">
        <v>46200</v>
      </c>
      <c r="C173" s="9">
        <v>0.78959490740740745</v>
      </c>
      <c r="D173" s="7" t="s">
        <v>21</v>
      </c>
      <c r="E173" s="13" t="s">
        <v>33</v>
      </c>
      <c r="F173" s="16">
        <v>82.957076700000002</v>
      </c>
      <c r="G173" s="129">
        <v>1098.6523400000001</v>
      </c>
      <c r="H173" s="22">
        <v>1</v>
      </c>
      <c r="I173" s="19" t="s">
        <v>38</v>
      </c>
      <c r="J173" s="7" t="s">
        <v>29</v>
      </c>
      <c r="K173" s="16"/>
      <c r="L173" s="16"/>
      <c r="M173" s="16"/>
      <c r="N173" s="16">
        <v>63.272719899999998</v>
      </c>
      <c r="O173" s="16"/>
      <c r="P173" s="175"/>
      <c r="R173" s="13" t="s">
        <v>37</v>
      </c>
      <c r="S173" s="22">
        <v>0</v>
      </c>
      <c r="T173" s="19"/>
      <c r="W173" s="13"/>
      <c r="AC173" s="13" t="s">
        <v>33</v>
      </c>
      <c r="AD173" s="22">
        <v>1</v>
      </c>
      <c r="AE173" s="19"/>
      <c r="AF173" s="16"/>
    </row>
    <row r="174" spans="1:32" x14ac:dyDescent="0.2">
      <c r="A174">
        <v>456</v>
      </c>
      <c r="B174" s="8">
        <v>46200</v>
      </c>
      <c r="C174" s="9">
        <v>0.78989583333333335</v>
      </c>
      <c r="D174" s="7" t="s">
        <v>21</v>
      </c>
      <c r="E174" s="13" t="s">
        <v>37</v>
      </c>
      <c r="F174" s="16">
        <v>74.191321099999996</v>
      </c>
      <c r="G174" s="129">
        <v>721.65374799999995</v>
      </c>
      <c r="H174" s="22">
        <v>0</v>
      </c>
      <c r="I174" s="19"/>
      <c r="J174" s="7" t="s">
        <v>29</v>
      </c>
      <c r="K174" s="16"/>
      <c r="L174" s="16"/>
      <c r="M174" s="16"/>
      <c r="N174" s="16"/>
      <c r="O174" s="16"/>
      <c r="P174" s="175"/>
      <c r="R174" s="13" t="s">
        <v>37</v>
      </c>
      <c r="S174" s="22">
        <v>1</v>
      </c>
      <c r="T174" s="19" t="s">
        <v>39</v>
      </c>
      <c r="W174" s="13"/>
      <c r="AC174" s="13" t="s">
        <v>33</v>
      </c>
      <c r="AD174" s="22">
        <v>1</v>
      </c>
      <c r="AE174" s="19"/>
      <c r="AF174" s="16"/>
    </row>
    <row r="175" spans="1:32" x14ac:dyDescent="0.2">
      <c r="A175">
        <v>457</v>
      </c>
      <c r="B175" s="8">
        <v>46200</v>
      </c>
      <c r="C175" s="9">
        <v>0.79010416666666672</v>
      </c>
      <c r="D175" s="7" t="s">
        <v>21</v>
      </c>
      <c r="E175" s="13" t="s">
        <v>33</v>
      </c>
      <c r="F175" s="16">
        <v>84.2909918</v>
      </c>
      <c r="G175" s="129">
        <v>2194.3960000000002</v>
      </c>
      <c r="H175" s="22">
        <v>1</v>
      </c>
      <c r="I175" s="19" t="s">
        <v>45</v>
      </c>
      <c r="J175" s="7" t="s">
        <v>29</v>
      </c>
      <c r="K175" s="16"/>
      <c r="L175" s="16"/>
      <c r="M175" s="16"/>
      <c r="N175" s="16">
        <v>57.260122500000001</v>
      </c>
      <c r="O175" s="16"/>
      <c r="P175" s="175"/>
      <c r="R175" s="13" t="s">
        <v>37</v>
      </c>
      <c r="S175" s="22">
        <v>1</v>
      </c>
      <c r="T175" s="19" t="s">
        <v>45</v>
      </c>
      <c r="W175" s="13"/>
      <c r="AC175" s="13" t="s">
        <v>33</v>
      </c>
      <c r="AD175" s="22">
        <v>1</v>
      </c>
      <c r="AE175" s="19" t="s">
        <v>42</v>
      </c>
      <c r="AF175" s="16"/>
    </row>
    <row r="176" spans="1:32" x14ac:dyDescent="0.2">
      <c r="A176">
        <v>458</v>
      </c>
      <c r="B176" s="8">
        <v>46200</v>
      </c>
      <c r="C176" s="9">
        <v>0.79041666666666666</v>
      </c>
      <c r="D176" s="7" t="s">
        <v>21</v>
      </c>
      <c r="E176" s="13" t="s">
        <v>37</v>
      </c>
      <c r="F176" s="16">
        <v>74.953560600000003</v>
      </c>
      <c r="G176" s="129">
        <v>2241.2343799999999</v>
      </c>
      <c r="H176" s="22">
        <v>1</v>
      </c>
      <c r="I176" s="19" t="s">
        <v>39</v>
      </c>
      <c r="J176" s="7" t="s">
        <v>19</v>
      </c>
      <c r="K176" s="16"/>
      <c r="L176" s="16"/>
      <c r="M176" s="16"/>
      <c r="N176" s="16">
        <v>58.103009800000002</v>
      </c>
      <c r="O176" s="16"/>
      <c r="P176" s="175"/>
      <c r="R176" s="13" t="s">
        <v>37</v>
      </c>
      <c r="S176" s="22">
        <v>1</v>
      </c>
      <c r="T176" s="19" t="s">
        <v>39</v>
      </c>
      <c r="W176" s="13"/>
      <c r="AC176" s="13" t="s">
        <v>33</v>
      </c>
      <c r="AD176" s="22">
        <v>1</v>
      </c>
      <c r="AE176" s="19"/>
      <c r="AF176" s="16"/>
    </row>
    <row r="177" spans="1:32" x14ac:dyDescent="0.2">
      <c r="A177">
        <v>459</v>
      </c>
      <c r="B177" s="8">
        <v>46200</v>
      </c>
      <c r="C177" s="9">
        <v>0.79063657407407406</v>
      </c>
      <c r="D177" s="7" t="s">
        <v>21</v>
      </c>
      <c r="E177" s="13" t="s">
        <v>33</v>
      </c>
      <c r="F177" s="16">
        <v>83.576393199999998</v>
      </c>
      <c r="G177" s="129">
        <v>1076.71191</v>
      </c>
      <c r="H177" s="22">
        <v>1</v>
      </c>
      <c r="I177" s="19" t="s">
        <v>38</v>
      </c>
      <c r="J177" s="7" t="s">
        <v>19</v>
      </c>
      <c r="K177" s="16">
        <v>51.356886899999999</v>
      </c>
      <c r="L177" s="16">
        <v>37.985431699999999</v>
      </c>
      <c r="M177" s="16">
        <v>7.98927546</v>
      </c>
      <c r="N177" s="16">
        <v>64.452759599999993</v>
      </c>
      <c r="O177" s="16"/>
      <c r="P177" s="175">
        <v>0.52953857000000004</v>
      </c>
      <c r="R177" s="13" t="s">
        <v>46</v>
      </c>
      <c r="S177" s="22">
        <v>0</v>
      </c>
      <c r="T177" s="19"/>
      <c r="W177" s="13"/>
      <c r="AC177" s="13" t="s">
        <v>33</v>
      </c>
      <c r="AD177" s="22">
        <v>0</v>
      </c>
      <c r="AE177" s="19"/>
      <c r="AF177" s="16"/>
    </row>
    <row r="178" spans="1:32" x14ac:dyDescent="0.2">
      <c r="A178">
        <v>460</v>
      </c>
      <c r="B178" s="8">
        <v>46200</v>
      </c>
      <c r="C178" s="9">
        <v>0.7908680555555555</v>
      </c>
      <c r="D178" s="7" t="s">
        <v>21</v>
      </c>
      <c r="E178" s="13" t="s">
        <v>33</v>
      </c>
      <c r="F178" s="16">
        <v>83.703435999999996</v>
      </c>
      <c r="G178" s="129">
        <v>2288.1254899999999</v>
      </c>
      <c r="H178" s="22">
        <v>0</v>
      </c>
      <c r="I178" s="19"/>
      <c r="J178" s="7" t="s">
        <v>19</v>
      </c>
      <c r="K178" s="16"/>
      <c r="L178" s="16"/>
      <c r="M178" s="16"/>
      <c r="N178" s="16"/>
      <c r="O178" s="16"/>
      <c r="P178" s="175"/>
      <c r="R178" s="13" t="s">
        <v>46</v>
      </c>
      <c r="S178" s="22">
        <v>1</v>
      </c>
      <c r="T178" s="19"/>
      <c r="W178" s="13"/>
      <c r="AC178" s="13" t="s">
        <v>33</v>
      </c>
      <c r="AD178" s="22">
        <v>1</v>
      </c>
      <c r="AE178" s="19" t="s">
        <v>254</v>
      </c>
      <c r="AF178" s="16">
        <v>92.290684999999996</v>
      </c>
    </row>
    <row r="179" spans="1:32" x14ac:dyDescent="0.2">
      <c r="A179">
        <v>461</v>
      </c>
      <c r="B179" s="8">
        <v>46200</v>
      </c>
      <c r="C179" s="9">
        <v>0.79106481481481483</v>
      </c>
      <c r="D179" s="7" t="s">
        <v>21</v>
      </c>
      <c r="E179" s="13" t="s">
        <v>37</v>
      </c>
      <c r="F179" s="16">
        <v>74.572440799999995</v>
      </c>
      <c r="G179" s="129">
        <v>751.26293899999996</v>
      </c>
      <c r="H179" s="22">
        <v>1</v>
      </c>
      <c r="I179" s="19" t="s">
        <v>45</v>
      </c>
      <c r="J179" s="7" t="s">
        <v>19</v>
      </c>
      <c r="K179" s="16"/>
      <c r="L179" s="16"/>
      <c r="M179" s="16"/>
      <c r="N179" s="16">
        <v>57.484892100000003</v>
      </c>
      <c r="O179" s="16"/>
      <c r="P179" s="175"/>
      <c r="R179" s="13" t="s">
        <v>46</v>
      </c>
      <c r="S179" s="22">
        <v>1</v>
      </c>
      <c r="T179" s="19" t="s">
        <v>255</v>
      </c>
      <c r="W179" s="13"/>
      <c r="AC179" s="13" t="s">
        <v>33</v>
      </c>
      <c r="AD179" s="22">
        <v>0</v>
      </c>
      <c r="AE179" s="19"/>
      <c r="AF179" s="16"/>
    </row>
    <row r="180" spans="1:32" x14ac:dyDescent="0.2">
      <c r="A180">
        <v>462</v>
      </c>
      <c r="B180" s="8">
        <v>46200</v>
      </c>
      <c r="C180" s="9">
        <v>0.79137731481481477</v>
      </c>
      <c r="D180" s="7" t="s">
        <v>21</v>
      </c>
      <c r="E180" s="13" t="s">
        <v>33</v>
      </c>
      <c r="F180" s="16">
        <v>82.512435499999995</v>
      </c>
      <c r="G180" s="129">
        <v>2152.6848100000002</v>
      </c>
      <c r="H180" s="22">
        <v>1</v>
      </c>
      <c r="I180" s="19"/>
      <c r="J180" s="7" t="s">
        <v>22</v>
      </c>
      <c r="K180" s="16"/>
      <c r="L180" s="16"/>
      <c r="M180" s="16"/>
      <c r="N180" s="16"/>
      <c r="O180" s="16"/>
      <c r="P180" s="175"/>
      <c r="R180" s="13" t="s">
        <v>46</v>
      </c>
      <c r="S180" s="22">
        <v>0</v>
      </c>
      <c r="T180" s="19"/>
      <c r="W180" s="13"/>
      <c r="AC180" s="13" t="s">
        <v>33</v>
      </c>
      <c r="AD180" s="22">
        <v>1</v>
      </c>
      <c r="AE180" s="19" t="s">
        <v>38</v>
      </c>
      <c r="AF180" s="16">
        <v>78.873105300000006</v>
      </c>
    </row>
    <row r="181" spans="1:32" x14ac:dyDescent="0.2">
      <c r="A181">
        <v>463</v>
      </c>
      <c r="B181" s="8">
        <v>46200</v>
      </c>
      <c r="C181" s="9">
        <v>0.79158564814814814</v>
      </c>
      <c r="D181" s="7" t="s">
        <v>21</v>
      </c>
      <c r="E181" s="13" t="s">
        <v>37</v>
      </c>
      <c r="F181" s="16">
        <v>75.064714600000002</v>
      </c>
      <c r="G181" s="129">
        <v>2212.6440400000001</v>
      </c>
      <c r="H181" s="22">
        <v>1</v>
      </c>
      <c r="I181" s="19" t="s">
        <v>39</v>
      </c>
      <c r="J181" s="7" t="s">
        <v>22</v>
      </c>
      <c r="K181" s="16"/>
      <c r="L181" s="16"/>
      <c r="M181" s="16"/>
      <c r="N181" s="16">
        <v>61.586945499999999</v>
      </c>
      <c r="O181" s="16"/>
      <c r="P181" s="175"/>
      <c r="R181" s="13" t="s">
        <v>46</v>
      </c>
      <c r="S181" s="22">
        <v>1</v>
      </c>
      <c r="T181" s="19" t="s">
        <v>38</v>
      </c>
      <c r="W181" s="13"/>
      <c r="AC181" s="13" t="s">
        <v>33</v>
      </c>
      <c r="AD181" s="22">
        <v>1</v>
      </c>
      <c r="AE181" s="19"/>
      <c r="AF181" s="16"/>
    </row>
    <row r="182" spans="1:32" x14ac:dyDescent="0.2">
      <c r="A182">
        <v>464</v>
      </c>
      <c r="B182" s="8">
        <v>46200</v>
      </c>
      <c r="C182" s="9">
        <v>0.79199074074074072</v>
      </c>
      <c r="D182" s="7" t="s">
        <v>21</v>
      </c>
      <c r="E182" s="13" t="s">
        <v>46</v>
      </c>
      <c r="F182" s="16">
        <v>70.316601399999996</v>
      </c>
      <c r="G182" s="129">
        <v>156.30914300000001</v>
      </c>
      <c r="H182" s="22">
        <v>0</v>
      </c>
      <c r="I182" s="19" t="s">
        <v>41</v>
      </c>
      <c r="J182" s="7" t="s">
        <v>22</v>
      </c>
      <c r="K182" s="16"/>
      <c r="L182" s="16"/>
      <c r="M182" s="16"/>
      <c r="N182" s="16"/>
      <c r="O182" s="16"/>
      <c r="P182" s="175"/>
      <c r="R182" s="13" t="s">
        <v>46</v>
      </c>
      <c r="S182" s="22">
        <v>1</v>
      </c>
      <c r="T182" s="19" t="s">
        <v>45</v>
      </c>
      <c r="W182" s="13"/>
      <c r="AC182" s="13" t="s">
        <v>33</v>
      </c>
      <c r="AD182" s="22">
        <v>1</v>
      </c>
      <c r="AE182" s="19" t="s">
        <v>255</v>
      </c>
      <c r="AF182" s="16">
        <v>90.093855199999993</v>
      </c>
    </row>
    <row r="183" spans="1:32" x14ac:dyDescent="0.2">
      <c r="A183">
        <v>465</v>
      </c>
      <c r="B183" s="8">
        <v>46200</v>
      </c>
      <c r="C183" s="9">
        <v>0.79229166666666662</v>
      </c>
      <c r="D183" s="7" t="s">
        <v>21</v>
      </c>
      <c r="E183" s="13" t="s">
        <v>33</v>
      </c>
      <c r="F183" s="16">
        <v>82.814153500000003</v>
      </c>
      <c r="G183" s="129">
        <v>2131.3645000000001</v>
      </c>
      <c r="H183" s="22">
        <v>0</v>
      </c>
      <c r="I183" s="19"/>
      <c r="J183" s="7" t="s">
        <v>22</v>
      </c>
      <c r="K183" s="16"/>
      <c r="L183" s="16"/>
      <c r="M183" s="16"/>
      <c r="N183" s="16"/>
      <c r="O183" s="16"/>
      <c r="P183" s="175"/>
      <c r="R183" s="13" t="s">
        <v>46</v>
      </c>
      <c r="S183" s="22">
        <v>1</v>
      </c>
      <c r="T183" s="19" t="s">
        <v>254</v>
      </c>
      <c r="W183" s="13"/>
      <c r="AC183" s="13" t="s">
        <v>33</v>
      </c>
      <c r="AD183" s="22">
        <v>0</v>
      </c>
      <c r="AE183" s="19"/>
      <c r="AF183" s="16"/>
    </row>
    <row r="184" spans="1:32" x14ac:dyDescent="0.2">
      <c r="A184">
        <v>466</v>
      </c>
      <c r="B184" s="8">
        <v>46200</v>
      </c>
      <c r="C184" s="9">
        <v>0.79248842592592594</v>
      </c>
      <c r="D184" s="7" t="s">
        <v>21</v>
      </c>
      <c r="E184" s="13" t="s">
        <v>33</v>
      </c>
      <c r="F184" s="16">
        <v>82.2583585</v>
      </c>
      <c r="G184" s="129">
        <v>1106.7966300000001</v>
      </c>
      <c r="H184" s="22">
        <v>0</v>
      </c>
      <c r="I184" s="19"/>
      <c r="J184" s="7" t="s">
        <v>22</v>
      </c>
      <c r="K184" s="16"/>
      <c r="L184" s="16"/>
      <c r="M184" s="16"/>
      <c r="N184" s="16"/>
      <c r="O184" s="16"/>
      <c r="P184" s="175"/>
      <c r="R184" s="13" t="s">
        <v>46</v>
      </c>
      <c r="S184" s="22">
        <v>0</v>
      </c>
      <c r="T184" s="19"/>
      <c r="W184" s="13"/>
      <c r="AC184" s="13" t="s">
        <v>33</v>
      </c>
      <c r="AD184" s="22">
        <v>0</v>
      </c>
      <c r="AE184" s="19"/>
      <c r="AF184" s="16"/>
    </row>
    <row r="185" spans="1:32" x14ac:dyDescent="0.2">
      <c r="A185">
        <v>467</v>
      </c>
      <c r="B185" s="8">
        <v>46200</v>
      </c>
      <c r="C185" s="9">
        <v>0.79278935185185184</v>
      </c>
      <c r="D185" s="7" t="s">
        <v>21</v>
      </c>
      <c r="E185" s="13" t="s">
        <v>33</v>
      </c>
      <c r="F185" s="16">
        <v>81.226152799999994</v>
      </c>
      <c r="G185" s="129">
        <v>2123.8562000000002</v>
      </c>
      <c r="H185" s="22">
        <v>0</v>
      </c>
      <c r="I185" s="19"/>
      <c r="J185" s="7" t="s">
        <v>22</v>
      </c>
      <c r="K185" s="16"/>
      <c r="L185" s="16"/>
      <c r="M185" s="16"/>
      <c r="N185" s="16"/>
      <c r="O185" s="16"/>
      <c r="P185" s="175"/>
      <c r="R185" s="13" t="s">
        <v>46</v>
      </c>
      <c r="S185" s="22">
        <v>0</v>
      </c>
      <c r="T185" s="19"/>
      <c r="W185" s="13"/>
      <c r="AC185" s="13" t="s">
        <v>33</v>
      </c>
      <c r="AD185" s="22">
        <v>1</v>
      </c>
      <c r="AE185" s="19" t="s">
        <v>255</v>
      </c>
      <c r="AF185" s="16">
        <v>44.866419700000002</v>
      </c>
    </row>
    <row r="186" spans="1:32" x14ac:dyDescent="0.2">
      <c r="A186">
        <v>468</v>
      </c>
      <c r="B186" s="8">
        <v>46200</v>
      </c>
      <c r="C186" s="9">
        <v>0.79299768518518521</v>
      </c>
      <c r="D186" s="7" t="s">
        <v>21</v>
      </c>
      <c r="E186" s="13" t="s">
        <v>33</v>
      </c>
      <c r="F186" s="16">
        <v>81.623153000000002</v>
      </c>
      <c r="G186" s="129">
        <v>2242.74487</v>
      </c>
      <c r="H186" s="22">
        <v>1</v>
      </c>
      <c r="I186" s="19" t="s">
        <v>38</v>
      </c>
      <c r="J186" s="7" t="s">
        <v>22</v>
      </c>
      <c r="K186" s="16"/>
      <c r="L186" s="16"/>
      <c r="M186" s="16"/>
      <c r="N186" s="16">
        <v>67.234286600000004</v>
      </c>
      <c r="O186" s="16"/>
      <c r="P186" s="175"/>
      <c r="R186" s="13" t="s">
        <v>46</v>
      </c>
      <c r="S186" s="22">
        <v>1</v>
      </c>
      <c r="T186" s="19" t="s">
        <v>254</v>
      </c>
      <c r="W186" s="13"/>
      <c r="AC186" s="13" t="s">
        <v>33</v>
      </c>
      <c r="AD186" s="22">
        <v>0</v>
      </c>
      <c r="AE186" s="19"/>
      <c r="AF186" s="16"/>
    </row>
    <row r="187" spans="1:32" x14ac:dyDescent="0.2">
      <c r="A187">
        <v>469</v>
      </c>
      <c r="B187" s="8">
        <v>46200</v>
      </c>
      <c r="C187" s="9">
        <v>0.79325231481481484</v>
      </c>
      <c r="D187" s="7" t="s">
        <v>21</v>
      </c>
      <c r="E187" s="13" t="s">
        <v>33</v>
      </c>
      <c r="F187" s="16">
        <v>83.512873900000002</v>
      </c>
      <c r="G187" s="129">
        <v>1078.7659900000001</v>
      </c>
      <c r="H187" s="22">
        <v>1</v>
      </c>
      <c r="I187" s="19" t="s">
        <v>255</v>
      </c>
      <c r="J187" s="7" t="s">
        <v>22</v>
      </c>
      <c r="K187" s="16">
        <v>48.9620435</v>
      </c>
      <c r="L187" s="16">
        <v>28.978210399999998</v>
      </c>
      <c r="M187" s="16">
        <v>-4.8873056999999998</v>
      </c>
      <c r="N187" s="16">
        <v>57.597279100000002</v>
      </c>
      <c r="O187" s="16"/>
      <c r="P187" s="177">
        <v>0.55078400000000005</v>
      </c>
      <c r="R187" s="13" t="s">
        <v>46</v>
      </c>
      <c r="S187" s="22">
        <v>0</v>
      </c>
      <c r="T187" s="19" t="s">
        <v>41</v>
      </c>
      <c r="W187" s="13"/>
      <c r="AC187" s="13" t="s">
        <v>33</v>
      </c>
      <c r="AD187" s="22">
        <v>0</v>
      </c>
      <c r="AE187" s="19"/>
      <c r="AF187" s="16"/>
    </row>
    <row r="188" spans="1:32" s="114" customFormat="1" x14ac:dyDescent="0.2">
      <c r="A188" s="114">
        <v>620</v>
      </c>
      <c r="B188" s="108">
        <v>46214</v>
      </c>
      <c r="C188" s="109">
        <v>0.47031250000000002</v>
      </c>
      <c r="D188" s="107" t="s">
        <v>21</v>
      </c>
      <c r="E188" s="110" t="s">
        <v>37</v>
      </c>
      <c r="F188" s="111">
        <v>70.316601399999996</v>
      </c>
      <c r="G188" s="228">
        <v>2101.9338400000001</v>
      </c>
      <c r="H188" s="113">
        <v>1</v>
      </c>
      <c r="I188" s="112" t="s">
        <v>38</v>
      </c>
      <c r="J188" s="107" t="s">
        <v>20</v>
      </c>
      <c r="K188" s="111">
        <v>62.919759800000001</v>
      </c>
      <c r="L188" s="111">
        <v>24.971418400000001</v>
      </c>
      <c r="M188" s="111">
        <v>-36.093670000000003</v>
      </c>
      <c r="N188" s="111">
        <v>70.0347273</v>
      </c>
      <c r="O188" s="111">
        <v>179</v>
      </c>
      <c r="P188" s="230">
        <v>0.58102569999999998</v>
      </c>
      <c r="R188" s="110" t="s">
        <v>33</v>
      </c>
      <c r="S188" s="113">
        <v>0</v>
      </c>
      <c r="T188" s="112"/>
      <c r="W188" s="110"/>
      <c r="AC188" s="110" t="s">
        <v>33</v>
      </c>
      <c r="AD188" s="113">
        <v>0</v>
      </c>
      <c r="AE188" s="112"/>
      <c r="AF188" s="111"/>
    </row>
    <row r="189" spans="1:32" x14ac:dyDescent="0.2">
      <c r="A189">
        <v>621</v>
      </c>
      <c r="B189" s="8">
        <v>46214</v>
      </c>
      <c r="C189" s="9">
        <v>0.47061342592592592</v>
      </c>
      <c r="D189" s="7" t="s">
        <v>21</v>
      </c>
      <c r="E189" s="13" t="s">
        <v>37</v>
      </c>
      <c r="F189" s="16">
        <v>70.5548024</v>
      </c>
      <c r="G189" s="129">
        <v>2022.31873</v>
      </c>
      <c r="H189" s="22">
        <v>0</v>
      </c>
      <c r="I189" s="19"/>
      <c r="J189" s="7" t="s">
        <v>20</v>
      </c>
      <c r="K189" s="16"/>
      <c r="L189" s="16"/>
      <c r="M189" s="16"/>
      <c r="N189" s="16"/>
      <c r="O189" s="16"/>
      <c r="P189" s="175"/>
      <c r="R189" s="13" t="s">
        <v>33</v>
      </c>
      <c r="S189" s="22">
        <v>0</v>
      </c>
      <c r="T189" s="19"/>
      <c r="W189" s="13"/>
      <c r="AC189" s="13" t="s">
        <v>33</v>
      </c>
      <c r="AD189" s="22">
        <v>0</v>
      </c>
      <c r="AE189" s="19"/>
      <c r="AF189" s="16"/>
    </row>
    <row r="190" spans="1:32" x14ac:dyDescent="0.2">
      <c r="A190">
        <v>622</v>
      </c>
      <c r="B190" s="8">
        <v>46214</v>
      </c>
      <c r="C190" s="9">
        <v>0.47077546296296297</v>
      </c>
      <c r="D190" s="7" t="s">
        <v>21</v>
      </c>
      <c r="E190" s="13" t="s">
        <v>33</v>
      </c>
      <c r="F190" s="16">
        <v>81.797836899999993</v>
      </c>
      <c r="G190" s="129">
        <v>2036.7614699999999</v>
      </c>
      <c r="H190" s="22">
        <v>0</v>
      </c>
      <c r="I190" s="19"/>
      <c r="J190" s="7" t="s">
        <v>20</v>
      </c>
      <c r="K190" s="16"/>
      <c r="L190" s="16"/>
      <c r="M190" s="16"/>
      <c r="N190" s="16"/>
      <c r="O190" s="16"/>
      <c r="P190" s="175"/>
      <c r="R190" s="13" t="s">
        <v>33</v>
      </c>
      <c r="S190" s="22">
        <v>1</v>
      </c>
      <c r="T190" s="19"/>
      <c r="W190" s="13"/>
      <c r="AC190" s="13" t="s">
        <v>33</v>
      </c>
      <c r="AD190" s="22">
        <v>1</v>
      </c>
      <c r="AE190" s="19"/>
      <c r="AF190" s="16"/>
    </row>
    <row r="191" spans="1:32" x14ac:dyDescent="0.2">
      <c r="A191">
        <v>623</v>
      </c>
      <c r="B191" s="8">
        <v>46214</v>
      </c>
      <c r="C191" s="9">
        <v>0.47096064814814814</v>
      </c>
      <c r="D191" s="7" t="s">
        <v>21</v>
      </c>
      <c r="E191" s="13" t="s">
        <v>33</v>
      </c>
      <c r="F191" s="16">
        <v>83.639914599999997</v>
      </c>
      <c r="G191" s="129">
        <v>2132.8549800000001</v>
      </c>
      <c r="H191" s="22">
        <v>0</v>
      </c>
      <c r="I191" s="19"/>
      <c r="J191" s="7" t="s">
        <v>20</v>
      </c>
      <c r="K191" s="16"/>
      <c r="L191" s="16"/>
      <c r="M191" s="16"/>
      <c r="N191" s="16"/>
      <c r="O191" s="16"/>
      <c r="P191" s="175"/>
      <c r="R191" s="13" t="s">
        <v>33</v>
      </c>
      <c r="S191" s="22">
        <v>1</v>
      </c>
      <c r="T191" s="19" t="s">
        <v>255</v>
      </c>
      <c r="W191" s="13"/>
      <c r="AC191" s="13" t="s">
        <v>33</v>
      </c>
      <c r="AD191" s="22">
        <v>1</v>
      </c>
      <c r="AE191" s="19" t="s">
        <v>263</v>
      </c>
      <c r="AF191" s="16">
        <v>87.709516100000002</v>
      </c>
    </row>
    <row r="192" spans="1:32" x14ac:dyDescent="0.2">
      <c r="A192">
        <v>624</v>
      </c>
      <c r="B192" s="8">
        <v>46214</v>
      </c>
      <c r="C192" s="9">
        <v>0.47111111111111109</v>
      </c>
      <c r="D192" s="7" t="s">
        <v>21</v>
      </c>
      <c r="E192" s="13" t="s">
        <v>33</v>
      </c>
      <c r="F192" s="16">
        <v>83.830470199999993</v>
      </c>
      <c r="G192" s="129">
        <v>2195.3596200000002</v>
      </c>
      <c r="H192" s="22">
        <v>1</v>
      </c>
      <c r="I192" s="19"/>
      <c r="J192" s="7" t="s">
        <v>20</v>
      </c>
      <c r="K192" s="16"/>
      <c r="L192" s="16"/>
      <c r="M192" s="16"/>
      <c r="N192" s="16"/>
      <c r="O192" s="16"/>
      <c r="P192" s="177"/>
      <c r="R192" s="13" t="s">
        <v>33</v>
      </c>
      <c r="S192" s="22">
        <v>1</v>
      </c>
      <c r="T192" s="19"/>
      <c r="W192" s="10"/>
      <c r="AC192" s="10" t="s">
        <v>33</v>
      </c>
      <c r="AD192" s="20">
        <v>0</v>
      </c>
      <c r="AE192" s="17"/>
      <c r="AF192" s="11"/>
    </row>
    <row r="193" spans="1:32" x14ac:dyDescent="0.2">
      <c r="A193">
        <v>625</v>
      </c>
      <c r="B193" s="8">
        <v>46214</v>
      </c>
      <c r="C193" s="9">
        <v>0.47129629629629627</v>
      </c>
      <c r="D193" s="7" t="s">
        <v>21</v>
      </c>
      <c r="E193" s="13" t="s">
        <v>37</v>
      </c>
      <c r="F193" s="16">
        <v>72.285721800000005</v>
      </c>
      <c r="G193" s="129">
        <v>2260.10034</v>
      </c>
      <c r="H193" s="22">
        <v>0</v>
      </c>
      <c r="I193" s="19" t="s">
        <v>48</v>
      </c>
      <c r="J193" s="7" t="s">
        <v>20</v>
      </c>
      <c r="K193" s="16"/>
      <c r="L193" s="16"/>
      <c r="M193" s="16"/>
      <c r="N193" s="16"/>
      <c r="O193" s="16"/>
      <c r="P193" s="175"/>
      <c r="R193" s="13" t="s">
        <v>33</v>
      </c>
      <c r="S193" s="22">
        <v>1</v>
      </c>
      <c r="T193" s="19" t="s">
        <v>254</v>
      </c>
      <c r="W193" s="10"/>
      <c r="AC193" s="10" t="s">
        <v>33</v>
      </c>
      <c r="AD193" s="20">
        <v>1</v>
      </c>
      <c r="AE193" s="17" t="s">
        <v>254</v>
      </c>
      <c r="AF193" s="11">
        <v>84.237710234999994</v>
      </c>
    </row>
    <row r="194" spans="1:32" x14ac:dyDescent="0.2">
      <c r="A194">
        <v>626</v>
      </c>
      <c r="B194" s="8">
        <v>46214</v>
      </c>
      <c r="C194" s="9">
        <v>0.47146990740740741</v>
      </c>
      <c r="D194" s="7" t="s">
        <v>21</v>
      </c>
      <c r="E194" s="13" t="s">
        <v>33</v>
      </c>
      <c r="F194" s="16">
        <v>82.623597799999999</v>
      </c>
      <c r="G194" s="129">
        <v>2152.9863300000002</v>
      </c>
      <c r="H194" s="22">
        <v>1</v>
      </c>
      <c r="I194" s="129" t="s">
        <v>263</v>
      </c>
      <c r="J194" s="7" t="s">
        <v>20</v>
      </c>
      <c r="K194" s="16">
        <v>61.748752699999997</v>
      </c>
      <c r="L194" s="16">
        <v>64.048149100000003</v>
      </c>
      <c r="M194" s="16">
        <v>-32.520564999999998</v>
      </c>
      <c r="N194" s="16">
        <v>66.381231900000003</v>
      </c>
      <c r="O194" s="16">
        <v>155</v>
      </c>
      <c r="P194" s="177">
        <v>0.57642055999999997</v>
      </c>
      <c r="R194" s="13" t="s">
        <v>33</v>
      </c>
      <c r="S194" s="22">
        <v>1</v>
      </c>
      <c r="T194" s="129"/>
      <c r="W194" s="10"/>
      <c r="AC194" s="10" t="s">
        <v>33</v>
      </c>
      <c r="AD194" s="20">
        <v>1</v>
      </c>
      <c r="AE194" s="4" t="s">
        <v>267</v>
      </c>
      <c r="AF194" s="11">
        <v>83.871080004000007</v>
      </c>
    </row>
    <row r="195" spans="1:32" x14ac:dyDescent="0.2">
      <c r="A195">
        <v>627</v>
      </c>
      <c r="B195" s="8">
        <v>46214</v>
      </c>
      <c r="C195" s="9">
        <v>0.47179398148148149</v>
      </c>
      <c r="D195" s="7" t="s">
        <v>21</v>
      </c>
      <c r="E195" s="13" t="s">
        <v>33</v>
      </c>
      <c r="F195" s="16">
        <v>82.750632100000004</v>
      </c>
      <c r="G195" s="129">
        <v>1054.1666299999999</v>
      </c>
      <c r="H195" s="22">
        <v>1</v>
      </c>
      <c r="I195" s="19"/>
      <c r="J195" s="7" t="s">
        <v>17</v>
      </c>
      <c r="K195" s="16"/>
      <c r="L195" s="16"/>
      <c r="M195" s="16"/>
      <c r="N195" s="16"/>
      <c r="O195" s="16"/>
      <c r="P195" s="175"/>
      <c r="R195" s="13" t="s">
        <v>33</v>
      </c>
      <c r="S195" s="22">
        <v>0</v>
      </c>
      <c r="T195" s="19"/>
      <c r="W195" s="10"/>
      <c r="AC195" s="10" t="s">
        <v>33</v>
      </c>
      <c r="AD195" s="20">
        <v>1</v>
      </c>
      <c r="AE195" s="17" t="s">
        <v>38</v>
      </c>
      <c r="AF195" s="11">
        <v>85.294389140999996</v>
      </c>
    </row>
    <row r="196" spans="1:32" x14ac:dyDescent="0.2">
      <c r="A196">
        <v>628</v>
      </c>
      <c r="B196" s="8">
        <v>46214</v>
      </c>
      <c r="C196" s="9">
        <v>0.47193287037037035</v>
      </c>
      <c r="D196" s="7" t="s">
        <v>21</v>
      </c>
      <c r="E196" s="13" t="s">
        <v>37</v>
      </c>
      <c r="F196" s="16">
        <v>71.459960899999999</v>
      </c>
      <c r="G196" s="129">
        <v>2115.6674800000001</v>
      </c>
      <c r="H196" s="22">
        <v>0</v>
      </c>
      <c r="I196" s="19"/>
      <c r="J196" s="7" t="s">
        <v>17</v>
      </c>
      <c r="K196" s="16"/>
      <c r="L196" s="16"/>
      <c r="M196" s="16"/>
      <c r="N196" s="16"/>
      <c r="O196" s="16"/>
      <c r="P196" s="175"/>
      <c r="R196" s="13" t="s">
        <v>33</v>
      </c>
      <c r="S196" s="22">
        <v>1</v>
      </c>
      <c r="T196" s="19" t="s">
        <v>45</v>
      </c>
      <c r="W196" s="10"/>
      <c r="AC196" s="10" t="s">
        <v>33</v>
      </c>
      <c r="AD196" s="20">
        <v>1</v>
      </c>
      <c r="AE196" s="17" t="s">
        <v>38</v>
      </c>
      <c r="AF196" s="11">
        <v>67.068664964000007</v>
      </c>
    </row>
    <row r="197" spans="1:32" x14ac:dyDescent="0.2">
      <c r="A197">
        <v>629</v>
      </c>
      <c r="B197" s="8">
        <v>46214</v>
      </c>
      <c r="C197" s="9">
        <v>0.47211805555555558</v>
      </c>
      <c r="D197" s="7" t="s">
        <v>21</v>
      </c>
      <c r="E197" s="13" t="s">
        <v>33</v>
      </c>
      <c r="F197" s="16">
        <v>83.004717799999995</v>
      </c>
      <c r="G197" s="129">
        <v>1093.1718800000001</v>
      </c>
      <c r="H197" s="22">
        <v>1</v>
      </c>
      <c r="I197" s="19" t="s">
        <v>255</v>
      </c>
      <c r="J197" s="7" t="s">
        <v>17</v>
      </c>
      <c r="K197" s="16">
        <v>86.554013800000007</v>
      </c>
      <c r="L197" s="16">
        <v>41.8201714</v>
      </c>
      <c r="M197" s="16">
        <v>12.8547049</v>
      </c>
      <c r="N197" s="16">
        <v>63.177395300000001</v>
      </c>
      <c r="O197" s="16">
        <v>321</v>
      </c>
      <c r="P197" s="175">
        <v>0.84243400000000002</v>
      </c>
      <c r="R197" s="13" t="s">
        <v>33</v>
      </c>
      <c r="S197" s="22">
        <v>1</v>
      </c>
      <c r="T197" s="19" t="s">
        <v>38</v>
      </c>
      <c r="W197" s="10"/>
      <c r="AC197" s="10" t="s">
        <v>33</v>
      </c>
      <c r="AD197" s="20">
        <v>1</v>
      </c>
      <c r="AE197" s="17" t="s">
        <v>263</v>
      </c>
      <c r="AF197" s="11"/>
    </row>
    <row r="198" spans="1:32" x14ac:dyDescent="0.2">
      <c r="A198">
        <v>630</v>
      </c>
      <c r="B198" s="8">
        <v>46214</v>
      </c>
      <c r="C198" s="9">
        <v>0.47249999999999998</v>
      </c>
      <c r="D198" s="7" t="s">
        <v>21</v>
      </c>
      <c r="E198" s="13" t="s">
        <v>46</v>
      </c>
      <c r="F198" s="16">
        <v>68.855643499999999</v>
      </c>
      <c r="G198" s="129">
        <v>375.217285</v>
      </c>
      <c r="H198" s="22">
        <v>0</v>
      </c>
      <c r="I198" s="19"/>
      <c r="J198" s="7" t="s">
        <v>19</v>
      </c>
      <c r="K198" s="16">
        <v>74.117133100000004</v>
      </c>
      <c r="L198" s="16">
        <v>19.069187199999998</v>
      </c>
      <c r="M198" s="16"/>
      <c r="N198" s="16">
        <v>49.575143400000002</v>
      </c>
      <c r="O198" s="16">
        <v>195</v>
      </c>
      <c r="P198" s="175">
        <v>0.89618935</v>
      </c>
      <c r="R198" s="13" t="s">
        <v>33</v>
      </c>
      <c r="S198" s="22">
        <v>1</v>
      </c>
      <c r="T198" s="19" t="s">
        <v>39</v>
      </c>
      <c r="W198" s="10"/>
      <c r="AC198" s="10" t="s">
        <v>33</v>
      </c>
      <c r="AD198" s="20">
        <v>0</v>
      </c>
      <c r="AE198" s="17"/>
      <c r="AF198" s="11"/>
    </row>
    <row r="199" spans="1:32" x14ac:dyDescent="0.2">
      <c r="A199">
        <v>631</v>
      </c>
      <c r="B199" s="8">
        <v>46214</v>
      </c>
      <c r="C199" s="9">
        <v>0.47270833333333334</v>
      </c>
      <c r="D199" s="7" t="s">
        <v>21</v>
      </c>
      <c r="E199" s="13" t="s">
        <v>33</v>
      </c>
      <c r="F199" s="16">
        <v>81.877238599999998</v>
      </c>
      <c r="G199" s="129">
        <v>2015.1733400000001</v>
      </c>
      <c r="H199" s="22">
        <v>1</v>
      </c>
      <c r="I199" s="19"/>
      <c r="J199" s="7" t="s">
        <v>19</v>
      </c>
      <c r="K199" s="16"/>
      <c r="L199" s="16"/>
      <c r="M199" s="16"/>
      <c r="N199" s="16"/>
      <c r="O199" s="16"/>
      <c r="P199" s="175"/>
      <c r="R199" s="13" t="s">
        <v>33</v>
      </c>
      <c r="S199" s="22">
        <v>1</v>
      </c>
      <c r="T199" s="19" t="s">
        <v>255</v>
      </c>
      <c r="W199" s="10"/>
      <c r="AC199" s="10" t="s">
        <v>33</v>
      </c>
      <c r="AD199" s="20">
        <v>0</v>
      </c>
      <c r="AE199" s="17" t="s">
        <v>48</v>
      </c>
      <c r="AF199" s="11"/>
    </row>
    <row r="200" spans="1:32" x14ac:dyDescent="0.2">
      <c r="A200">
        <v>632</v>
      </c>
      <c r="B200" s="8">
        <v>46214</v>
      </c>
      <c r="C200" s="9">
        <v>0.47288194444444442</v>
      </c>
      <c r="D200" s="7" t="s">
        <v>21</v>
      </c>
      <c r="E200" s="13" t="s">
        <v>37</v>
      </c>
      <c r="F200" s="16">
        <v>70.507161300000007</v>
      </c>
      <c r="G200" s="129">
        <v>2143.9685100000002</v>
      </c>
      <c r="H200" s="22">
        <v>1</v>
      </c>
      <c r="I200" s="19"/>
      <c r="J200" s="7" t="s">
        <v>19</v>
      </c>
      <c r="K200" s="16"/>
      <c r="L200" s="16"/>
      <c r="M200" s="16"/>
      <c r="N200" s="16"/>
      <c r="O200" s="16"/>
      <c r="P200" s="175"/>
      <c r="R200" s="13" t="s">
        <v>33</v>
      </c>
      <c r="S200" s="22">
        <v>0</v>
      </c>
      <c r="T200" s="19"/>
      <c r="W200" s="10"/>
      <c r="AC200" s="10" t="s">
        <v>33</v>
      </c>
      <c r="AD200" s="20">
        <v>1</v>
      </c>
      <c r="AE200" s="17" t="s">
        <v>263</v>
      </c>
      <c r="AF200" s="11">
        <v>74.642780161999994</v>
      </c>
    </row>
    <row r="201" spans="1:32" x14ac:dyDescent="0.2">
      <c r="A201">
        <v>633</v>
      </c>
      <c r="B201" s="8">
        <v>46214</v>
      </c>
      <c r="C201" s="9">
        <v>0.47309027777777779</v>
      </c>
      <c r="D201" s="7" t="s">
        <v>21</v>
      </c>
      <c r="E201" s="13" t="s">
        <v>46</v>
      </c>
      <c r="F201" s="16">
        <v>74.318355299999993</v>
      </c>
      <c r="G201" s="129">
        <v>1623.8112799999999</v>
      </c>
      <c r="H201" s="22">
        <v>0</v>
      </c>
      <c r="I201" s="19"/>
      <c r="J201" s="7" t="s">
        <v>19</v>
      </c>
      <c r="K201" s="16"/>
      <c r="L201" s="16"/>
      <c r="M201" s="16"/>
      <c r="N201" s="16"/>
      <c r="O201" s="16"/>
      <c r="P201" s="175"/>
      <c r="R201" s="13" t="s">
        <v>33</v>
      </c>
      <c r="S201" s="22">
        <v>1</v>
      </c>
      <c r="T201" s="19" t="s">
        <v>255</v>
      </c>
      <c r="W201" s="10"/>
      <c r="AC201" s="10" t="s">
        <v>33</v>
      </c>
      <c r="AD201" s="20">
        <v>0</v>
      </c>
      <c r="AE201" s="17"/>
      <c r="AF201" s="11"/>
    </row>
    <row r="202" spans="1:32" x14ac:dyDescent="0.2">
      <c r="A202">
        <v>634</v>
      </c>
      <c r="B202" s="8">
        <v>46214</v>
      </c>
      <c r="C202" s="9">
        <v>0.47327546296296297</v>
      </c>
      <c r="D202" s="7" t="s">
        <v>21</v>
      </c>
      <c r="E202" s="13" t="s">
        <v>37</v>
      </c>
      <c r="F202" s="16">
        <v>71.904602100000005</v>
      </c>
      <c r="G202" s="129">
        <v>2165.8967299999999</v>
      </c>
      <c r="H202" s="22">
        <v>1</v>
      </c>
      <c r="I202" s="19" t="s">
        <v>38</v>
      </c>
      <c r="J202" s="7" t="s">
        <v>19</v>
      </c>
      <c r="K202" s="16"/>
      <c r="L202" s="16"/>
      <c r="M202" s="16"/>
      <c r="N202" s="16">
        <v>58.680782200000003</v>
      </c>
      <c r="O202" s="16"/>
      <c r="P202" s="175"/>
      <c r="R202" s="13" t="s">
        <v>33</v>
      </c>
      <c r="S202" s="22">
        <v>1</v>
      </c>
      <c r="T202" s="19" t="s">
        <v>38</v>
      </c>
      <c r="W202" s="10"/>
      <c r="AC202" s="10" t="s">
        <v>33</v>
      </c>
      <c r="AD202" s="20">
        <v>1</v>
      </c>
      <c r="AE202" s="17" t="s">
        <v>255</v>
      </c>
      <c r="AF202" s="11">
        <v>78.018817659000007</v>
      </c>
    </row>
    <row r="203" spans="1:32" x14ac:dyDescent="0.2">
      <c r="A203">
        <v>635</v>
      </c>
      <c r="B203" s="8">
        <v>46214</v>
      </c>
      <c r="C203" s="9">
        <v>0.47361111111111109</v>
      </c>
      <c r="D203" s="7" t="s">
        <v>21</v>
      </c>
      <c r="E203" s="13" t="s">
        <v>33</v>
      </c>
      <c r="F203" s="16">
        <v>82.131315799999996</v>
      </c>
      <c r="G203" s="129">
        <v>2240.5561499999999</v>
      </c>
      <c r="H203" s="22">
        <v>0</v>
      </c>
      <c r="I203" s="19"/>
      <c r="J203" s="7" t="s">
        <v>19</v>
      </c>
      <c r="K203" s="16"/>
      <c r="L203" s="16"/>
      <c r="M203" s="16"/>
      <c r="N203" s="16"/>
      <c r="O203" s="16"/>
      <c r="P203" s="175"/>
      <c r="R203" s="13" t="s">
        <v>33</v>
      </c>
      <c r="S203" s="22">
        <v>1</v>
      </c>
      <c r="T203" s="19"/>
      <c r="W203" s="10"/>
      <c r="AC203" s="10" t="s">
        <v>33</v>
      </c>
      <c r="AD203" s="20">
        <v>1</v>
      </c>
      <c r="AE203" s="17" t="s">
        <v>38</v>
      </c>
      <c r="AF203" s="11">
        <v>61.568744199000001</v>
      </c>
    </row>
    <row r="204" spans="1:32" x14ac:dyDescent="0.2">
      <c r="A204">
        <v>636</v>
      </c>
      <c r="B204" s="8">
        <v>46214</v>
      </c>
      <c r="C204" s="9">
        <v>0.47381944444444446</v>
      </c>
      <c r="D204" s="7" t="s">
        <v>21</v>
      </c>
      <c r="E204" s="13" t="s">
        <v>33</v>
      </c>
      <c r="F204" s="16">
        <v>84.545077300000003</v>
      </c>
      <c r="G204" s="129">
        <v>1078.7329099999999</v>
      </c>
      <c r="H204" s="22">
        <v>1</v>
      </c>
      <c r="I204" s="19" t="s">
        <v>45</v>
      </c>
      <c r="J204" s="7" t="s">
        <v>19</v>
      </c>
      <c r="K204" s="16"/>
      <c r="L204" s="16">
        <v>-64.116280000000003</v>
      </c>
      <c r="M204" s="16">
        <v>-8.6411209000000007</v>
      </c>
      <c r="N204" s="16">
        <v>63.121189000000001</v>
      </c>
      <c r="O204" s="16">
        <v>4</v>
      </c>
      <c r="P204" s="175"/>
      <c r="R204" s="13" t="s">
        <v>33</v>
      </c>
      <c r="S204" s="22">
        <v>1</v>
      </c>
      <c r="T204" s="19" t="s">
        <v>255</v>
      </c>
      <c r="W204" s="10"/>
      <c r="AC204" s="10" t="s">
        <v>33</v>
      </c>
      <c r="AD204" s="20">
        <v>1</v>
      </c>
      <c r="AE204" s="17" t="s">
        <v>39</v>
      </c>
      <c r="AF204" s="11"/>
    </row>
    <row r="205" spans="1:32" x14ac:dyDescent="0.2">
      <c r="A205">
        <v>637</v>
      </c>
      <c r="B205" s="8">
        <v>46214</v>
      </c>
      <c r="C205" s="9">
        <v>0.47413194444444445</v>
      </c>
      <c r="D205" s="7" t="s">
        <v>21</v>
      </c>
      <c r="E205" s="13" t="s">
        <v>37</v>
      </c>
      <c r="F205" s="16">
        <v>73.651397599999996</v>
      </c>
      <c r="G205" s="129">
        <v>1166.92</v>
      </c>
      <c r="H205" s="22">
        <v>0</v>
      </c>
      <c r="I205" s="19"/>
      <c r="J205" s="7" t="s">
        <v>23</v>
      </c>
      <c r="K205" s="16"/>
      <c r="L205" s="16"/>
      <c r="M205" s="16"/>
      <c r="N205" s="16"/>
      <c r="O205" s="16"/>
      <c r="P205" s="175"/>
      <c r="R205" s="13" t="s">
        <v>33</v>
      </c>
      <c r="S205" s="22">
        <v>1</v>
      </c>
      <c r="T205" s="19" t="s">
        <v>254</v>
      </c>
      <c r="W205" s="10"/>
      <c r="AC205" s="10" t="s">
        <v>33</v>
      </c>
      <c r="AD205" s="20">
        <v>0</v>
      </c>
      <c r="AE205" s="17"/>
      <c r="AF205" s="11"/>
    </row>
    <row r="206" spans="1:32" x14ac:dyDescent="0.2">
      <c r="A206">
        <v>638</v>
      </c>
      <c r="B206" s="8">
        <v>46214</v>
      </c>
      <c r="C206" s="9">
        <v>0.47431712962962963</v>
      </c>
      <c r="D206" s="7" t="s">
        <v>21</v>
      </c>
      <c r="E206" s="13" t="s">
        <v>33</v>
      </c>
      <c r="F206" s="16">
        <v>85.370829900000004</v>
      </c>
      <c r="G206" s="129">
        <v>2177.4252900000001</v>
      </c>
      <c r="H206" s="22">
        <v>1</v>
      </c>
      <c r="I206" s="19" t="s">
        <v>38</v>
      </c>
      <c r="J206" s="7" t="s">
        <v>23</v>
      </c>
      <c r="K206" s="16"/>
      <c r="L206" s="16">
        <v>-69.741089000000002</v>
      </c>
      <c r="M206" s="16">
        <v>-2.1407389999999999</v>
      </c>
      <c r="N206" s="16">
        <v>57.950085700000002</v>
      </c>
      <c r="O206" s="16"/>
      <c r="P206" s="175"/>
      <c r="R206" s="13" t="s">
        <v>33</v>
      </c>
      <c r="S206" s="22">
        <v>0</v>
      </c>
      <c r="T206" s="19"/>
      <c r="W206" s="10"/>
      <c r="AC206" s="10" t="s">
        <v>33</v>
      </c>
      <c r="AD206" s="20">
        <v>1</v>
      </c>
      <c r="AE206" s="17"/>
      <c r="AF206" s="11"/>
    </row>
    <row r="207" spans="1:32" x14ac:dyDescent="0.2">
      <c r="A207">
        <v>639</v>
      </c>
      <c r="B207" s="8">
        <v>46214</v>
      </c>
      <c r="C207" s="9">
        <v>0.47479166666666667</v>
      </c>
      <c r="D207" s="7" t="s">
        <v>21</v>
      </c>
      <c r="E207" s="13" t="s">
        <v>37</v>
      </c>
      <c r="F207" s="16">
        <v>73.492602700000006</v>
      </c>
      <c r="G207" s="129">
        <v>2092.66284</v>
      </c>
      <c r="H207" s="22">
        <v>0</v>
      </c>
      <c r="I207" s="19"/>
      <c r="J207" s="7" t="s">
        <v>23</v>
      </c>
      <c r="K207" s="16"/>
      <c r="L207" s="16"/>
      <c r="M207" s="16"/>
      <c r="N207" s="16"/>
      <c r="O207" s="16"/>
      <c r="P207" s="175"/>
      <c r="R207" s="13" t="s">
        <v>33</v>
      </c>
      <c r="S207" s="22">
        <v>0</v>
      </c>
      <c r="T207" s="19"/>
      <c r="W207" s="10"/>
      <c r="AC207" s="10" t="s">
        <v>33</v>
      </c>
      <c r="AD207" s="20">
        <v>1</v>
      </c>
      <c r="AE207" s="17" t="s">
        <v>39</v>
      </c>
      <c r="AF207" s="11"/>
    </row>
    <row r="208" spans="1:32" x14ac:dyDescent="0.2">
      <c r="A208">
        <v>640</v>
      </c>
      <c r="B208" s="8">
        <v>46214</v>
      </c>
      <c r="C208" s="9">
        <v>0.47497685185185184</v>
      </c>
      <c r="D208" s="7" t="s">
        <v>21</v>
      </c>
      <c r="E208" s="13" t="s">
        <v>33</v>
      </c>
      <c r="F208" s="16">
        <v>84.418034599999999</v>
      </c>
      <c r="G208" s="129">
        <v>2104.03442</v>
      </c>
      <c r="H208" s="22">
        <v>1</v>
      </c>
      <c r="I208" s="19" t="s">
        <v>39</v>
      </c>
      <c r="J208" s="7" t="s">
        <v>23</v>
      </c>
      <c r="K208" s="16"/>
      <c r="L208" s="16"/>
      <c r="M208" s="16"/>
      <c r="N208" s="16">
        <v>60.8728804</v>
      </c>
      <c r="O208" s="16"/>
      <c r="P208" s="175"/>
      <c r="R208" s="13" t="s">
        <v>33</v>
      </c>
      <c r="S208" s="22">
        <v>1</v>
      </c>
      <c r="T208" s="19" t="s">
        <v>38</v>
      </c>
      <c r="W208" s="10"/>
      <c r="AC208" s="10" t="s">
        <v>33</v>
      </c>
      <c r="AD208" s="20">
        <v>1</v>
      </c>
      <c r="AE208" s="17" t="s">
        <v>39</v>
      </c>
      <c r="AF208" s="11"/>
    </row>
    <row r="209" spans="1:33" x14ac:dyDescent="0.2">
      <c r="A209">
        <v>641</v>
      </c>
      <c r="B209" s="8">
        <v>46214</v>
      </c>
      <c r="C209" s="9">
        <v>0.47520833333333334</v>
      </c>
      <c r="D209" s="7" t="s">
        <v>21</v>
      </c>
      <c r="E209" s="13" t="s">
        <v>37</v>
      </c>
      <c r="F209" s="16">
        <v>72.714482700000005</v>
      </c>
      <c r="G209" s="129">
        <v>2180.12183</v>
      </c>
      <c r="H209" s="22">
        <v>0</v>
      </c>
      <c r="I209" s="19"/>
      <c r="J209" s="7" t="s">
        <v>23</v>
      </c>
      <c r="K209" s="16"/>
      <c r="L209" s="16"/>
      <c r="M209" s="16"/>
      <c r="N209" s="16"/>
      <c r="O209" s="16"/>
      <c r="P209" s="175"/>
      <c r="R209" s="13" t="s">
        <v>33</v>
      </c>
      <c r="S209" s="22">
        <v>0</v>
      </c>
      <c r="T209" s="19" t="s">
        <v>48</v>
      </c>
      <c r="W209" s="10"/>
      <c r="AC209" s="10" t="s">
        <v>54</v>
      </c>
      <c r="AD209" s="20">
        <v>0</v>
      </c>
      <c r="AE209" s="17"/>
      <c r="AF209" s="11"/>
      <c r="AG209" s="5">
        <f>6/14</f>
        <v>0.42857142857142855</v>
      </c>
    </row>
    <row r="210" spans="1:33" x14ac:dyDescent="0.2">
      <c r="A210">
        <v>642</v>
      </c>
      <c r="B210" s="8">
        <v>46214</v>
      </c>
      <c r="C210" s="9">
        <v>0.47541666666666665</v>
      </c>
      <c r="D210" s="7" t="s">
        <v>21</v>
      </c>
      <c r="E210" s="13" t="s">
        <v>33</v>
      </c>
      <c r="F210" s="16">
        <v>84.926197099999996</v>
      </c>
      <c r="G210" s="129">
        <v>2146.6655300000002</v>
      </c>
      <c r="H210" s="169">
        <v>1</v>
      </c>
      <c r="I210" s="170" t="s">
        <v>255</v>
      </c>
      <c r="J210" s="165" t="s">
        <v>23</v>
      </c>
      <c r="K210" s="16">
        <v>70.052911600000002</v>
      </c>
      <c r="L210" s="16">
        <v>43.5594368</v>
      </c>
      <c r="M210" s="16">
        <v>-27.454135999999998</v>
      </c>
      <c r="N210" s="16">
        <v>64.976038900000006</v>
      </c>
      <c r="O210" s="16">
        <v>239</v>
      </c>
      <c r="P210" s="175">
        <v>0.66054245</v>
      </c>
      <c r="R210" s="13" t="s">
        <v>33</v>
      </c>
      <c r="S210" s="169">
        <v>1</v>
      </c>
      <c r="T210" s="170" t="s">
        <v>263</v>
      </c>
      <c r="W210" s="10"/>
      <c r="AC210" s="10" t="s">
        <v>54</v>
      </c>
      <c r="AD210" s="161">
        <v>1</v>
      </c>
      <c r="AE210" s="162" t="s">
        <v>254</v>
      </c>
      <c r="AF210" s="11">
        <v>81.067101979</v>
      </c>
    </row>
    <row r="211" spans="1:33" x14ac:dyDescent="0.2">
      <c r="A211">
        <v>666</v>
      </c>
      <c r="B211" s="8">
        <v>46214</v>
      </c>
      <c r="C211" s="9">
        <v>0.48652777777777778</v>
      </c>
      <c r="D211" s="7" t="s">
        <v>21</v>
      </c>
      <c r="E211" s="13" t="s">
        <v>33</v>
      </c>
      <c r="F211" s="16">
        <v>81.623153000000002</v>
      </c>
      <c r="G211" s="129">
        <v>2073.6333</v>
      </c>
      <c r="H211" s="22">
        <v>0</v>
      </c>
      <c r="I211" s="19"/>
      <c r="J211" s="7" t="s">
        <v>27</v>
      </c>
      <c r="K211" s="16"/>
      <c r="L211" s="16"/>
      <c r="M211" s="16"/>
      <c r="N211" s="16"/>
      <c r="O211" s="16"/>
      <c r="P211" s="175"/>
      <c r="R211" s="13" t="s">
        <v>33</v>
      </c>
      <c r="S211" s="22">
        <v>1</v>
      </c>
      <c r="T211" s="19" t="s">
        <v>39</v>
      </c>
      <c r="W211" s="13"/>
      <c r="AC211" s="13" t="s">
        <v>54</v>
      </c>
      <c r="AD211" s="22">
        <v>1</v>
      </c>
      <c r="AE211" s="19" t="s">
        <v>38</v>
      </c>
      <c r="AF211" s="16"/>
    </row>
    <row r="212" spans="1:33" x14ac:dyDescent="0.2">
      <c r="A212">
        <v>667</v>
      </c>
      <c r="B212" s="8">
        <v>46214</v>
      </c>
      <c r="C212" s="9">
        <v>0.48672453703703705</v>
      </c>
      <c r="D212" s="7" t="s">
        <v>21</v>
      </c>
      <c r="E212" s="13" t="s">
        <v>33</v>
      </c>
      <c r="F212" s="16">
        <v>83.465227100000007</v>
      </c>
      <c r="G212" s="129">
        <v>1055.29358</v>
      </c>
      <c r="H212" s="22">
        <v>1</v>
      </c>
      <c r="I212" s="19" t="s">
        <v>255</v>
      </c>
      <c r="J212" s="7" t="s">
        <v>27</v>
      </c>
      <c r="K212" s="16">
        <v>91.0002894</v>
      </c>
      <c r="L212" s="16">
        <v>11.415533099999999</v>
      </c>
      <c r="M212" s="16">
        <v>-6.9275159999999998</v>
      </c>
      <c r="N212" s="16">
        <v>70.877840800000001</v>
      </c>
      <c r="O212" s="16">
        <v>186</v>
      </c>
      <c r="P212" s="175">
        <v>0.81320457999999995</v>
      </c>
      <c r="R212" s="13" t="s">
        <v>33</v>
      </c>
      <c r="S212" s="22">
        <v>1</v>
      </c>
      <c r="T212" s="19" t="s">
        <v>39</v>
      </c>
      <c r="W212" s="13"/>
      <c r="AC212" s="13" t="s">
        <v>54</v>
      </c>
      <c r="AD212" s="22">
        <v>0</v>
      </c>
      <c r="AE212" s="19"/>
      <c r="AF212" s="16"/>
    </row>
    <row r="213" spans="1:33" x14ac:dyDescent="0.2">
      <c r="A213">
        <v>668</v>
      </c>
      <c r="B213" s="8">
        <v>46214</v>
      </c>
      <c r="C213" s="9">
        <v>0.48715277777777777</v>
      </c>
      <c r="D213" s="7" t="s">
        <v>21</v>
      </c>
      <c r="E213" s="13" t="s">
        <v>37</v>
      </c>
      <c r="F213" s="16">
        <v>72.412756099999996</v>
      </c>
      <c r="G213" s="129">
        <v>1047.12671</v>
      </c>
      <c r="H213" s="22">
        <v>0</v>
      </c>
      <c r="I213" s="19"/>
      <c r="J213" s="7" t="s">
        <v>19</v>
      </c>
      <c r="K213" s="16"/>
      <c r="L213" s="16"/>
      <c r="M213" s="16"/>
      <c r="N213" s="16"/>
      <c r="O213" s="16"/>
      <c r="P213" s="175"/>
      <c r="R213" s="13" t="s">
        <v>33</v>
      </c>
      <c r="S213" s="22">
        <v>1</v>
      </c>
      <c r="T213" s="19" t="s">
        <v>45</v>
      </c>
      <c r="W213" s="13"/>
      <c r="AC213" s="13" t="s">
        <v>54</v>
      </c>
      <c r="AD213" s="22">
        <v>1</v>
      </c>
      <c r="AE213" s="19"/>
      <c r="AF213" s="16"/>
    </row>
    <row r="214" spans="1:33" x14ac:dyDescent="0.2">
      <c r="A214">
        <v>669</v>
      </c>
      <c r="B214" s="8">
        <v>46214</v>
      </c>
      <c r="C214" s="9">
        <v>0.48737268518518517</v>
      </c>
      <c r="D214" s="7" t="s">
        <v>21</v>
      </c>
      <c r="E214" s="13" t="s">
        <v>33</v>
      </c>
      <c r="F214" s="16">
        <v>82.893555300000003</v>
      </c>
      <c r="G214" s="129">
        <v>2199.0520000000001</v>
      </c>
      <c r="H214" s="22">
        <v>1</v>
      </c>
      <c r="I214" s="19" t="s">
        <v>38</v>
      </c>
      <c r="J214" s="7" t="s">
        <v>19</v>
      </c>
      <c r="K214" s="16"/>
      <c r="L214" s="16"/>
      <c r="M214" s="16"/>
      <c r="N214" s="16">
        <v>61.997035799999999</v>
      </c>
      <c r="O214" s="16"/>
      <c r="P214" s="175"/>
      <c r="R214" s="13" t="s">
        <v>33</v>
      </c>
      <c r="S214" s="22">
        <v>1</v>
      </c>
      <c r="T214" s="19" t="s">
        <v>38</v>
      </c>
      <c r="W214" s="13"/>
      <c r="AC214" s="13" t="s">
        <v>54</v>
      </c>
      <c r="AD214" s="22">
        <v>1</v>
      </c>
      <c r="AE214" s="19"/>
      <c r="AF214" s="16"/>
    </row>
    <row r="215" spans="1:33" x14ac:dyDescent="0.2">
      <c r="A215">
        <v>670</v>
      </c>
      <c r="B215" s="8">
        <v>46214</v>
      </c>
      <c r="C215" s="9">
        <v>0.48760416666666667</v>
      </c>
      <c r="D215" s="7" t="s">
        <v>21</v>
      </c>
      <c r="E215" s="13" t="s">
        <v>37</v>
      </c>
      <c r="F215" s="16">
        <v>73.603756700000005</v>
      </c>
      <c r="G215" s="129">
        <v>722.96673599999997</v>
      </c>
      <c r="H215" s="22">
        <v>1</v>
      </c>
      <c r="I215" s="19" t="s">
        <v>39</v>
      </c>
      <c r="J215" s="7" t="s">
        <v>19</v>
      </c>
      <c r="K215" s="16"/>
      <c r="L215" s="16"/>
      <c r="M215" s="16"/>
      <c r="N215" s="16">
        <v>60.142183699999997</v>
      </c>
      <c r="O215" s="16"/>
      <c r="P215" s="175"/>
      <c r="R215" s="13" t="s">
        <v>33</v>
      </c>
      <c r="S215" s="22">
        <v>1</v>
      </c>
      <c r="T215" s="19" t="s">
        <v>254</v>
      </c>
      <c r="W215" s="13"/>
      <c r="AC215" s="13" t="s">
        <v>54</v>
      </c>
      <c r="AD215" s="22">
        <v>0</v>
      </c>
      <c r="AE215" s="19" t="s">
        <v>48</v>
      </c>
      <c r="AF215" s="16"/>
    </row>
    <row r="216" spans="1:33" x14ac:dyDescent="0.2">
      <c r="A216">
        <v>671</v>
      </c>
      <c r="B216" s="8">
        <v>46214</v>
      </c>
      <c r="C216" s="9">
        <v>0.48784722222222221</v>
      </c>
      <c r="D216" s="7" t="s">
        <v>21</v>
      </c>
      <c r="E216" s="13" t="s">
        <v>37</v>
      </c>
      <c r="F216" s="16">
        <v>71.269401000000002</v>
      </c>
      <c r="G216" s="129">
        <v>1049.50269</v>
      </c>
      <c r="H216" s="22">
        <v>1</v>
      </c>
      <c r="I216" s="19" t="s">
        <v>38</v>
      </c>
      <c r="J216" s="7" t="s">
        <v>19</v>
      </c>
      <c r="K216" s="16"/>
      <c r="L216" s="16"/>
      <c r="M216" s="16"/>
      <c r="N216" s="16">
        <v>61.6035811</v>
      </c>
      <c r="O216" s="16"/>
      <c r="P216" s="175"/>
      <c r="R216" s="13" t="s">
        <v>33</v>
      </c>
      <c r="S216" s="22">
        <v>1</v>
      </c>
      <c r="T216" s="19"/>
      <c r="W216" s="10"/>
      <c r="AC216" s="10" t="s">
        <v>54</v>
      </c>
      <c r="AD216" s="20">
        <v>0</v>
      </c>
      <c r="AE216" s="17"/>
      <c r="AF216" s="11"/>
    </row>
    <row r="217" spans="1:33" x14ac:dyDescent="0.2">
      <c r="A217">
        <v>672</v>
      </c>
      <c r="B217" s="8">
        <v>46214</v>
      </c>
      <c r="C217" s="9">
        <v>0.4880902777777778</v>
      </c>
      <c r="D217" s="7" t="s">
        <v>21</v>
      </c>
      <c r="E217" s="13" t="s">
        <v>37</v>
      </c>
      <c r="F217" s="16">
        <v>72.714482700000005</v>
      </c>
      <c r="G217" s="129">
        <v>1083.7010499999999</v>
      </c>
      <c r="H217" s="22">
        <v>1</v>
      </c>
      <c r="I217" s="19" t="s">
        <v>255</v>
      </c>
      <c r="J217" s="7" t="s">
        <v>19</v>
      </c>
      <c r="K217" s="16">
        <v>81.142638199999993</v>
      </c>
      <c r="L217" s="16">
        <v>-87.584891999999996</v>
      </c>
      <c r="M217" s="16">
        <v>15.3212194</v>
      </c>
      <c r="N217" s="16">
        <v>61.715997899999998</v>
      </c>
      <c r="O217" s="16"/>
      <c r="P217" s="175">
        <v>0.82447861</v>
      </c>
      <c r="R217" s="13" t="s">
        <v>54</v>
      </c>
      <c r="S217" s="22">
        <v>1</v>
      </c>
      <c r="T217" s="19" t="s">
        <v>38</v>
      </c>
      <c r="W217" s="10"/>
      <c r="AC217" s="10" t="s">
        <v>54</v>
      </c>
      <c r="AD217" s="20">
        <v>0</v>
      </c>
      <c r="AE217" s="17"/>
      <c r="AF217" s="11"/>
    </row>
    <row r="218" spans="1:33" x14ac:dyDescent="0.2">
      <c r="A218">
        <v>673</v>
      </c>
      <c r="B218" s="8">
        <v>46214</v>
      </c>
      <c r="C218" s="9">
        <v>0.48857638888888888</v>
      </c>
      <c r="D218" s="7" t="s">
        <v>21</v>
      </c>
      <c r="E218" s="13" t="s">
        <v>37</v>
      </c>
      <c r="F218" s="16">
        <v>72.984440199999995</v>
      </c>
      <c r="G218" s="129">
        <v>2185.4108900000001</v>
      </c>
      <c r="H218" s="22">
        <v>1</v>
      </c>
      <c r="I218" s="19" t="s">
        <v>39</v>
      </c>
      <c r="J218" s="7" t="s">
        <v>23</v>
      </c>
      <c r="K218" s="16"/>
      <c r="L218" s="16"/>
      <c r="M218" s="16"/>
      <c r="N218" s="16">
        <v>54.746248899999998</v>
      </c>
      <c r="O218" s="16"/>
      <c r="P218" s="175"/>
      <c r="R218" s="13" t="s">
        <v>37</v>
      </c>
      <c r="S218" s="22">
        <v>1</v>
      </c>
      <c r="T218" s="19" t="s">
        <v>38</v>
      </c>
      <c r="W218" s="10"/>
      <c r="AC218" s="10" t="s">
        <v>54</v>
      </c>
      <c r="AD218" s="20">
        <v>0</v>
      </c>
      <c r="AE218" s="17"/>
      <c r="AF218" s="11"/>
    </row>
    <row r="219" spans="1:33" x14ac:dyDescent="0.2">
      <c r="A219">
        <v>674</v>
      </c>
      <c r="B219" s="8">
        <v>46214</v>
      </c>
      <c r="C219" s="9">
        <v>0.48878472222222225</v>
      </c>
      <c r="D219" s="7" t="s">
        <v>21</v>
      </c>
      <c r="E219" s="13" t="s">
        <v>33</v>
      </c>
      <c r="F219" s="16">
        <v>83.338196400000001</v>
      </c>
      <c r="G219" s="129">
        <v>2181.7705099999998</v>
      </c>
      <c r="H219" s="22">
        <v>1</v>
      </c>
      <c r="I219" s="19"/>
      <c r="J219" s="7" t="s">
        <v>23</v>
      </c>
      <c r="K219" s="16"/>
      <c r="L219" s="16"/>
      <c r="M219" s="16"/>
      <c r="N219" s="16"/>
      <c r="O219" s="16"/>
      <c r="P219" s="175"/>
      <c r="R219" s="13" t="s">
        <v>37</v>
      </c>
      <c r="S219" s="22">
        <v>0</v>
      </c>
      <c r="T219" s="19"/>
      <c r="W219" s="10"/>
      <c r="AC219" s="10" t="s">
        <v>54</v>
      </c>
      <c r="AD219" s="20">
        <v>0</v>
      </c>
      <c r="AE219" s="17" t="s">
        <v>48</v>
      </c>
      <c r="AF219" s="11"/>
    </row>
    <row r="220" spans="1:33" x14ac:dyDescent="0.2">
      <c r="A220">
        <v>675</v>
      </c>
      <c r="B220" s="8">
        <v>46214</v>
      </c>
      <c r="C220" s="9">
        <v>0.48905092592592592</v>
      </c>
      <c r="D220" s="7" t="s">
        <v>21</v>
      </c>
      <c r="E220" s="13" t="s">
        <v>37</v>
      </c>
      <c r="F220" s="16">
        <v>74.175440600000002</v>
      </c>
      <c r="G220" s="129">
        <v>772.71173099999999</v>
      </c>
      <c r="H220" s="22">
        <v>0</v>
      </c>
      <c r="I220" s="19"/>
      <c r="J220" s="7" t="s">
        <v>23</v>
      </c>
      <c r="K220" s="16"/>
      <c r="L220" s="16"/>
      <c r="M220" s="16"/>
      <c r="N220" s="16"/>
      <c r="O220" s="16"/>
      <c r="P220" s="175"/>
      <c r="R220" s="13" t="s">
        <v>37</v>
      </c>
      <c r="S220" s="22">
        <v>0</v>
      </c>
      <c r="T220" s="19"/>
      <c r="W220" s="10"/>
      <c r="AC220" s="10" t="s">
        <v>54</v>
      </c>
      <c r="AD220" s="20">
        <v>1</v>
      </c>
      <c r="AE220" s="17"/>
      <c r="AF220" s="11"/>
    </row>
    <row r="221" spans="1:33" x14ac:dyDescent="0.2">
      <c r="A221">
        <v>676</v>
      </c>
      <c r="B221" s="8">
        <v>46214</v>
      </c>
      <c r="C221" s="9">
        <v>0.48934027777777778</v>
      </c>
      <c r="D221" s="7" t="s">
        <v>21</v>
      </c>
      <c r="E221" s="13" t="s">
        <v>46</v>
      </c>
      <c r="F221" s="16">
        <v>72.142798799999994</v>
      </c>
      <c r="G221" s="129">
        <v>832.97778300000004</v>
      </c>
      <c r="H221" s="22">
        <v>0</v>
      </c>
      <c r="I221" s="19"/>
      <c r="J221" s="7" t="s">
        <v>23</v>
      </c>
      <c r="K221" s="16"/>
      <c r="L221" s="16"/>
      <c r="M221" s="16"/>
      <c r="N221" s="16"/>
      <c r="O221" s="16"/>
      <c r="P221" s="175"/>
      <c r="R221" s="13" t="s">
        <v>37</v>
      </c>
      <c r="S221" s="22">
        <v>0</v>
      </c>
      <c r="T221" s="19"/>
      <c r="W221" s="10"/>
      <c r="AC221" s="10" t="s">
        <v>54</v>
      </c>
      <c r="AD221" s="20">
        <v>0</v>
      </c>
      <c r="AE221" s="17"/>
      <c r="AF221" s="11"/>
    </row>
    <row r="222" spans="1:33" x14ac:dyDescent="0.2">
      <c r="A222">
        <v>677</v>
      </c>
      <c r="B222" s="8">
        <v>46214</v>
      </c>
      <c r="C222" s="9">
        <v>0.48953703703703705</v>
      </c>
      <c r="D222" s="7" t="s">
        <v>21</v>
      </c>
      <c r="E222" s="13" t="s">
        <v>33</v>
      </c>
      <c r="F222" s="16">
        <v>84.418034599999999</v>
      </c>
      <c r="G222" s="129">
        <v>2172.91113</v>
      </c>
      <c r="H222" s="169">
        <v>1</v>
      </c>
      <c r="I222" s="170" t="s">
        <v>255</v>
      </c>
      <c r="J222" s="165" t="s">
        <v>23</v>
      </c>
      <c r="K222" s="16">
        <v>46.679646699999999</v>
      </c>
      <c r="L222" s="16">
        <v>43.394596100000001</v>
      </c>
      <c r="M222" s="16">
        <v>9.0289516400000007</v>
      </c>
      <c r="N222" s="16">
        <v>65.5943228</v>
      </c>
      <c r="O222" s="16"/>
      <c r="P222" s="175">
        <v>0.43761059000000002</v>
      </c>
      <c r="R222" s="13" t="s">
        <v>37</v>
      </c>
      <c r="S222" s="169">
        <v>1</v>
      </c>
      <c r="T222" s="170"/>
      <c r="W222" s="10"/>
      <c r="AC222" s="10" t="s">
        <v>54</v>
      </c>
      <c r="AD222" s="161">
        <v>1</v>
      </c>
      <c r="AE222" s="162"/>
      <c r="AF222" s="11"/>
    </row>
    <row r="223" spans="1:33" x14ac:dyDescent="0.2">
      <c r="A223">
        <v>709</v>
      </c>
      <c r="B223" s="8">
        <v>46214</v>
      </c>
      <c r="C223" s="9">
        <v>0.50403935185185189</v>
      </c>
      <c r="D223" s="7" t="s">
        <v>21</v>
      </c>
      <c r="E223" s="13" t="s">
        <v>37</v>
      </c>
      <c r="F223" s="16">
        <v>68.919160700000006</v>
      </c>
      <c r="G223" s="129">
        <v>2005.8824500000001</v>
      </c>
      <c r="H223" s="22">
        <v>0</v>
      </c>
      <c r="I223" s="19"/>
      <c r="J223" s="7" t="s">
        <v>19</v>
      </c>
      <c r="K223" s="16"/>
      <c r="L223" s="16"/>
      <c r="M223" s="16"/>
      <c r="N223" s="16"/>
      <c r="O223" s="16"/>
      <c r="P223" s="175"/>
      <c r="R223" s="13" t="s">
        <v>37</v>
      </c>
      <c r="S223" s="22">
        <v>1</v>
      </c>
      <c r="T223" s="19" t="s">
        <v>38</v>
      </c>
      <c r="W223" s="10"/>
      <c r="AC223" s="10" t="s">
        <v>37</v>
      </c>
      <c r="AD223" s="20">
        <v>0</v>
      </c>
      <c r="AE223" s="17"/>
      <c r="AF223" s="11"/>
    </row>
    <row r="224" spans="1:33" x14ac:dyDescent="0.2">
      <c r="A224">
        <v>710</v>
      </c>
      <c r="B224" s="8">
        <v>46214</v>
      </c>
      <c r="C224" s="9">
        <v>0.50420138888888888</v>
      </c>
      <c r="D224" s="7" t="s">
        <v>21</v>
      </c>
      <c r="E224" s="13" t="s">
        <v>33</v>
      </c>
      <c r="F224" s="16">
        <v>80.781511699999996</v>
      </c>
      <c r="G224" s="129">
        <v>1053.41785</v>
      </c>
      <c r="H224" s="22">
        <v>1</v>
      </c>
      <c r="I224" s="19" t="s">
        <v>254</v>
      </c>
      <c r="J224" s="7" t="s">
        <v>19</v>
      </c>
      <c r="K224" s="16">
        <v>84.886483400000003</v>
      </c>
      <c r="L224" s="16">
        <v>31.402010000000001</v>
      </c>
      <c r="M224" s="16">
        <v>14.918272</v>
      </c>
      <c r="N224" s="16">
        <v>62.446694399999998</v>
      </c>
      <c r="O224" s="16">
        <v>296</v>
      </c>
      <c r="P224" s="175">
        <v>0.83804756000000002</v>
      </c>
      <c r="R224" s="13" t="s">
        <v>37</v>
      </c>
      <c r="S224" s="22">
        <v>0</v>
      </c>
      <c r="T224" s="19"/>
      <c r="W224" s="10"/>
      <c r="AC224" s="10" t="s">
        <v>37</v>
      </c>
      <c r="AD224" s="20">
        <v>1</v>
      </c>
      <c r="AE224" s="17" t="s">
        <v>45</v>
      </c>
      <c r="AF224" s="11"/>
    </row>
    <row r="225" spans="1:32" x14ac:dyDescent="0.2">
      <c r="A225">
        <v>711</v>
      </c>
      <c r="B225" s="8">
        <v>46214</v>
      </c>
      <c r="C225" s="9">
        <v>0.50458333333333338</v>
      </c>
      <c r="D225" s="7" t="s">
        <v>21</v>
      </c>
      <c r="E225" s="13" t="s">
        <v>33</v>
      </c>
      <c r="F225" s="16">
        <v>83.195273499999999</v>
      </c>
      <c r="G225" s="129">
        <v>2067.2824700000001</v>
      </c>
      <c r="H225" s="22">
        <v>0</v>
      </c>
      <c r="I225" s="19"/>
      <c r="J225" s="7" t="s">
        <v>23</v>
      </c>
      <c r="K225" s="16"/>
      <c r="L225" s="16"/>
      <c r="M225" s="16"/>
      <c r="N225" s="16"/>
      <c r="O225" s="16"/>
      <c r="P225" s="175"/>
      <c r="R225" s="13" t="s">
        <v>37</v>
      </c>
      <c r="S225" s="22">
        <v>0</v>
      </c>
      <c r="T225" s="19"/>
      <c r="W225" s="10"/>
      <c r="AC225" s="10" t="s">
        <v>37</v>
      </c>
      <c r="AD225" s="20">
        <v>1</v>
      </c>
      <c r="AE225" s="17" t="s">
        <v>255</v>
      </c>
      <c r="AF225" s="11">
        <v>85.916649707999994</v>
      </c>
    </row>
    <row r="226" spans="1:32" x14ac:dyDescent="0.2">
      <c r="A226">
        <v>712</v>
      </c>
      <c r="B226" s="8">
        <v>46214</v>
      </c>
      <c r="C226" s="9">
        <v>0.50475694444444441</v>
      </c>
      <c r="D226" s="7" t="s">
        <v>21</v>
      </c>
      <c r="E226" s="13" t="s">
        <v>33</v>
      </c>
      <c r="F226" s="16">
        <v>83.766957300000001</v>
      </c>
      <c r="G226" s="129">
        <v>1128.73254</v>
      </c>
      <c r="H226" s="22">
        <v>0</v>
      </c>
      <c r="I226" s="19"/>
      <c r="J226" s="7" t="s">
        <v>23</v>
      </c>
      <c r="K226" s="16"/>
      <c r="L226" s="16"/>
      <c r="M226" s="16"/>
      <c r="N226" s="16"/>
      <c r="O226" s="16"/>
      <c r="P226" s="175"/>
      <c r="R226" s="13" t="s">
        <v>37</v>
      </c>
      <c r="S226" s="22">
        <v>0</v>
      </c>
      <c r="T226" s="19"/>
      <c r="W226" s="10"/>
      <c r="AC226" s="10" t="s">
        <v>37</v>
      </c>
      <c r="AD226" s="20">
        <v>1</v>
      </c>
      <c r="AE226" s="17" t="s">
        <v>39</v>
      </c>
      <c r="AF226" s="11"/>
    </row>
    <row r="227" spans="1:32" x14ac:dyDescent="0.2">
      <c r="A227">
        <v>713</v>
      </c>
      <c r="B227" s="8">
        <v>46214</v>
      </c>
      <c r="C227" s="9">
        <v>0.50494212962962959</v>
      </c>
      <c r="D227" s="7" t="s">
        <v>21</v>
      </c>
      <c r="E227" s="13" t="s">
        <v>33</v>
      </c>
      <c r="F227" s="16">
        <v>83.4017178</v>
      </c>
      <c r="G227" s="129">
        <v>2079.6845699999999</v>
      </c>
      <c r="H227" s="22">
        <v>1</v>
      </c>
      <c r="I227" s="19" t="s">
        <v>38</v>
      </c>
      <c r="J227" s="7" t="s">
        <v>23</v>
      </c>
      <c r="K227" s="16">
        <v>75.531486200000003</v>
      </c>
      <c r="L227" s="16">
        <v>43.7364502</v>
      </c>
      <c r="M227" s="16"/>
      <c r="N227" s="16">
        <v>61.0415055</v>
      </c>
      <c r="O227" s="16">
        <v>267</v>
      </c>
      <c r="P227" s="175">
        <v>0.74794464000000005</v>
      </c>
      <c r="R227" s="13" t="s">
        <v>37</v>
      </c>
      <c r="S227" s="22">
        <v>0</v>
      </c>
      <c r="T227" s="19"/>
      <c r="W227" s="10"/>
      <c r="AC227" s="10" t="s">
        <v>37</v>
      </c>
      <c r="AD227" s="20">
        <v>1</v>
      </c>
      <c r="AE227" s="17" t="s">
        <v>45</v>
      </c>
      <c r="AF227" s="11"/>
    </row>
    <row r="228" spans="1:32" x14ac:dyDescent="0.2">
      <c r="A228">
        <v>714</v>
      </c>
      <c r="B228" s="8">
        <v>46214</v>
      </c>
      <c r="C228" s="9">
        <v>0.50519675925925922</v>
      </c>
      <c r="D228" s="7" t="s">
        <v>21</v>
      </c>
      <c r="E228" s="13" t="s">
        <v>37</v>
      </c>
      <c r="F228" s="16">
        <v>74.381876700000007</v>
      </c>
      <c r="G228" s="129">
        <v>2288.8691399999998</v>
      </c>
      <c r="H228" s="22">
        <v>1</v>
      </c>
      <c r="I228" s="19"/>
      <c r="J228" s="7" t="s">
        <v>23</v>
      </c>
      <c r="K228" s="16"/>
      <c r="L228" s="16"/>
      <c r="M228" s="16"/>
      <c r="N228" s="16"/>
      <c r="O228" s="16"/>
      <c r="P228" s="175"/>
      <c r="R228" s="13" t="s">
        <v>37</v>
      </c>
      <c r="S228" s="22">
        <v>1</v>
      </c>
      <c r="T228" s="19" t="s">
        <v>39</v>
      </c>
      <c r="W228" s="10"/>
      <c r="AC228" s="10" t="s">
        <v>37</v>
      </c>
      <c r="AD228" s="20">
        <v>0</v>
      </c>
      <c r="AE228" s="17"/>
      <c r="AF228" s="11"/>
    </row>
    <row r="229" spans="1:32" x14ac:dyDescent="0.2">
      <c r="A229">
        <v>715</v>
      </c>
      <c r="B229" s="8">
        <v>46214</v>
      </c>
      <c r="C229" s="9">
        <v>0.50543981481481481</v>
      </c>
      <c r="D229" s="7" t="s">
        <v>21</v>
      </c>
      <c r="E229" s="13" t="s">
        <v>37</v>
      </c>
      <c r="F229" s="16">
        <v>74.937680400000005</v>
      </c>
      <c r="G229" s="129">
        <v>2322.0058600000002</v>
      </c>
      <c r="H229" s="22">
        <v>0</v>
      </c>
      <c r="I229" s="19"/>
      <c r="J229" s="7" t="s">
        <v>23</v>
      </c>
      <c r="K229" s="16"/>
      <c r="L229" s="16"/>
      <c r="M229" s="16"/>
      <c r="N229" s="16"/>
      <c r="O229" s="16"/>
      <c r="P229" s="175"/>
      <c r="R229" s="13" t="s">
        <v>37</v>
      </c>
      <c r="S229" s="22">
        <v>1</v>
      </c>
      <c r="T229" s="19" t="s">
        <v>38</v>
      </c>
      <c r="W229" s="10"/>
      <c r="AC229" s="10" t="s">
        <v>37</v>
      </c>
      <c r="AD229" s="20">
        <v>0</v>
      </c>
      <c r="AE229" s="17" t="s">
        <v>48</v>
      </c>
      <c r="AF229" s="11"/>
    </row>
    <row r="230" spans="1:32" x14ac:dyDescent="0.2">
      <c r="A230">
        <v>716</v>
      </c>
      <c r="B230" s="8">
        <v>46214</v>
      </c>
      <c r="C230" s="9">
        <v>0.50572916666666667</v>
      </c>
      <c r="D230" s="7" t="s">
        <v>21</v>
      </c>
      <c r="E230" s="13" t="s">
        <v>33</v>
      </c>
      <c r="F230" s="16">
        <v>85.227915199999998</v>
      </c>
      <c r="G230" s="129">
        <v>2212.98315</v>
      </c>
      <c r="H230" s="22">
        <v>0</v>
      </c>
      <c r="I230" s="19" t="s">
        <v>48</v>
      </c>
      <c r="J230" s="7" t="s">
        <v>23</v>
      </c>
      <c r="K230" s="16"/>
      <c r="L230" s="16"/>
      <c r="M230" s="16"/>
      <c r="N230" s="16"/>
      <c r="O230" s="16"/>
      <c r="P230" s="175"/>
      <c r="R230" s="13" t="s">
        <v>37</v>
      </c>
      <c r="S230" s="22">
        <v>1</v>
      </c>
      <c r="T230" s="19" t="s">
        <v>255</v>
      </c>
      <c r="W230" s="10"/>
      <c r="AC230" s="10" t="s">
        <v>37</v>
      </c>
      <c r="AD230" s="20">
        <v>1</v>
      </c>
      <c r="AE230" s="17" t="s">
        <v>39</v>
      </c>
      <c r="AF230" s="11"/>
    </row>
    <row r="231" spans="1:32" x14ac:dyDescent="0.2">
      <c r="A231">
        <v>717</v>
      </c>
      <c r="B231" s="8">
        <v>46214</v>
      </c>
      <c r="C231" s="9">
        <v>0.50591435185185185</v>
      </c>
      <c r="D231" s="7" t="s">
        <v>21</v>
      </c>
      <c r="E231" s="13" t="s">
        <v>33</v>
      </c>
      <c r="F231" s="16">
        <v>85.751949699999997</v>
      </c>
      <c r="G231" s="129">
        <v>2403.56421</v>
      </c>
      <c r="H231" s="22">
        <v>1</v>
      </c>
      <c r="I231" s="19" t="s">
        <v>263</v>
      </c>
      <c r="J231" s="7" t="s">
        <v>23</v>
      </c>
      <c r="K231" s="16">
        <v>89.843549899999999</v>
      </c>
      <c r="L231" s="16">
        <v>29.130651499999999</v>
      </c>
      <c r="M231" s="16">
        <v>-25.608812</v>
      </c>
      <c r="N231" s="16">
        <v>66.999515900000006</v>
      </c>
      <c r="O231" s="16">
        <v>312</v>
      </c>
      <c r="P231" s="175">
        <v>0.82559433000000004</v>
      </c>
      <c r="R231" s="13" t="s">
        <v>37</v>
      </c>
      <c r="S231" s="22">
        <v>1</v>
      </c>
      <c r="T231" s="19" t="s">
        <v>39</v>
      </c>
      <c r="W231" s="10"/>
      <c r="AC231" s="10" t="s">
        <v>37</v>
      </c>
      <c r="AD231" s="20">
        <v>0</v>
      </c>
      <c r="AE231" s="17"/>
      <c r="AF231" s="11"/>
    </row>
    <row r="232" spans="1:32" x14ac:dyDescent="0.2">
      <c r="A232">
        <v>718</v>
      </c>
      <c r="B232" s="8">
        <v>46214</v>
      </c>
      <c r="C232" s="9">
        <v>0.50624999999999998</v>
      </c>
      <c r="D232" s="7" t="s">
        <v>21</v>
      </c>
      <c r="E232" s="13" t="s">
        <v>37</v>
      </c>
      <c r="F232" s="16">
        <v>73.111482899999999</v>
      </c>
      <c r="G232" s="129">
        <v>2235.5913099999998</v>
      </c>
      <c r="H232" s="22">
        <v>0</v>
      </c>
      <c r="I232" s="19"/>
      <c r="J232" s="7" t="s">
        <v>29</v>
      </c>
      <c r="K232" s="16"/>
      <c r="L232" s="16"/>
      <c r="M232" s="16"/>
      <c r="N232" s="16"/>
      <c r="O232" s="16"/>
      <c r="P232" s="175"/>
      <c r="R232" s="13" t="s">
        <v>37</v>
      </c>
      <c r="S232" s="22">
        <v>0</v>
      </c>
      <c r="T232" s="19"/>
      <c r="W232" s="10"/>
      <c r="AC232" s="10" t="s">
        <v>37</v>
      </c>
      <c r="AD232" s="20">
        <v>0</v>
      </c>
      <c r="AE232" s="17"/>
      <c r="AF232" s="11"/>
    </row>
    <row r="233" spans="1:32" x14ac:dyDescent="0.2">
      <c r="A233">
        <v>719</v>
      </c>
      <c r="B233" s="8">
        <v>46214</v>
      </c>
      <c r="C233" s="9">
        <v>0.50640046296296293</v>
      </c>
      <c r="D233" s="7" t="s">
        <v>21</v>
      </c>
      <c r="E233" s="13" t="s">
        <v>33</v>
      </c>
      <c r="F233" s="16">
        <v>83.639914599999997</v>
      </c>
      <c r="G233" s="129">
        <v>2179.5266099999999</v>
      </c>
      <c r="H233" s="22">
        <v>1</v>
      </c>
      <c r="I233" s="19" t="s">
        <v>39</v>
      </c>
      <c r="J233" s="7" t="s">
        <v>29</v>
      </c>
      <c r="K233" s="16"/>
      <c r="L233" s="16"/>
      <c r="M233" s="16"/>
      <c r="N233" s="16">
        <v>58.343535899999999</v>
      </c>
      <c r="O233" s="16"/>
      <c r="P233" s="175"/>
      <c r="R233" s="13" t="s">
        <v>37</v>
      </c>
      <c r="S233" s="22">
        <v>0</v>
      </c>
      <c r="T233" s="19"/>
      <c r="W233" s="10"/>
      <c r="AC233" s="10" t="s">
        <v>37</v>
      </c>
      <c r="AD233" s="20">
        <v>1</v>
      </c>
      <c r="AE233" s="17" t="s">
        <v>265</v>
      </c>
      <c r="AF233" s="11">
        <v>84.835360926000007</v>
      </c>
    </row>
    <row r="234" spans="1:32" x14ac:dyDescent="0.2">
      <c r="A234">
        <v>720</v>
      </c>
      <c r="B234" s="8">
        <v>46214</v>
      </c>
      <c r="C234" s="9">
        <v>0.5065856481481481</v>
      </c>
      <c r="D234" s="7" t="s">
        <v>21</v>
      </c>
      <c r="E234" s="13" t="s">
        <v>33</v>
      </c>
      <c r="F234" s="16">
        <v>84.2909918</v>
      </c>
      <c r="G234" s="129">
        <v>1085.5052499999999</v>
      </c>
      <c r="H234" s="22">
        <v>1</v>
      </c>
      <c r="I234" s="19" t="s">
        <v>39</v>
      </c>
      <c r="J234" s="7" t="s">
        <v>29</v>
      </c>
      <c r="K234" s="16"/>
      <c r="L234" s="16"/>
      <c r="M234" s="16"/>
      <c r="N234" s="16">
        <v>67.4491747</v>
      </c>
      <c r="O234" s="16"/>
      <c r="P234" s="175"/>
      <c r="R234" s="13" t="s">
        <v>37</v>
      </c>
      <c r="S234" s="22">
        <v>1</v>
      </c>
      <c r="T234" s="19"/>
      <c r="W234" s="10"/>
      <c r="AC234" s="10" t="s">
        <v>37</v>
      </c>
      <c r="AD234" s="20">
        <v>1</v>
      </c>
      <c r="AE234" s="17"/>
      <c r="AF234" s="11"/>
    </row>
    <row r="235" spans="1:32" x14ac:dyDescent="0.2">
      <c r="A235">
        <v>721</v>
      </c>
      <c r="B235" s="8">
        <v>46214</v>
      </c>
      <c r="C235" s="9">
        <v>0.5068287037037037</v>
      </c>
      <c r="D235" s="7" t="s">
        <v>21</v>
      </c>
      <c r="E235" s="13" t="s">
        <v>46</v>
      </c>
      <c r="F235" s="16">
        <v>73.984876499999999</v>
      </c>
      <c r="G235" s="129">
        <v>1080.2591600000001</v>
      </c>
      <c r="H235" s="22">
        <v>0</v>
      </c>
      <c r="I235" s="19"/>
      <c r="J235" s="7" t="s">
        <v>29</v>
      </c>
      <c r="K235" s="16"/>
      <c r="L235" s="16"/>
      <c r="M235" s="16"/>
      <c r="N235" s="16"/>
      <c r="O235" s="16"/>
      <c r="P235" s="175"/>
      <c r="R235" s="13" t="s">
        <v>37</v>
      </c>
      <c r="S235" s="22">
        <v>0</v>
      </c>
      <c r="T235" s="19"/>
      <c r="W235" s="10"/>
      <c r="AC235" s="10" t="s">
        <v>37</v>
      </c>
      <c r="AD235" s="20">
        <v>1</v>
      </c>
      <c r="AE235" s="17"/>
      <c r="AF235" s="11"/>
    </row>
    <row r="236" spans="1:32" x14ac:dyDescent="0.2">
      <c r="A236">
        <v>722</v>
      </c>
      <c r="B236" s="8">
        <v>46214</v>
      </c>
      <c r="C236" s="9">
        <v>0.5070486111111111</v>
      </c>
      <c r="D236" s="7" t="s">
        <v>21</v>
      </c>
      <c r="E236" s="13" t="s">
        <v>33</v>
      </c>
      <c r="F236" s="16">
        <v>83.465227100000007</v>
      </c>
      <c r="G236" s="129">
        <v>2148.4216299999998</v>
      </c>
      <c r="H236" s="22">
        <v>1</v>
      </c>
      <c r="I236" s="19" t="s">
        <v>45</v>
      </c>
      <c r="J236" s="7" t="s">
        <v>29</v>
      </c>
      <c r="K236" s="16"/>
      <c r="L236" s="16"/>
      <c r="M236" s="16"/>
      <c r="N236" s="16">
        <v>66.8870991</v>
      </c>
      <c r="O236" s="16"/>
      <c r="P236" s="175"/>
      <c r="R236" s="13" t="s">
        <v>37</v>
      </c>
      <c r="S236" s="22">
        <v>0</v>
      </c>
      <c r="T236" s="19"/>
      <c r="W236" s="10"/>
      <c r="AC236" s="10" t="s">
        <v>37</v>
      </c>
      <c r="AD236" s="20">
        <v>1</v>
      </c>
      <c r="AE236" s="17" t="s">
        <v>255</v>
      </c>
      <c r="AF236" s="11">
        <v>69.604063702000005</v>
      </c>
    </row>
    <row r="237" spans="1:32" x14ac:dyDescent="0.2">
      <c r="A237">
        <v>723</v>
      </c>
      <c r="B237" s="8">
        <v>46214</v>
      </c>
      <c r="C237" s="9">
        <v>0.50738425925925923</v>
      </c>
      <c r="D237" s="7" t="s">
        <v>21</v>
      </c>
      <c r="E237" s="13" t="s">
        <v>37</v>
      </c>
      <c r="F237" s="16">
        <v>73.984876499999999</v>
      </c>
      <c r="G237" s="129">
        <v>2247.2038600000001</v>
      </c>
      <c r="H237" s="22">
        <v>1</v>
      </c>
      <c r="I237" s="19" t="s">
        <v>38</v>
      </c>
      <c r="J237" s="7" t="s">
        <v>22</v>
      </c>
      <c r="K237" s="16"/>
      <c r="L237" s="16"/>
      <c r="M237" s="16"/>
      <c r="N237" s="16">
        <v>61.828410400000003</v>
      </c>
      <c r="O237" s="16"/>
      <c r="P237" s="175"/>
      <c r="R237" s="13" t="s">
        <v>37</v>
      </c>
      <c r="S237" s="22">
        <v>1</v>
      </c>
      <c r="T237" s="19" t="s">
        <v>38</v>
      </c>
      <c r="W237" s="13"/>
      <c r="AC237" s="13" t="s">
        <v>37</v>
      </c>
      <c r="AD237" s="22">
        <v>0</v>
      </c>
      <c r="AE237" s="19"/>
      <c r="AF237" s="16"/>
    </row>
    <row r="238" spans="1:32" x14ac:dyDescent="0.2">
      <c r="A238">
        <v>724</v>
      </c>
      <c r="B238" s="8">
        <v>46214</v>
      </c>
      <c r="C238" s="9">
        <v>0.50766203703703705</v>
      </c>
      <c r="D238" s="7" t="s">
        <v>21</v>
      </c>
      <c r="E238" s="13" t="s">
        <v>46</v>
      </c>
      <c r="F238" s="16">
        <v>69.300280400000005</v>
      </c>
      <c r="G238" s="129">
        <v>349.76644900000002</v>
      </c>
      <c r="H238" s="22">
        <v>0</v>
      </c>
      <c r="I238" s="19"/>
      <c r="J238" s="7" t="s">
        <v>22</v>
      </c>
      <c r="K238" s="16"/>
      <c r="L238" s="16"/>
      <c r="M238" s="16"/>
      <c r="N238" s="16"/>
      <c r="O238" s="16"/>
      <c r="P238" s="175"/>
      <c r="R238" s="13" t="s">
        <v>37</v>
      </c>
      <c r="S238" s="22">
        <v>1</v>
      </c>
      <c r="T238" s="19" t="s">
        <v>38</v>
      </c>
      <c r="W238" s="13"/>
      <c r="AC238" s="13" t="s">
        <v>37</v>
      </c>
      <c r="AD238" s="22">
        <v>1</v>
      </c>
      <c r="AE238" s="19" t="s">
        <v>39</v>
      </c>
      <c r="AF238" s="16"/>
    </row>
    <row r="239" spans="1:32" x14ac:dyDescent="0.2">
      <c r="A239">
        <v>725</v>
      </c>
      <c r="B239" s="8">
        <v>46214</v>
      </c>
      <c r="C239" s="9">
        <v>0.50782407407407404</v>
      </c>
      <c r="D239" s="7" t="s">
        <v>21</v>
      </c>
      <c r="E239" s="13" t="s">
        <v>33</v>
      </c>
      <c r="F239" s="16">
        <v>83.719316399999997</v>
      </c>
      <c r="G239" s="129">
        <v>2127.5104999999999</v>
      </c>
      <c r="H239" s="22">
        <v>1</v>
      </c>
      <c r="I239" s="19" t="s">
        <v>38</v>
      </c>
      <c r="J239" s="7" t="s">
        <v>22</v>
      </c>
      <c r="K239" s="16"/>
      <c r="L239" s="16"/>
      <c r="M239" s="16"/>
      <c r="N239" s="16">
        <v>65.706739600000006</v>
      </c>
      <c r="O239" s="16"/>
      <c r="P239" s="175"/>
      <c r="R239" s="13" t="s">
        <v>37</v>
      </c>
      <c r="S239" s="22">
        <v>0</v>
      </c>
      <c r="T239" s="19"/>
      <c r="W239" s="13"/>
      <c r="AC239" s="13" t="s">
        <v>37</v>
      </c>
      <c r="AD239" s="22">
        <v>1</v>
      </c>
      <c r="AE239" s="19" t="s">
        <v>255</v>
      </c>
      <c r="AF239" s="16">
        <v>63.281769400000002</v>
      </c>
    </row>
    <row r="240" spans="1:32" x14ac:dyDescent="0.2">
      <c r="A240">
        <v>726</v>
      </c>
      <c r="B240" s="8">
        <v>46214</v>
      </c>
      <c r="C240" s="9">
        <v>0.508275462962963</v>
      </c>
      <c r="D240" s="7" t="s">
        <v>21</v>
      </c>
      <c r="E240" s="13" t="s">
        <v>37</v>
      </c>
      <c r="F240" s="16">
        <v>72.603320400000001</v>
      </c>
      <c r="G240" s="129">
        <v>2183.9228499999999</v>
      </c>
      <c r="H240" s="22">
        <v>1</v>
      </c>
      <c r="I240" s="19" t="s">
        <v>38</v>
      </c>
      <c r="J240" s="7" t="s">
        <v>22</v>
      </c>
      <c r="K240" s="16"/>
      <c r="L240" s="16"/>
      <c r="M240" s="16"/>
      <c r="N240" s="16">
        <v>62.671528100000003</v>
      </c>
      <c r="O240" s="16"/>
      <c r="P240" s="175"/>
      <c r="R240" s="13" t="s">
        <v>37</v>
      </c>
      <c r="S240" s="22">
        <v>1</v>
      </c>
      <c r="T240" s="19" t="s">
        <v>38</v>
      </c>
      <c r="W240" s="13"/>
      <c r="AC240" s="13" t="s">
        <v>37</v>
      </c>
      <c r="AD240" s="22">
        <v>1</v>
      </c>
      <c r="AE240" s="19" t="s">
        <v>39</v>
      </c>
      <c r="AF240" s="16"/>
    </row>
    <row r="241" spans="1:32" x14ac:dyDescent="0.2">
      <c r="A241">
        <v>727</v>
      </c>
      <c r="B241" s="8">
        <v>46214</v>
      </c>
      <c r="C241" s="9">
        <v>0.50858796296296294</v>
      </c>
      <c r="D241" s="7" t="s">
        <v>21</v>
      </c>
      <c r="E241" s="13" t="s">
        <v>37</v>
      </c>
      <c r="F241" s="16">
        <v>75.779321699999997</v>
      </c>
      <c r="G241" s="129">
        <v>1714.9540999999999</v>
      </c>
      <c r="H241" s="22">
        <v>0</v>
      </c>
      <c r="I241" s="19"/>
      <c r="J241" s="7" t="s">
        <v>22</v>
      </c>
      <c r="K241" s="16"/>
      <c r="L241" s="16"/>
      <c r="M241" s="16"/>
      <c r="N241" s="16"/>
      <c r="O241" s="16"/>
      <c r="P241" s="175"/>
      <c r="R241" s="13" t="s">
        <v>37</v>
      </c>
      <c r="S241" s="22">
        <v>0</v>
      </c>
      <c r="T241" s="19"/>
      <c r="W241" s="13"/>
      <c r="AC241" s="13" t="s">
        <v>37</v>
      </c>
      <c r="AD241" s="22">
        <v>1</v>
      </c>
      <c r="AE241" s="19" t="s">
        <v>45</v>
      </c>
      <c r="AF241" s="16"/>
    </row>
    <row r="242" spans="1:32" x14ac:dyDescent="0.2">
      <c r="A242">
        <v>728</v>
      </c>
      <c r="B242" s="8">
        <v>46214</v>
      </c>
      <c r="C242" s="9">
        <v>0.50880787037037034</v>
      </c>
      <c r="D242" s="7" t="s">
        <v>21</v>
      </c>
      <c r="E242" s="13" t="s">
        <v>33</v>
      </c>
      <c r="F242" s="16">
        <v>83.211153699999997</v>
      </c>
      <c r="G242" s="129">
        <v>1053.72156</v>
      </c>
      <c r="H242" s="22">
        <v>1</v>
      </c>
      <c r="I242" s="19" t="s">
        <v>254</v>
      </c>
      <c r="J242" s="7" t="s">
        <v>22</v>
      </c>
      <c r="K242" s="16">
        <v>96.627445100000003</v>
      </c>
      <c r="L242" s="16">
        <v>4.3925805100000002</v>
      </c>
      <c r="M242" s="16">
        <v>-40.855473000000003</v>
      </c>
      <c r="N242" s="16">
        <v>66.1563984</v>
      </c>
      <c r="O242" s="16">
        <v>120</v>
      </c>
      <c r="P242" s="175">
        <v>0.90920151000000005</v>
      </c>
      <c r="R242" s="13" t="s">
        <v>53</v>
      </c>
      <c r="S242" s="22">
        <v>1</v>
      </c>
      <c r="T242" s="19" t="s">
        <v>255</v>
      </c>
      <c r="W242" s="13"/>
      <c r="AC242" s="13" t="s">
        <v>37</v>
      </c>
      <c r="AD242" s="22">
        <v>1</v>
      </c>
      <c r="AE242" s="19" t="s">
        <v>39</v>
      </c>
      <c r="AF242" s="16"/>
    </row>
    <row r="243" spans="1:32" x14ac:dyDescent="0.2">
      <c r="A243">
        <v>729</v>
      </c>
      <c r="B243" s="8">
        <v>46214</v>
      </c>
      <c r="C243" s="9">
        <v>0.50920138888888888</v>
      </c>
      <c r="D243" s="7" t="s">
        <v>21</v>
      </c>
      <c r="E243" s="13" t="s">
        <v>37</v>
      </c>
      <c r="F243" s="16">
        <v>73.794320900000002</v>
      </c>
      <c r="G243" s="129">
        <v>1057.2724599999999</v>
      </c>
      <c r="H243" s="22">
        <v>1</v>
      </c>
      <c r="I243" s="19" t="s">
        <v>38</v>
      </c>
      <c r="J243" s="7" t="s">
        <v>20</v>
      </c>
      <c r="K243" s="16"/>
      <c r="L243" s="16"/>
      <c r="M243" s="16"/>
      <c r="N243" s="16">
        <v>64.751209299999999</v>
      </c>
      <c r="O243" s="16"/>
      <c r="P243" s="175"/>
      <c r="R243" s="13" t="s">
        <v>53</v>
      </c>
      <c r="S243" s="22">
        <v>1</v>
      </c>
      <c r="T243" s="19" t="s">
        <v>45</v>
      </c>
      <c r="W243" s="13"/>
      <c r="AC243" s="13" t="s">
        <v>37</v>
      </c>
      <c r="AD243" s="22">
        <v>1</v>
      </c>
      <c r="AE243" s="19" t="s">
        <v>254</v>
      </c>
      <c r="AF243" s="16">
        <v>84.570241999999993</v>
      </c>
    </row>
    <row r="244" spans="1:32" x14ac:dyDescent="0.2">
      <c r="A244">
        <v>730</v>
      </c>
      <c r="B244" s="8">
        <v>46214</v>
      </c>
      <c r="C244" s="9">
        <v>0.50964120370370369</v>
      </c>
      <c r="D244" s="7" t="s">
        <v>21</v>
      </c>
      <c r="E244" s="13" t="s">
        <v>46</v>
      </c>
      <c r="F244" s="16">
        <v>70.570682700000006</v>
      </c>
      <c r="G244" s="129">
        <v>400.35399999999998</v>
      </c>
      <c r="H244" s="22">
        <v>1</v>
      </c>
      <c r="I244" s="19" t="s">
        <v>38</v>
      </c>
      <c r="J244" s="7" t="s">
        <v>20</v>
      </c>
      <c r="K244" s="16"/>
      <c r="L244" s="16">
        <v>-49.925877</v>
      </c>
      <c r="M244" s="16"/>
      <c r="N244" s="16">
        <v>66.606061199999999</v>
      </c>
      <c r="O244" s="16">
        <v>13</v>
      </c>
      <c r="P244" s="175"/>
      <c r="R244" s="13" t="s">
        <v>46</v>
      </c>
      <c r="S244" s="22">
        <v>0</v>
      </c>
      <c r="T244" s="19"/>
      <c r="W244" s="13"/>
      <c r="AC244" s="13" t="s">
        <v>37</v>
      </c>
      <c r="AD244" s="22">
        <v>0</v>
      </c>
      <c r="AE244" s="19"/>
      <c r="AF244" s="16"/>
    </row>
    <row r="245" spans="1:32" x14ac:dyDescent="0.2">
      <c r="A245">
        <v>731</v>
      </c>
      <c r="B245" s="8">
        <v>46214</v>
      </c>
      <c r="C245" s="9">
        <v>0.50996527777777778</v>
      </c>
      <c r="D245" s="7" t="s">
        <v>21</v>
      </c>
      <c r="E245" s="13" t="s">
        <v>37</v>
      </c>
      <c r="F245" s="16">
        <v>70.189562899999999</v>
      </c>
      <c r="G245" s="129">
        <v>2023.68445</v>
      </c>
      <c r="H245" s="22">
        <v>1</v>
      </c>
      <c r="I245" s="19" t="s">
        <v>255</v>
      </c>
      <c r="J245" s="7" t="s">
        <v>20</v>
      </c>
      <c r="K245" s="16">
        <v>56.254753999999998</v>
      </c>
      <c r="L245" s="16">
        <v>41.431888600000001</v>
      </c>
      <c r="M245" s="16">
        <v>-20.675659</v>
      </c>
      <c r="N245" s="16">
        <v>53.734510499999999</v>
      </c>
      <c r="O245" s="16">
        <v>172</v>
      </c>
      <c r="P245" s="175">
        <v>0.63199576999999996</v>
      </c>
      <c r="R245" s="13" t="s">
        <v>46</v>
      </c>
      <c r="S245" s="22">
        <v>0</v>
      </c>
      <c r="T245" s="19"/>
      <c r="W245" s="13"/>
      <c r="AC245" s="13" t="s">
        <v>37</v>
      </c>
      <c r="AD245" s="22">
        <v>0</v>
      </c>
      <c r="AE245" s="19"/>
      <c r="AF245" s="16"/>
    </row>
    <row r="246" spans="1:32" x14ac:dyDescent="0.2">
      <c r="A246">
        <v>732</v>
      </c>
      <c r="B246" s="8">
        <v>46214</v>
      </c>
      <c r="C246" s="9">
        <v>0.51034722222222217</v>
      </c>
      <c r="D246" s="7" t="s">
        <v>21</v>
      </c>
      <c r="E246" s="13" t="s">
        <v>37</v>
      </c>
      <c r="F246" s="16">
        <v>71.650516499999995</v>
      </c>
      <c r="G246" s="129">
        <v>2220.0720200000001</v>
      </c>
      <c r="H246" s="22">
        <v>0</v>
      </c>
      <c r="I246" s="19"/>
      <c r="J246" s="7" t="s">
        <v>17</v>
      </c>
      <c r="K246" s="16"/>
      <c r="L246" s="16"/>
      <c r="M246" s="16"/>
      <c r="N246" s="16"/>
      <c r="O246" s="16"/>
      <c r="P246" s="175"/>
      <c r="R246" s="13" t="s">
        <v>46</v>
      </c>
      <c r="S246" s="22">
        <v>0</v>
      </c>
      <c r="T246" s="19"/>
      <c r="W246" s="13"/>
      <c r="AC246" s="13" t="s">
        <v>37</v>
      </c>
      <c r="AD246" s="22">
        <v>0</v>
      </c>
      <c r="AE246" s="19"/>
      <c r="AF246" s="16"/>
    </row>
    <row r="247" spans="1:32" x14ac:dyDescent="0.2">
      <c r="A247">
        <v>733</v>
      </c>
      <c r="B247" s="8">
        <v>46214</v>
      </c>
      <c r="C247" s="9">
        <v>0.5105439814814815</v>
      </c>
      <c r="D247" s="7" t="s">
        <v>21</v>
      </c>
      <c r="E247" s="13" t="s">
        <v>54</v>
      </c>
      <c r="F247" s="16">
        <v>76.541561200000004</v>
      </c>
      <c r="G247" s="129">
        <v>1895.53979</v>
      </c>
      <c r="H247" s="22">
        <v>1</v>
      </c>
      <c r="I247" s="19" t="s">
        <v>38</v>
      </c>
      <c r="J247" s="7" t="s">
        <v>17</v>
      </c>
      <c r="K247" s="16"/>
      <c r="L247" s="16"/>
      <c r="M247" s="16"/>
      <c r="N247" s="16">
        <v>68.292292200000006</v>
      </c>
      <c r="O247" s="16"/>
      <c r="P247" s="175"/>
      <c r="R247" s="13" t="s">
        <v>46</v>
      </c>
      <c r="S247" s="22">
        <v>0</v>
      </c>
      <c r="T247" s="19"/>
      <c r="W247" s="13"/>
      <c r="AC247" s="13" t="s">
        <v>37</v>
      </c>
      <c r="AD247" s="22">
        <v>1</v>
      </c>
      <c r="AE247" s="19" t="s">
        <v>255</v>
      </c>
      <c r="AF247" s="16"/>
    </row>
    <row r="248" spans="1:32" x14ac:dyDescent="0.2">
      <c r="A248">
        <v>734</v>
      </c>
      <c r="B248" s="8">
        <v>46214</v>
      </c>
      <c r="C248" s="9">
        <v>0.51089120370370367</v>
      </c>
      <c r="D248" s="7" t="s">
        <v>21</v>
      </c>
      <c r="E248" s="13" t="s">
        <v>33</v>
      </c>
      <c r="F248" s="16">
        <v>85.370829900000004</v>
      </c>
      <c r="G248" s="129">
        <v>2193.24316</v>
      </c>
      <c r="H248" s="22">
        <v>1</v>
      </c>
      <c r="I248" s="19"/>
      <c r="J248" s="7" t="s">
        <v>17</v>
      </c>
      <c r="K248" s="16"/>
      <c r="L248" s="16"/>
      <c r="M248" s="16"/>
      <c r="N248" s="16"/>
      <c r="O248" s="16"/>
      <c r="P248" s="175"/>
      <c r="R248" s="13" t="s">
        <v>46</v>
      </c>
      <c r="S248" s="22">
        <v>0</v>
      </c>
      <c r="T248" s="19"/>
      <c r="W248" s="13"/>
      <c r="AC248" s="13" t="s">
        <v>37</v>
      </c>
      <c r="AD248" s="22">
        <v>1</v>
      </c>
      <c r="AE248" s="19"/>
      <c r="AF248" s="16"/>
    </row>
    <row r="249" spans="1:32" x14ac:dyDescent="0.2">
      <c r="A249">
        <v>735</v>
      </c>
      <c r="B249" s="8">
        <v>46214</v>
      </c>
      <c r="C249" s="9">
        <v>0.51105324074074077</v>
      </c>
      <c r="D249" s="7" t="s">
        <v>21</v>
      </c>
      <c r="E249" s="13" t="s">
        <v>37</v>
      </c>
      <c r="F249" s="16">
        <v>71.0153198</v>
      </c>
      <c r="G249" s="129">
        <v>2015.1921400000001</v>
      </c>
      <c r="H249" s="22">
        <v>1</v>
      </c>
      <c r="I249" s="19" t="s">
        <v>45</v>
      </c>
      <c r="J249" s="7" t="s">
        <v>17</v>
      </c>
      <c r="K249" s="16"/>
      <c r="L249" s="16"/>
      <c r="M249" s="16"/>
      <c r="N249" s="16">
        <v>55.083495200000002</v>
      </c>
      <c r="O249" s="16"/>
      <c r="P249" s="175"/>
      <c r="R249" s="13" t="s">
        <v>46</v>
      </c>
      <c r="S249" s="22">
        <v>1</v>
      </c>
      <c r="T249" s="19" t="s">
        <v>38</v>
      </c>
      <c r="W249" s="13"/>
      <c r="AC249" s="13" t="s">
        <v>37</v>
      </c>
      <c r="AD249" s="22">
        <v>1</v>
      </c>
      <c r="AE249" s="19" t="s">
        <v>255</v>
      </c>
      <c r="AF249" s="16">
        <v>64.671944199999999</v>
      </c>
    </row>
    <row r="250" spans="1:32" s="114" customFormat="1" x14ac:dyDescent="0.2">
      <c r="A250" s="114">
        <v>993</v>
      </c>
      <c r="B250" s="108">
        <v>46221</v>
      </c>
      <c r="C250" s="109">
        <v>0.46680555555555553</v>
      </c>
      <c r="D250" s="107" t="s">
        <v>21</v>
      </c>
      <c r="E250" s="110" t="s">
        <v>33</v>
      </c>
      <c r="F250" s="111">
        <v>82.448914200000004</v>
      </c>
      <c r="G250" s="228">
        <v>2129.3085900000001</v>
      </c>
      <c r="H250" s="113">
        <v>1</v>
      </c>
      <c r="I250" s="112"/>
      <c r="J250" s="107" t="s">
        <v>17</v>
      </c>
      <c r="K250" s="111"/>
      <c r="L250" s="111"/>
      <c r="M250" s="111"/>
      <c r="N250" s="111"/>
      <c r="O250" s="111"/>
      <c r="P250" s="230"/>
      <c r="R250" s="110" t="s">
        <v>35</v>
      </c>
      <c r="S250" s="113">
        <v>1</v>
      </c>
      <c r="T250" s="112" t="s">
        <v>45</v>
      </c>
      <c r="W250" s="110"/>
      <c r="AC250" s="110" t="s">
        <v>37</v>
      </c>
      <c r="AD250" s="113">
        <v>0</v>
      </c>
      <c r="AE250" s="112"/>
      <c r="AF250" s="111"/>
    </row>
    <row r="251" spans="1:32" x14ac:dyDescent="0.2">
      <c r="A251">
        <v>994</v>
      </c>
      <c r="B251" s="8">
        <v>46221</v>
      </c>
      <c r="C251" s="9">
        <v>0.46696759259259257</v>
      </c>
      <c r="D251" s="7" t="s">
        <v>21</v>
      </c>
      <c r="E251" s="13" t="s">
        <v>37</v>
      </c>
      <c r="F251" s="16">
        <v>71.078841199999999</v>
      </c>
      <c r="G251" s="129">
        <v>2249.3022500000002</v>
      </c>
      <c r="H251" s="22">
        <v>1</v>
      </c>
      <c r="I251" s="19" t="s">
        <v>38</v>
      </c>
      <c r="J251" s="7" t="s">
        <v>17</v>
      </c>
      <c r="K251" s="16"/>
      <c r="L251" s="16"/>
      <c r="M251" s="16"/>
      <c r="N251" s="16">
        <v>65.0610681</v>
      </c>
      <c r="O251" s="16"/>
      <c r="P251" s="175"/>
      <c r="R251" s="13" t="s">
        <v>35</v>
      </c>
      <c r="S251" s="22">
        <v>1</v>
      </c>
      <c r="T251" s="19" t="s">
        <v>38</v>
      </c>
      <c r="W251" s="13"/>
      <c r="AC251" s="13" t="s">
        <v>37</v>
      </c>
      <c r="AD251" s="22">
        <v>0</v>
      </c>
      <c r="AE251" s="19"/>
      <c r="AF251" s="16"/>
    </row>
    <row r="252" spans="1:32" x14ac:dyDescent="0.2">
      <c r="A252">
        <v>995</v>
      </c>
      <c r="B252" s="8">
        <v>46221</v>
      </c>
      <c r="C252" s="9">
        <v>0.46716435185185184</v>
      </c>
      <c r="D252" s="7" t="s">
        <v>21</v>
      </c>
      <c r="E252" s="13" t="s">
        <v>33</v>
      </c>
      <c r="F252" s="16">
        <v>84.418034599999999</v>
      </c>
      <c r="G252" s="129">
        <v>2188.8044399999999</v>
      </c>
      <c r="H252" s="22">
        <v>1</v>
      </c>
      <c r="I252" s="19" t="s">
        <v>42</v>
      </c>
      <c r="J252" s="7" t="s">
        <v>17</v>
      </c>
      <c r="K252" s="16"/>
      <c r="L252" s="16"/>
      <c r="M252" s="16"/>
      <c r="N252" s="16"/>
      <c r="O252" s="16"/>
      <c r="P252" s="175"/>
      <c r="R252" s="13" t="s">
        <v>35</v>
      </c>
      <c r="S252" s="22">
        <v>1</v>
      </c>
      <c r="T252" s="19" t="s">
        <v>39</v>
      </c>
      <c r="W252" s="13"/>
      <c r="AC252" s="13" t="s">
        <v>37</v>
      </c>
      <c r="AD252" s="22">
        <v>1</v>
      </c>
      <c r="AE252" s="19" t="s">
        <v>39</v>
      </c>
      <c r="AF252" s="16"/>
    </row>
    <row r="253" spans="1:32" x14ac:dyDescent="0.2">
      <c r="A253">
        <v>996</v>
      </c>
      <c r="B253" s="8">
        <v>46221</v>
      </c>
      <c r="C253" s="9">
        <v>0.46750000000000003</v>
      </c>
      <c r="D253" s="7" t="s">
        <v>21</v>
      </c>
      <c r="E253" s="13" t="s">
        <v>33</v>
      </c>
      <c r="F253" s="16">
        <v>83.846350700000002</v>
      </c>
      <c r="G253" s="129">
        <v>2151.4150399999999</v>
      </c>
      <c r="H253" s="22">
        <v>1</v>
      </c>
      <c r="I253" s="19"/>
      <c r="J253" s="7" t="s">
        <v>24</v>
      </c>
      <c r="K253" s="16"/>
      <c r="L253" s="16"/>
      <c r="M253" s="16"/>
      <c r="N253" s="16"/>
      <c r="O253" s="16"/>
      <c r="P253" s="175"/>
      <c r="R253" s="13" t="s">
        <v>35</v>
      </c>
      <c r="S253" s="22">
        <v>1</v>
      </c>
      <c r="T253" s="19" t="s">
        <v>254</v>
      </c>
      <c r="W253" s="13"/>
      <c r="AC253" s="13" t="s">
        <v>37</v>
      </c>
      <c r="AD253" s="22">
        <v>1</v>
      </c>
      <c r="AE253" s="19" t="s">
        <v>45</v>
      </c>
      <c r="AF253" s="16"/>
    </row>
    <row r="254" spans="1:32" x14ac:dyDescent="0.2">
      <c r="A254">
        <v>997</v>
      </c>
      <c r="B254" s="8">
        <v>46221</v>
      </c>
      <c r="C254" s="9">
        <v>0.46766203703703701</v>
      </c>
      <c r="D254" s="7" t="s">
        <v>21</v>
      </c>
      <c r="E254" s="13" t="s">
        <v>33</v>
      </c>
      <c r="F254" s="16">
        <v>84.100436200000004</v>
      </c>
      <c r="G254" s="129">
        <v>2135.08545</v>
      </c>
      <c r="H254" s="22">
        <v>0</v>
      </c>
      <c r="I254" s="19"/>
      <c r="J254" s="7" t="s">
        <v>24</v>
      </c>
      <c r="K254" s="16"/>
      <c r="L254" s="16"/>
      <c r="M254" s="16"/>
      <c r="N254" s="16"/>
      <c r="O254" s="16"/>
      <c r="P254" s="175"/>
      <c r="R254" s="13" t="s">
        <v>35</v>
      </c>
      <c r="S254" s="22">
        <v>1</v>
      </c>
      <c r="T254" s="19" t="s">
        <v>264</v>
      </c>
      <c r="W254" s="13"/>
      <c r="AC254" s="13" t="s">
        <v>37</v>
      </c>
      <c r="AD254" s="22">
        <v>1</v>
      </c>
      <c r="AE254" s="19" t="s">
        <v>39</v>
      </c>
      <c r="AF254" s="16"/>
    </row>
    <row r="255" spans="1:32" x14ac:dyDescent="0.2">
      <c r="A255">
        <v>998</v>
      </c>
      <c r="B255" s="8">
        <v>46221</v>
      </c>
      <c r="C255" s="9">
        <v>0.46782407407407406</v>
      </c>
      <c r="D255" s="7" t="s">
        <v>21</v>
      </c>
      <c r="E255" s="13" t="s">
        <v>33</v>
      </c>
      <c r="F255" s="16">
        <v>83.893991600000007</v>
      </c>
      <c r="G255" s="129">
        <v>2155.4606899999999</v>
      </c>
      <c r="H255" s="22">
        <v>1</v>
      </c>
      <c r="I255" s="19" t="s">
        <v>254</v>
      </c>
      <c r="J255" s="7" t="s">
        <v>24</v>
      </c>
      <c r="K255" s="16">
        <v>92.290684999999996</v>
      </c>
      <c r="L255" s="16">
        <v>-3.7409306</v>
      </c>
      <c r="M255" s="16">
        <v>-9.0257644999999993</v>
      </c>
      <c r="N255" s="16">
        <v>66.293924099999998</v>
      </c>
      <c r="O255" s="16">
        <v>29</v>
      </c>
      <c r="P255" s="175">
        <v>0.85973533999999996</v>
      </c>
      <c r="R255" s="13" t="s">
        <v>33</v>
      </c>
      <c r="S255" s="22">
        <v>1</v>
      </c>
      <c r="T255" s="19"/>
      <c r="W255" s="13"/>
      <c r="AC255" s="13" t="s">
        <v>37</v>
      </c>
      <c r="AD255" s="22">
        <v>1</v>
      </c>
      <c r="AE255" s="19" t="s">
        <v>38</v>
      </c>
      <c r="AF255" s="16">
        <v>62.919759800000001</v>
      </c>
    </row>
    <row r="256" spans="1:32" x14ac:dyDescent="0.2">
      <c r="A256">
        <v>999</v>
      </c>
      <c r="B256" s="8">
        <v>46221</v>
      </c>
      <c r="C256" s="9">
        <v>0.46815972222222224</v>
      </c>
      <c r="D256" s="7" t="s">
        <v>21</v>
      </c>
      <c r="E256" s="13" t="s">
        <v>37</v>
      </c>
      <c r="F256" s="16">
        <v>72.905038399999995</v>
      </c>
      <c r="G256" s="129">
        <v>1176.9224899999999</v>
      </c>
      <c r="H256" s="22">
        <v>0</v>
      </c>
      <c r="I256" s="19"/>
      <c r="J256" s="7" t="s">
        <v>20</v>
      </c>
      <c r="K256" s="16"/>
      <c r="L256" s="16"/>
      <c r="M256" s="16"/>
      <c r="N256" s="16"/>
      <c r="O256" s="16"/>
      <c r="P256" s="175"/>
      <c r="R256" s="13" t="s">
        <v>33</v>
      </c>
      <c r="S256" s="22">
        <v>1</v>
      </c>
      <c r="T256" s="19" t="s">
        <v>42</v>
      </c>
      <c r="W256" s="13"/>
      <c r="AC256" s="13" t="s">
        <v>37</v>
      </c>
      <c r="AD256" s="22">
        <v>0</v>
      </c>
      <c r="AE256" s="19"/>
      <c r="AF256" s="16"/>
    </row>
    <row r="257" spans="1:32" x14ac:dyDescent="0.2">
      <c r="A257">
        <v>1000</v>
      </c>
      <c r="B257" s="8">
        <v>46221</v>
      </c>
      <c r="C257" s="9">
        <v>0.46836805555555555</v>
      </c>
      <c r="D257" s="7" t="s">
        <v>21</v>
      </c>
      <c r="E257" s="13" t="s">
        <v>33</v>
      </c>
      <c r="F257" s="16">
        <v>83.465227100000007</v>
      </c>
      <c r="G257" s="129">
        <v>1100.1875</v>
      </c>
      <c r="H257" s="22">
        <v>0</v>
      </c>
      <c r="I257" s="19"/>
      <c r="J257" s="7" t="s">
        <v>20</v>
      </c>
      <c r="K257" s="16"/>
      <c r="L257" s="16"/>
      <c r="M257" s="16"/>
      <c r="N257" s="16"/>
      <c r="O257" s="16"/>
      <c r="P257" s="175"/>
      <c r="R257" s="13" t="s">
        <v>33</v>
      </c>
      <c r="S257" s="22">
        <v>1</v>
      </c>
      <c r="T257" s="19"/>
      <c r="W257" s="13"/>
      <c r="AC257" s="13" t="s">
        <v>37</v>
      </c>
      <c r="AD257" s="22">
        <v>0</v>
      </c>
      <c r="AE257" s="19" t="s">
        <v>48</v>
      </c>
      <c r="AF257" s="16"/>
    </row>
    <row r="258" spans="1:32" x14ac:dyDescent="0.2">
      <c r="A258">
        <v>1001</v>
      </c>
      <c r="B258" s="8">
        <v>46221</v>
      </c>
      <c r="C258" s="9">
        <v>0.46861111111111109</v>
      </c>
      <c r="D258" s="7" t="s">
        <v>21</v>
      </c>
      <c r="E258" s="13" t="s">
        <v>37</v>
      </c>
      <c r="F258" s="16">
        <v>69.538481399999995</v>
      </c>
      <c r="G258" s="129">
        <v>2289.2319299999999</v>
      </c>
      <c r="H258" s="22">
        <v>0</v>
      </c>
      <c r="I258" s="19"/>
      <c r="J258" s="7" t="s">
        <v>20</v>
      </c>
      <c r="K258" s="16"/>
      <c r="L258" s="16"/>
      <c r="M258" s="16"/>
      <c r="N258" s="16"/>
      <c r="O258" s="16"/>
      <c r="P258" s="175"/>
      <c r="R258" s="13" t="s">
        <v>33</v>
      </c>
      <c r="S258" s="22">
        <v>0</v>
      </c>
      <c r="T258" s="19"/>
      <c r="W258" s="13"/>
      <c r="AC258" s="13" t="s">
        <v>37</v>
      </c>
      <c r="AD258" s="22">
        <v>0</v>
      </c>
      <c r="AE258" s="19"/>
      <c r="AF258" s="16"/>
    </row>
    <row r="259" spans="1:32" x14ac:dyDescent="0.2">
      <c r="A259">
        <v>1002</v>
      </c>
      <c r="B259" s="8">
        <v>46221</v>
      </c>
      <c r="C259" s="9">
        <v>0.46879629629629632</v>
      </c>
      <c r="D259" s="7" t="s">
        <v>21</v>
      </c>
      <c r="E259" s="13" t="s">
        <v>37</v>
      </c>
      <c r="F259" s="16">
        <v>71.587003699999997</v>
      </c>
      <c r="G259" s="129">
        <v>2359.6958</v>
      </c>
      <c r="H259" s="22">
        <v>1</v>
      </c>
      <c r="I259" s="19"/>
      <c r="J259" s="7" t="s">
        <v>20</v>
      </c>
      <c r="K259" s="16"/>
      <c r="L259" s="16"/>
      <c r="M259" s="16"/>
      <c r="N259" s="16"/>
      <c r="O259" s="16"/>
      <c r="P259" s="175"/>
      <c r="R259" s="13" t="s">
        <v>33</v>
      </c>
      <c r="S259" s="22">
        <v>1</v>
      </c>
      <c r="T259" s="19" t="s">
        <v>254</v>
      </c>
      <c r="W259" s="13"/>
      <c r="AC259" s="13" t="s">
        <v>37</v>
      </c>
      <c r="AD259" s="22">
        <v>1</v>
      </c>
      <c r="AE259" s="19"/>
      <c r="AF259" s="16"/>
    </row>
    <row r="260" spans="1:32" x14ac:dyDescent="0.2">
      <c r="A260">
        <v>1003</v>
      </c>
      <c r="B260" s="8">
        <v>46221</v>
      </c>
      <c r="C260" s="9">
        <v>0.4689699074074074</v>
      </c>
      <c r="D260" s="7" t="s">
        <v>21</v>
      </c>
      <c r="E260" s="13" t="s">
        <v>33</v>
      </c>
      <c r="F260" s="16">
        <v>83.592273399999996</v>
      </c>
      <c r="G260" s="129">
        <v>2207.5424800000001</v>
      </c>
      <c r="H260" s="22">
        <v>1</v>
      </c>
      <c r="I260" s="19" t="s">
        <v>38</v>
      </c>
      <c r="J260" s="7" t="s">
        <v>20</v>
      </c>
      <c r="K260" s="16">
        <v>78.873105300000006</v>
      </c>
      <c r="L260" s="16">
        <v>54.684593200000002</v>
      </c>
      <c r="M260" s="16">
        <v>-43.262954999999998</v>
      </c>
      <c r="N260" s="16">
        <v>68.815669700000001</v>
      </c>
      <c r="O260" s="16">
        <v>263</v>
      </c>
      <c r="P260" s="175">
        <v>0.71523590000000004</v>
      </c>
      <c r="R260" s="13" t="s">
        <v>33</v>
      </c>
      <c r="S260" s="22">
        <v>0</v>
      </c>
      <c r="T260" s="19"/>
      <c r="W260" s="13"/>
      <c r="AC260" s="13" t="s">
        <v>37</v>
      </c>
      <c r="AD260" s="22">
        <v>1</v>
      </c>
      <c r="AE260" s="19" t="s">
        <v>38</v>
      </c>
      <c r="AF260" s="16"/>
    </row>
    <row r="261" spans="1:32" x14ac:dyDescent="0.2">
      <c r="A261">
        <v>1004</v>
      </c>
      <c r="B261" s="8">
        <v>46221</v>
      </c>
      <c r="C261" s="9">
        <v>0.46925925925925926</v>
      </c>
      <c r="D261" s="7" t="s">
        <v>21</v>
      </c>
      <c r="E261" s="13" t="s">
        <v>35</v>
      </c>
      <c r="F261" s="16">
        <v>72.793876100000006</v>
      </c>
      <c r="G261" s="129">
        <v>1716.6798100000001</v>
      </c>
      <c r="H261" s="22">
        <v>1</v>
      </c>
      <c r="I261" s="19" t="s">
        <v>45</v>
      </c>
      <c r="J261" s="7" t="s">
        <v>20</v>
      </c>
      <c r="K261" s="16"/>
      <c r="L261" s="16"/>
      <c r="M261" s="16"/>
      <c r="N261" s="16">
        <v>63.379906099999999</v>
      </c>
      <c r="O261" s="16"/>
      <c r="P261" s="175"/>
      <c r="R261" s="13" t="s">
        <v>33</v>
      </c>
      <c r="S261" s="22">
        <v>1</v>
      </c>
      <c r="T261" s="19" t="s">
        <v>38</v>
      </c>
      <c r="W261" s="13"/>
      <c r="AC261" s="13" t="s">
        <v>37</v>
      </c>
      <c r="AD261" s="22">
        <v>0</v>
      </c>
      <c r="AE261" s="19"/>
      <c r="AF261" s="16"/>
    </row>
    <row r="262" spans="1:32" x14ac:dyDescent="0.2">
      <c r="A262">
        <v>1005</v>
      </c>
      <c r="B262" s="8">
        <v>46221</v>
      </c>
      <c r="C262" s="9">
        <v>0.46972222222222221</v>
      </c>
      <c r="D262" s="7" t="s">
        <v>21</v>
      </c>
      <c r="E262" s="13" t="s">
        <v>37</v>
      </c>
      <c r="F262" s="16">
        <v>72.905038399999995</v>
      </c>
      <c r="G262" s="129">
        <v>2262.2697800000001</v>
      </c>
      <c r="H262" s="169">
        <v>1</v>
      </c>
      <c r="I262" s="170" t="s">
        <v>255</v>
      </c>
      <c r="J262" s="165" t="s">
        <v>29</v>
      </c>
      <c r="K262" s="16">
        <v>83.209882199999996</v>
      </c>
      <c r="L262" s="16">
        <v>22.080488200000001</v>
      </c>
      <c r="M262" s="16">
        <v>-4.1296587000000002</v>
      </c>
      <c r="N262" s="16">
        <v>64.220489099999995</v>
      </c>
      <c r="O262" s="16">
        <v>244</v>
      </c>
      <c r="P262" s="175">
        <v>0.81418747000000002</v>
      </c>
      <c r="R262" s="13" t="s">
        <v>33</v>
      </c>
      <c r="S262" s="169">
        <v>1</v>
      </c>
      <c r="T262" s="170"/>
      <c r="W262" s="13"/>
      <c r="AC262" s="13" t="s">
        <v>37</v>
      </c>
      <c r="AD262" s="169">
        <v>0</v>
      </c>
      <c r="AE262" s="170"/>
      <c r="AF262" s="16"/>
    </row>
    <row r="263" spans="1:32" x14ac:dyDescent="0.2">
      <c r="A263">
        <v>1014</v>
      </c>
      <c r="B263" s="8">
        <v>46221</v>
      </c>
      <c r="C263" s="9">
        <v>0.47424768518518517</v>
      </c>
      <c r="D263" s="7" t="s">
        <v>21</v>
      </c>
      <c r="E263" s="13" t="s">
        <v>33</v>
      </c>
      <c r="F263" s="16">
        <v>82.639478299999993</v>
      </c>
      <c r="G263" s="129">
        <v>2230.7248500000001</v>
      </c>
      <c r="H263" s="22">
        <v>1</v>
      </c>
      <c r="I263" s="19"/>
      <c r="J263" s="7" t="s">
        <v>20</v>
      </c>
      <c r="K263" s="16"/>
      <c r="L263" s="16"/>
      <c r="M263" s="16"/>
      <c r="N263" s="16"/>
      <c r="O263" s="16"/>
      <c r="P263" s="175"/>
      <c r="R263" s="13" t="s">
        <v>33</v>
      </c>
      <c r="S263" s="22">
        <v>1</v>
      </c>
      <c r="T263" s="19" t="s">
        <v>255</v>
      </c>
      <c r="W263" s="13"/>
      <c r="AC263" s="13" t="s">
        <v>37</v>
      </c>
      <c r="AD263" s="22">
        <v>0</v>
      </c>
      <c r="AE263" s="19"/>
      <c r="AF263" s="16"/>
    </row>
    <row r="264" spans="1:32" x14ac:dyDescent="0.2">
      <c r="A264">
        <v>1015</v>
      </c>
      <c r="B264" s="8">
        <v>46221</v>
      </c>
      <c r="C264" s="9">
        <v>0.47440972222222222</v>
      </c>
      <c r="D264" s="7" t="s">
        <v>21</v>
      </c>
      <c r="E264" s="13" t="s">
        <v>46</v>
      </c>
      <c r="F264" s="16">
        <v>69.363802000000007</v>
      </c>
      <c r="G264" s="129">
        <v>375.02029399999998</v>
      </c>
      <c r="H264" s="22">
        <v>1</v>
      </c>
      <c r="I264" s="19" t="s">
        <v>255</v>
      </c>
      <c r="J264" s="7" t="s">
        <v>20</v>
      </c>
      <c r="K264" s="16"/>
      <c r="L264" s="16"/>
      <c r="M264" s="16"/>
      <c r="N264" s="16">
        <v>66.686197000000007</v>
      </c>
      <c r="O264" s="16"/>
      <c r="P264" s="175"/>
      <c r="R264" s="13" t="s">
        <v>33</v>
      </c>
      <c r="S264" s="22">
        <v>0</v>
      </c>
      <c r="T264" s="19"/>
      <c r="W264" s="13"/>
      <c r="AC264" s="13" t="s">
        <v>37</v>
      </c>
      <c r="AD264" s="22">
        <v>0</v>
      </c>
      <c r="AE264" s="19"/>
      <c r="AF264" s="16"/>
    </row>
    <row r="265" spans="1:32" x14ac:dyDescent="0.2">
      <c r="A265">
        <v>1016</v>
      </c>
      <c r="B265" s="8">
        <v>46221</v>
      </c>
      <c r="C265" s="9">
        <v>0.4748148148148148</v>
      </c>
      <c r="D265" s="7" t="s">
        <v>21</v>
      </c>
      <c r="E265" s="13" t="s">
        <v>37</v>
      </c>
      <c r="F265" s="16">
        <v>69.046203399999996</v>
      </c>
      <c r="G265" s="129">
        <v>1961.23633</v>
      </c>
      <c r="H265" s="22">
        <v>0</v>
      </c>
      <c r="I265" s="19"/>
      <c r="J265" s="7" t="s">
        <v>29</v>
      </c>
      <c r="K265" s="16"/>
      <c r="L265" s="16"/>
      <c r="M265" s="16"/>
      <c r="N265" s="16"/>
      <c r="O265" s="16"/>
      <c r="P265" s="175"/>
      <c r="R265" s="13" t="s">
        <v>33</v>
      </c>
      <c r="S265" s="22">
        <v>0</v>
      </c>
      <c r="T265" s="19"/>
      <c r="W265" s="13"/>
      <c r="AC265" s="13" t="s">
        <v>37</v>
      </c>
      <c r="AD265" s="22">
        <v>1</v>
      </c>
      <c r="AE265" s="19" t="s">
        <v>39</v>
      </c>
      <c r="AF265" s="16"/>
    </row>
    <row r="266" spans="1:32" x14ac:dyDescent="0.2">
      <c r="A266">
        <v>1017</v>
      </c>
      <c r="B266" s="8">
        <v>46221</v>
      </c>
      <c r="C266" s="9">
        <v>0.47497685185185184</v>
      </c>
      <c r="D266" s="7" t="s">
        <v>21</v>
      </c>
      <c r="E266" s="13" t="s">
        <v>37</v>
      </c>
      <c r="F266" s="16">
        <v>71.904602100000005</v>
      </c>
      <c r="G266" s="129">
        <v>2317.1731</v>
      </c>
      <c r="H266" s="22">
        <v>0</v>
      </c>
      <c r="I266" s="19"/>
      <c r="J266" s="7" t="s">
        <v>29</v>
      </c>
      <c r="K266" s="16"/>
      <c r="L266" s="16"/>
      <c r="M266" s="16"/>
      <c r="N266" s="16"/>
      <c r="O266" s="16"/>
      <c r="P266" s="175"/>
      <c r="R266" s="13" t="s">
        <v>33</v>
      </c>
      <c r="S266" s="22">
        <v>1</v>
      </c>
      <c r="T266" s="19" t="s">
        <v>255</v>
      </c>
      <c r="W266" s="13"/>
      <c r="AC266" s="13" t="s">
        <v>37</v>
      </c>
      <c r="AD266" s="22">
        <v>1</v>
      </c>
      <c r="AE266" s="19" t="s">
        <v>38</v>
      </c>
      <c r="AF266" s="16"/>
    </row>
    <row r="267" spans="1:32" x14ac:dyDescent="0.2">
      <c r="A267">
        <v>1018</v>
      </c>
      <c r="B267" s="8">
        <v>46221</v>
      </c>
      <c r="C267" s="9">
        <v>0.47513888888888889</v>
      </c>
      <c r="D267" s="7" t="s">
        <v>21</v>
      </c>
      <c r="E267" s="13" t="s">
        <v>33</v>
      </c>
      <c r="F267" s="16">
        <v>83.4017178</v>
      </c>
      <c r="G267" s="129">
        <v>2127.58032</v>
      </c>
      <c r="H267" s="22">
        <v>1</v>
      </c>
      <c r="I267" s="19" t="s">
        <v>255</v>
      </c>
      <c r="J267" s="7" t="s">
        <v>29</v>
      </c>
      <c r="K267" s="16">
        <v>90.093855199999993</v>
      </c>
      <c r="L267" s="16">
        <v>8.9197473499999997</v>
      </c>
      <c r="M267" s="16">
        <v>13.7349081</v>
      </c>
      <c r="N267" s="16">
        <v>67.638855699999993</v>
      </c>
      <c r="O267" s="16">
        <v>149</v>
      </c>
      <c r="P267" s="175">
        <v>0.82816800000000002</v>
      </c>
      <c r="R267" s="13" t="s">
        <v>33</v>
      </c>
      <c r="S267" s="22">
        <v>0</v>
      </c>
      <c r="T267" s="19"/>
      <c r="W267" s="13"/>
      <c r="AC267" s="13" t="s">
        <v>37</v>
      </c>
      <c r="AD267" s="22">
        <v>1</v>
      </c>
      <c r="AE267" s="19" t="s">
        <v>255</v>
      </c>
      <c r="AF267" s="16">
        <v>81.142638199999993</v>
      </c>
    </row>
    <row r="268" spans="1:32" x14ac:dyDescent="0.2">
      <c r="A268">
        <v>1019</v>
      </c>
      <c r="B268" s="8">
        <v>46221</v>
      </c>
      <c r="C268" s="9">
        <v>0.47553240740740743</v>
      </c>
      <c r="D268" s="7" t="s">
        <v>21</v>
      </c>
      <c r="E268" s="13" t="s">
        <v>37</v>
      </c>
      <c r="F268" s="16">
        <v>71.523482299999998</v>
      </c>
      <c r="G268" s="129">
        <v>1109.73621</v>
      </c>
      <c r="H268" s="22">
        <v>1</v>
      </c>
      <c r="I268" s="19" t="s">
        <v>38</v>
      </c>
      <c r="J268" s="7" t="s">
        <v>17</v>
      </c>
      <c r="K268" s="16"/>
      <c r="L268" s="16"/>
      <c r="M268" s="16"/>
      <c r="N268" s="16">
        <v>64.612757799999997</v>
      </c>
      <c r="O268" s="16"/>
      <c r="P268" s="175"/>
      <c r="R268" s="13" t="s">
        <v>33</v>
      </c>
      <c r="S268" s="22">
        <v>0</v>
      </c>
      <c r="T268" s="19"/>
      <c r="W268" s="13"/>
      <c r="AC268" s="13" t="s">
        <v>37</v>
      </c>
      <c r="AD268" s="22">
        <v>1</v>
      </c>
      <c r="AE268" s="19" t="s">
        <v>39</v>
      </c>
      <c r="AF268" s="16"/>
    </row>
    <row r="269" spans="1:32" x14ac:dyDescent="0.2">
      <c r="A269">
        <v>1020</v>
      </c>
      <c r="B269" s="8">
        <v>46221</v>
      </c>
      <c r="C269" s="9">
        <v>0.47578703703703706</v>
      </c>
      <c r="D269" s="7" t="s">
        <v>21</v>
      </c>
      <c r="E269" s="13" t="s">
        <v>54</v>
      </c>
      <c r="F269" s="16">
        <v>77.097356399999995</v>
      </c>
      <c r="G269" s="129">
        <v>1984.1330599999999</v>
      </c>
      <c r="H269" s="22">
        <v>0</v>
      </c>
      <c r="I269" s="19"/>
      <c r="J269" s="7" t="s">
        <v>17</v>
      </c>
      <c r="K269" s="16"/>
      <c r="L269" s="16"/>
      <c r="M269" s="16"/>
      <c r="N269" s="16"/>
      <c r="O269" s="16"/>
      <c r="P269" s="175"/>
      <c r="R269" s="13" t="s">
        <v>33</v>
      </c>
      <c r="S269" s="22">
        <v>0</v>
      </c>
      <c r="T269" s="19"/>
      <c r="W269" s="13"/>
      <c r="AC269" s="13" t="s">
        <v>37</v>
      </c>
      <c r="AD269" s="22">
        <v>0</v>
      </c>
      <c r="AE269" s="19"/>
      <c r="AF269" s="16"/>
    </row>
    <row r="270" spans="1:32" x14ac:dyDescent="0.2">
      <c r="A270">
        <v>1021</v>
      </c>
      <c r="B270" s="8">
        <v>46221</v>
      </c>
      <c r="C270" s="9">
        <v>0.47592592592592592</v>
      </c>
      <c r="D270" s="7" t="s">
        <v>21</v>
      </c>
      <c r="E270" s="13" t="s">
        <v>35</v>
      </c>
      <c r="F270" s="16">
        <v>72.539799000000002</v>
      </c>
      <c r="G270" s="129">
        <v>1604.42029</v>
      </c>
      <c r="H270" s="22">
        <v>1</v>
      </c>
      <c r="I270" s="19" t="s">
        <v>38</v>
      </c>
      <c r="J270" s="7" t="s">
        <v>17</v>
      </c>
      <c r="K270" s="16">
        <v>56.925841699999999</v>
      </c>
      <c r="L270" s="16">
        <v>-18.248049000000002</v>
      </c>
      <c r="M270" s="16"/>
      <c r="N270" s="16">
        <v>67.358662699999996</v>
      </c>
      <c r="O270" s="16">
        <v>9</v>
      </c>
      <c r="P270" s="175">
        <v>0.54029258999999996</v>
      </c>
      <c r="R270" s="13" t="s">
        <v>33</v>
      </c>
      <c r="S270" s="22">
        <v>0</v>
      </c>
      <c r="T270" s="19"/>
      <c r="W270" s="13"/>
      <c r="AC270" s="13" t="s">
        <v>37</v>
      </c>
      <c r="AD270" s="22">
        <v>0</v>
      </c>
      <c r="AE270" s="19"/>
      <c r="AF270" s="16"/>
    </row>
    <row r="271" spans="1:32" x14ac:dyDescent="0.2">
      <c r="A271">
        <v>1022</v>
      </c>
      <c r="B271" s="8">
        <v>46221</v>
      </c>
      <c r="C271" s="9">
        <v>0.47615740740740742</v>
      </c>
      <c r="D271" s="7" t="s">
        <v>21</v>
      </c>
      <c r="E271" s="13" t="s">
        <v>37</v>
      </c>
      <c r="F271" s="16">
        <v>70.300721199999998</v>
      </c>
      <c r="G271" s="129">
        <v>1977.07727</v>
      </c>
      <c r="H271" s="22">
        <v>0</v>
      </c>
      <c r="I271" s="19"/>
      <c r="J271" s="7" t="s">
        <v>17</v>
      </c>
      <c r="K271" s="16"/>
      <c r="L271" s="16"/>
      <c r="M271" s="16"/>
      <c r="N271" s="16"/>
      <c r="O271" s="16"/>
      <c r="P271" s="175"/>
      <c r="R271" s="13" t="s">
        <v>33</v>
      </c>
      <c r="S271" s="22">
        <v>1</v>
      </c>
      <c r="T271" s="19"/>
      <c r="W271" s="13"/>
      <c r="AC271" s="13" t="s">
        <v>37</v>
      </c>
      <c r="AD271" s="22">
        <v>1</v>
      </c>
      <c r="AE271" s="19"/>
      <c r="AF271" s="16"/>
    </row>
    <row r="272" spans="1:32" x14ac:dyDescent="0.2">
      <c r="A272">
        <v>1023</v>
      </c>
      <c r="B272" s="8">
        <v>46221</v>
      </c>
      <c r="C272" s="9">
        <v>0.4763425925925926</v>
      </c>
      <c r="D272" s="7" t="s">
        <v>21</v>
      </c>
      <c r="E272" s="13" t="s">
        <v>37</v>
      </c>
      <c r="F272" s="16">
        <v>72.523918600000002</v>
      </c>
      <c r="G272" s="129">
        <v>2278.32861</v>
      </c>
      <c r="H272" s="22">
        <v>0</v>
      </c>
      <c r="I272" s="19"/>
      <c r="J272" s="7" t="s">
        <v>17</v>
      </c>
      <c r="K272" s="16"/>
      <c r="L272" s="16"/>
      <c r="M272" s="16"/>
      <c r="N272" s="16"/>
      <c r="O272" s="16"/>
      <c r="P272" s="175"/>
      <c r="R272" s="13" t="s">
        <v>33</v>
      </c>
      <c r="S272" s="22">
        <v>1</v>
      </c>
      <c r="T272" s="19" t="s">
        <v>254</v>
      </c>
      <c r="W272" s="13"/>
      <c r="AC272" s="13" t="s">
        <v>37</v>
      </c>
      <c r="AD272" s="22">
        <v>0</v>
      </c>
      <c r="AE272" s="19"/>
      <c r="AF272" s="16"/>
    </row>
    <row r="273" spans="1:32" x14ac:dyDescent="0.2">
      <c r="A273">
        <v>1024</v>
      </c>
      <c r="B273" s="8">
        <v>46221</v>
      </c>
      <c r="C273" s="9">
        <v>0.47650462962962964</v>
      </c>
      <c r="D273" s="7" t="s">
        <v>21</v>
      </c>
      <c r="E273" s="13" t="s">
        <v>37</v>
      </c>
      <c r="F273" s="16">
        <v>70.316601399999996</v>
      </c>
      <c r="G273" s="129">
        <v>1908.25793</v>
      </c>
      <c r="H273" s="169">
        <v>1</v>
      </c>
      <c r="I273" s="170" t="s">
        <v>255</v>
      </c>
      <c r="J273" s="165" t="s">
        <v>17</v>
      </c>
      <c r="K273" s="16">
        <v>89.593850399999994</v>
      </c>
      <c r="L273" s="16">
        <v>-1.9705193999999999</v>
      </c>
      <c r="M273" s="16">
        <v>-25.069544</v>
      </c>
      <c r="N273" s="16">
        <v>63.323868099999999</v>
      </c>
      <c r="O273" s="16">
        <v>34</v>
      </c>
      <c r="P273" s="175">
        <v>0.89363426000000001</v>
      </c>
      <c r="R273" s="13" t="s">
        <v>54</v>
      </c>
      <c r="S273" s="169">
        <v>0</v>
      </c>
      <c r="T273" s="170"/>
      <c r="W273" s="13"/>
      <c r="AC273" s="13" t="s">
        <v>37</v>
      </c>
      <c r="AD273" s="169">
        <v>0</v>
      </c>
      <c r="AE273" s="170"/>
      <c r="AF273" s="16"/>
    </row>
    <row r="274" spans="1:32" x14ac:dyDescent="0.2">
      <c r="A274">
        <v>1049</v>
      </c>
      <c r="B274" s="8">
        <v>46221</v>
      </c>
      <c r="C274" s="9">
        <v>0.48728009259259258</v>
      </c>
      <c r="D274" s="7" t="s">
        <v>21</v>
      </c>
      <c r="E274" s="13" t="s">
        <v>54</v>
      </c>
      <c r="F274" s="16">
        <v>76.160441500000005</v>
      </c>
      <c r="G274" s="129">
        <v>1942.5169699999999</v>
      </c>
      <c r="H274" s="22">
        <v>1</v>
      </c>
      <c r="I274" s="19"/>
      <c r="J274" s="7" t="s">
        <v>29</v>
      </c>
      <c r="K274" s="16"/>
      <c r="L274" s="16"/>
      <c r="M274" s="16"/>
      <c r="N274" s="16"/>
      <c r="O274" s="16"/>
      <c r="P274" s="175"/>
      <c r="R274" s="13" t="s">
        <v>54</v>
      </c>
      <c r="S274" s="22">
        <v>1</v>
      </c>
      <c r="T274" s="19"/>
      <c r="W274" s="13"/>
      <c r="AC274" s="13" t="s">
        <v>37</v>
      </c>
      <c r="AD274" s="22">
        <v>1</v>
      </c>
      <c r="AE274" s="19" t="s">
        <v>38</v>
      </c>
      <c r="AF274" s="16"/>
    </row>
    <row r="275" spans="1:32" x14ac:dyDescent="0.2">
      <c r="A275">
        <v>1050</v>
      </c>
      <c r="B275" s="8">
        <v>46221</v>
      </c>
      <c r="C275" s="9">
        <v>0.48745370370370372</v>
      </c>
      <c r="D275" s="7" t="s">
        <v>21</v>
      </c>
      <c r="E275" s="13" t="s">
        <v>33</v>
      </c>
      <c r="F275" s="16">
        <v>82.194837199999995</v>
      </c>
      <c r="G275" s="129">
        <v>2076.4477499999998</v>
      </c>
      <c r="H275" s="22">
        <v>0</v>
      </c>
      <c r="I275" s="19"/>
      <c r="J275" s="7" t="s">
        <v>29</v>
      </c>
      <c r="K275" s="16"/>
      <c r="L275" s="16"/>
      <c r="M275" s="16"/>
      <c r="N275" s="16"/>
      <c r="O275" s="16"/>
      <c r="P275" s="175"/>
      <c r="R275" s="13" t="s">
        <v>54</v>
      </c>
      <c r="S275" s="22">
        <v>1</v>
      </c>
      <c r="T275" s="19"/>
      <c r="W275" s="13"/>
      <c r="AC275" s="13" t="s">
        <v>37</v>
      </c>
      <c r="AD275" s="22">
        <v>1</v>
      </c>
      <c r="AE275" s="19" t="s">
        <v>38</v>
      </c>
      <c r="AF275" s="16"/>
    </row>
    <row r="276" spans="1:32" x14ac:dyDescent="0.2">
      <c r="A276">
        <v>1051</v>
      </c>
      <c r="B276" s="8">
        <v>46221</v>
      </c>
      <c r="C276" s="9">
        <v>0.48762731481481481</v>
      </c>
      <c r="D276" s="7" t="s">
        <v>21</v>
      </c>
      <c r="E276" s="13" t="s">
        <v>37</v>
      </c>
      <c r="F276" s="16">
        <v>69.935481699999997</v>
      </c>
      <c r="G276" s="129">
        <v>2035.81836</v>
      </c>
      <c r="H276" s="22">
        <v>1</v>
      </c>
      <c r="I276" s="19"/>
      <c r="J276" s="7" t="s">
        <v>29</v>
      </c>
      <c r="K276" s="16"/>
      <c r="L276" s="16"/>
      <c r="M276" s="16"/>
      <c r="N276" s="16"/>
      <c r="O276" s="16"/>
      <c r="P276" s="175"/>
      <c r="R276" s="13" t="s">
        <v>54</v>
      </c>
      <c r="S276" s="22">
        <v>0</v>
      </c>
      <c r="T276" s="19" t="s">
        <v>48</v>
      </c>
      <c r="W276" s="13"/>
      <c r="AC276" s="13" t="s">
        <v>37</v>
      </c>
      <c r="AD276" s="22">
        <v>0</v>
      </c>
      <c r="AE276" s="19"/>
      <c r="AF276" s="16"/>
    </row>
    <row r="277" spans="1:32" x14ac:dyDescent="0.2">
      <c r="A277">
        <v>1052</v>
      </c>
      <c r="B277" s="8">
        <v>46221</v>
      </c>
      <c r="C277" s="9">
        <v>0.48780092592592594</v>
      </c>
      <c r="D277" s="7" t="s">
        <v>21</v>
      </c>
      <c r="E277" s="13" t="s">
        <v>33</v>
      </c>
      <c r="F277" s="16">
        <v>84.100436200000004</v>
      </c>
      <c r="G277" s="129">
        <v>2189.9482400000002</v>
      </c>
      <c r="H277" s="22">
        <v>0</v>
      </c>
      <c r="I277" s="19"/>
      <c r="J277" s="7" t="s">
        <v>29</v>
      </c>
      <c r="K277" s="16"/>
      <c r="L277" s="16"/>
      <c r="M277" s="16"/>
      <c r="N277" s="16"/>
      <c r="O277" s="16"/>
      <c r="P277" s="175"/>
      <c r="R277" s="13" t="s">
        <v>37</v>
      </c>
      <c r="S277" s="22">
        <v>1</v>
      </c>
      <c r="T277" s="19" t="s">
        <v>38</v>
      </c>
      <c r="W277" s="13"/>
      <c r="AC277" s="13" t="s">
        <v>37</v>
      </c>
      <c r="AD277" s="22">
        <v>1</v>
      </c>
      <c r="AE277" s="19" t="s">
        <v>38</v>
      </c>
      <c r="AF277" s="16"/>
    </row>
    <row r="278" spans="1:32" x14ac:dyDescent="0.2">
      <c r="A278">
        <v>1053</v>
      </c>
      <c r="B278" s="8">
        <v>46221</v>
      </c>
      <c r="C278" s="9">
        <v>0.48795138888888889</v>
      </c>
      <c r="D278" s="7" t="s">
        <v>21</v>
      </c>
      <c r="E278" s="13" t="s">
        <v>37</v>
      </c>
      <c r="F278" s="16">
        <v>70.507161300000007</v>
      </c>
      <c r="G278" s="129">
        <v>2109.9641099999999</v>
      </c>
      <c r="H278" s="22">
        <v>0</v>
      </c>
      <c r="I278" s="19"/>
      <c r="J278" s="7" t="s">
        <v>29</v>
      </c>
      <c r="K278" s="16"/>
      <c r="L278" s="16"/>
      <c r="M278" s="16"/>
      <c r="N278" s="16"/>
      <c r="O278" s="16"/>
      <c r="P278" s="175"/>
      <c r="R278" s="13" t="s">
        <v>37</v>
      </c>
      <c r="S278" s="22">
        <v>0</v>
      </c>
      <c r="T278" s="19"/>
      <c r="W278" s="13"/>
      <c r="AC278" s="13" t="s">
        <v>37</v>
      </c>
      <c r="AD278" s="22">
        <v>0</v>
      </c>
      <c r="AE278" s="19"/>
      <c r="AF278" s="16"/>
    </row>
    <row r="279" spans="1:32" x14ac:dyDescent="0.2">
      <c r="A279">
        <v>1054</v>
      </c>
      <c r="B279" s="8">
        <v>46221</v>
      </c>
      <c r="C279" s="9">
        <v>0.48810185185185184</v>
      </c>
      <c r="D279" s="7" t="s">
        <v>21</v>
      </c>
      <c r="E279" s="13" t="s">
        <v>33</v>
      </c>
      <c r="F279" s="16">
        <v>85.863112000000001</v>
      </c>
      <c r="G279" s="129">
        <v>2253.7602499999998</v>
      </c>
      <c r="H279" s="22">
        <v>1</v>
      </c>
      <c r="I279" s="19" t="s">
        <v>255</v>
      </c>
      <c r="J279" s="7" t="s">
        <v>29</v>
      </c>
      <c r="K279" s="16">
        <v>44.866419700000002</v>
      </c>
      <c r="L279" s="16">
        <v>-35.241855999999999</v>
      </c>
      <c r="M279" s="16"/>
      <c r="N279" s="16">
        <v>63.435943799999997</v>
      </c>
      <c r="O279" s="16">
        <v>5</v>
      </c>
      <c r="P279" s="175">
        <v>0.42912772999999999</v>
      </c>
      <c r="R279" s="13" t="s">
        <v>37</v>
      </c>
      <c r="S279" s="22">
        <v>0</v>
      </c>
      <c r="T279" s="19"/>
      <c r="W279" s="13"/>
      <c r="AC279" s="13" t="s">
        <v>37</v>
      </c>
      <c r="AD279" s="22">
        <v>1</v>
      </c>
      <c r="AE279" s="19" t="s">
        <v>38</v>
      </c>
      <c r="AF279" s="16"/>
    </row>
    <row r="280" spans="1:32" x14ac:dyDescent="0.2">
      <c r="A280">
        <v>1055</v>
      </c>
      <c r="B280" s="8">
        <v>46221</v>
      </c>
      <c r="C280" s="9">
        <v>0.48841435185185184</v>
      </c>
      <c r="D280" s="7" t="s">
        <v>21</v>
      </c>
      <c r="E280" s="13" t="s">
        <v>33</v>
      </c>
      <c r="F280" s="16">
        <v>84.735633000000007</v>
      </c>
      <c r="G280" s="129">
        <v>2230.8208</v>
      </c>
      <c r="H280" s="22">
        <v>0</v>
      </c>
      <c r="I280" s="19"/>
      <c r="J280" s="7" t="s">
        <v>24</v>
      </c>
      <c r="K280" s="16"/>
      <c r="L280" s="16"/>
      <c r="M280" s="16"/>
      <c r="N280" s="16"/>
      <c r="O280" s="16"/>
      <c r="P280" s="175"/>
      <c r="R280" s="13" t="s">
        <v>37</v>
      </c>
      <c r="S280" s="22">
        <v>1</v>
      </c>
      <c r="T280" s="19"/>
      <c r="W280" s="13"/>
      <c r="AC280" s="13" t="s">
        <v>37</v>
      </c>
      <c r="AD280" s="22">
        <v>0</v>
      </c>
      <c r="AE280" s="19"/>
      <c r="AF280" s="16"/>
    </row>
    <row r="281" spans="1:32" x14ac:dyDescent="0.2">
      <c r="A281">
        <v>1056</v>
      </c>
      <c r="B281" s="8">
        <v>46221</v>
      </c>
      <c r="C281" s="9">
        <v>0.48855324074074075</v>
      </c>
      <c r="D281" s="7" t="s">
        <v>21</v>
      </c>
      <c r="E281" s="13" t="s">
        <v>33</v>
      </c>
      <c r="F281" s="16">
        <v>85.688436800000005</v>
      </c>
      <c r="G281" s="129">
        <v>1135.7426800000001</v>
      </c>
      <c r="H281" s="22">
        <v>0</v>
      </c>
      <c r="I281" s="19"/>
      <c r="J281" s="7" t="s">
        <v>24</v>
      </c>
      <c r="K281" s="16"/>
      <c r="L281" s="16"/>
      <c r="M281" s="16"/>
      <c r="N281" s="16"/>
      <c r="O281" s="16"/>
      <c r="P281" s="175"/>
      <c r="R281" s="13" t="s">
        <v>37</v>
      </c>
      <c r="S281" s="22">
        <v>1</v>
      </c>
      <c r="T281" s="19" t="s">
        <v>255</v>
      </c>
      <c r="W281" s="13"/>
      <c r="AC281" s="13" t="s">
        <v>37</v>
      </c>
      <c r="AD281" s="22">
        <v>0</v>
      </c>
      <c r="AE281" s="19"/>
      <c r="AF281" s="16"/>
    </row>
    <row r="282" spans="1:32" x14ac:dyDescent="0.2">
      <c r="A282">
        <v>1057</v>
      </c>
      <c r="B282" s="8">
        <v>46221</v>
      </c>
      <c r="C282" s="9">
        <v>0.48883101851851851</v>
      </c>
      <c r="D282" s="7" t="s">
        <v>21</v>
      </c>
      <c r="E282" s="13" t="s">
        <v>35</v>
      </c>
      <c r="F282" s="16">
        <v>72.857397399999996</v>
      </c>
      <c r="G282" s="129">
        <v>995.07403599999998</v>
      </c>
      <c r="H282" s="22">
        <v>1</v>
      </c>
      <c r="I282" s="19" t="s">
        <v>39</v>
      </c>
      <c r="J282" s="7" t="s">
        <v>24</v>
      </c>
      <c r="K282" s="16"/>
      <c r="L282" s="16"/>
      <c r="M282" s="16"/>
      <c r="N282" s="16">
        <v>69.376059999999995</v>
      </c>
      <c r="O282" s="16"/>
      <c r="P282" s="175"/>
      <c r="R282" s="13" t="s">
        <v>37</v>
      </c>
      <c r="S282" s="22">
        <v>0</v>
      </c>
      <c r="T282" s="19"/>
      <c r="W282" s="13"/>
      <c r="AC282" s="13" t="s">
        <v>37</v>
      </c>
      <c r="AD282" s="22">
        <v>1</v>
      </c>
      <c r="AE282" s="19"/>
      <c r="AF282" s="16"/>
    </row>
    <row r="283" spans="1:32" x14ac:dyDescent="0.2">
      <c r="A283">
        <v>1058</v>
      </c>
      <c r="B283" s="8">
        <v>46221</v>
      </c>
      <c r="C283" s="9">
        <v>0.48900462962962965</v>
      </c>
      <c r="D283" s="7" t="s">
        <v>21</v>
      </c>
      <c r="E283" s="13" t="s">
        <v>35</v>
      </c>
      <c r="F283" s="16">
        <v>73.8102011</v>
      </c>
      <c r="G283" s="129">
        <v>1937.0775100000001</v>
      </c>
      <c r="H283" s="22">
        <v>1</v>
      </c>
      <c r="I283" s="19" t="s">
        <v>254</v>
      </c>
      <c r="J283" s="7" t="s">
        <v>24</v>
      </c>
      <c r="K283" s="16"/>
      <c r="L283" s="16"/>
      <c r="M283" s="16"/>
      <c r="N283" s="16">
        <v>62.203091999999998</v>
      </c>
      <c r="O283" s="16"/>
      <c r="P283" s="175"/>
      <c r="R283" s="13" t="s">
        <v>37</v>
      </c>
      <c r="S283" s="22">
        <v>1</v>
      </c>
      <c r="T283" s="19" t="s">
        <v>38</v>
      </c>
      <c r="W283" s="13"/>
      <c r="AC283" s="13" t="s">
        <v>37</v>
      </c>
      <c r="AD283" s="22">
        <v>1</v>
      </c>
      <c r="AE283" s="19" t="s">
        <v>255</v>
      </c>
      <c r="AF283" s="16">
        <v>83.209882199999996</v>
      </c>
    </row>
    <row r="284" spans="1:32" x14ac:dyDescent="0.2">
      <c r="A284">
        <v>1059</v>
      </c>
      <c r="B284" s="8">
        <v>46221</v>
      </c>
      <c r="C284" s="9">
        <v>0.48930555555555555</v>
      </c>
      <c r="D284" s="7" t="s">
        <v>21</v>
      </c>
      <c r="E284" s="13" t="s">
        <v>37</v>
      </c>
      <c r="F284" s="16">
        <v>70.999439300000006</v>
      </c>
      <c r="G284" s="129">
        <v>2090.33032</v>
      </c>
      <c r="H284" s="22">
        <v>1</v>
      </c>
      <c r="I284" s="19" t="s">
        <v>254</v>
      </c>
      <c r="J284" s="7" t="s">
        <v>27</v>
      </c>
      <c r="K284" s="16">
        <v>79.766423900000007</v>
      </c>
      <c r="L284" s="16">
        <v>38.171100000000003</v>
      </c>
      <c r="M284" s="16">
        <v>-22.393163999999999</v>
      </c>
      <c r="N284" s="16">
        <v>68.535476700000004</v>
      </c>
      <c r="O284" s="16">
        <v>283</v>
      </c>
      <c r="P284" s="175">
        <v>0.74765968000000005</v>
      </c>
      <c r="R284" s="13" t="s">
        <v>37</v>
      </c>
      <c r="S284" s="22">
        <v>0</v>
      </c>
      <c r="T284" s="19"/>
      <c r="W284" s="13"/>
      <c r="AC284" s="13" t="s">
        <v>37</v>
      </c>
      <c r="AD284" s="22">
        <v>0</v>
      </c>
      <c r="AE284" s="19"/>
      <c r="AF284" s="16"/>
    </row>
    <row r="285" spans="1:32" x14ac:dyDescent="0.2">
      <c r="A285">
        <v>1060</v>
      </c>
      <c r="B285" s="8">
        <v>46221</v>
      </c>
      <c r="C285" s="9">
        <v>0.4896064814814815</v>
      </c>
      <c r="D285" s="7" t="s">
        <v>21</v>
      </c>
      <c r="E285" s="13" t="s">
        <v>33</v>
      </c>
      <c r="F285" s="16">
        <v>84.989710000000002</v>
      </c>
      <c r="G285" s="129">
        <v>2234.0947299999998</v>
      </c>
      <c r="H285" s="22">
        <v>0</v>
      </c>
      <c r="I285" s="19"/>
      <c r="J285" s="7" t="s">
        <v>17</v>
      </c>
      <c r="K285" s="16"/>
      <c r="L285" s="16"/>
      <c r="M285" s="16"/>
      <c r="N285" s="16"/>
      <c r="O285" s="16"/>
      <c r="P285" s="175"/>
      <c r="R285" s="13" t="s">
        <v>37</v>
      </c>
      <c r="S285" s="22">
        <v>0</v>
      </c>
      <c r="T285" s="19"/>
      <c r="W285" s="13"/>
      <c r="AC285" s="13" t="s">
        <v>37</v>
      </c>
      <c r="AD285" s="22">
        <v>1</v>
      </c>
      <c r="AE285" s="19" t="s">
        <v>38</v>
      </c>
      <c r="AF285" s="16"/>
    </row>
    <row r="286" spans="1:32" x14ac:dyDescent="0.2">
      <c r="A286">
        <v>1061</v>
      </c>
      <c r="B286" s="8">
        <v>46221</v>
      </c>
      <c r="C286" s="9">
        <v>0.48982638888888891</v>
      </c>
      <c r="D286" s="7" t="s">
        <v>21</v>
      </c>
      <c r="E286" s="13" t="s">
        <v>37</v>
      </c>
      <c r="F286" s="16">
        <v>71.444080499999998</v>
      </c>
      <c r="G286" s="129">
        <v>735.95764199999996</v>
      </c>
      <c r="H286" s="22">
        <v>1</v>
      </c>
      <c r="I286" s="19" t="s">
        <v>38</v>
      </c>
      <c r="J286" s="7" t="s">
        <v>17</v>
      </c>
      <c r="K286" s="16"/>
      <c r="L286" s="16"/>
      <c r="M286" s="16"/>
      <c r="N286" s="16">
        <v>68.815669700000001</v>
      </c>
      <c r="O286" s="16"/>
      <c r="P286" s="175"/>
      <c r="R286" s="13" t="s">
        <v>37</v>
      </c>
      <c r="S286" s="22">
        <v>1</v>
      </c>
      <c r="T286" s="19" t="s">
        <v>254</v>
      </c>
      <c r="W286" s="13"/>
      <c r="AC286" s="13" t="s">
        <v>37</v>
      </c>
      <c r="AD286" s="22">
        <v>0</v>
      </c>
      <c r="AE286" s="19"/>
      <c r="AF286" s="16"/>
    </row>
    <row r="287" spans="1:32" x14ac:dyDescent="0.2">
      <c r="A287">
        <v>1062</v>
      </c>
      <c r="B287" s="8">
        <v>46221</v>
      </c>
      <c r="C287" s="9">
        <v>0.49015046296296294</v>
      </c>
      <c r="D287" s="7" t="s">
        <v>21</v>
      </c>
      <c r="E287" s="13" t="s">
        <v>37</v>
      </c>
      <c r="F287" s="16">
        <v>71.444080499999998</v>
      </c>
      <c r="G287" s="129">
        <v>2033.81152</v>
      </c>
      <c r="H287" s="22">
        <v>1</v>
      </c>
      <c r="I287" s="19" t="s">
        <v>38</v>
      </c>
      <c r="J287" s="7" t="s">
        <v>17</v>
      </c>
      <c r="K287" s="16"/>
      <c r="L287" s="16"/>
      <c r="M287" s="16"/>
      <c r="N287" s="16">
        <v>64.780875100000003</v>
      </c>
      <c r="O287" s="16"/>
      <c r="P287" s="175"/>
      <c r="R287" s="13" t="s">
        <v>37</v>
      </c>
      <c r="S287" s="22">
        <v>1</v>
      </c>
      <c r="T287" s="19" t="s">
        <v>38</v>
      </c>
      <c r="W287" s="13"/>
      <c r="AC287" s="13" t="s">
        <v>37</v>
      </c>
      <c r="AD287" s="22">
        <v>0</v>
      </c>
      <c r="AE287" s="19"/>
      <c r="AF287" s="16"/>
    </row>
    <row r="288" spans="1:32" x14ac:dyDescent="0.2">
      <c r="A288">
        <v>1063</v>
      </c>
      <c r="B288" s="8">
        <v>46221</v>
      </c>
      <c r="C288" s="9">
        <v>0.49040509259259257</v>
      </c>
      <c r="D288" s="7" t="s">
        <v>21</v>
      </c>
      <c r="E288" s="13" t="s">
        <v>37</v>
      </c>
      <c r="F288" s="16">
        <v>73.159115400000005</v>
      </c>
      <c r="G288" s="129">
        <v>1507.99109</v>
      </c>
      <c r="H288" s="22">
        <v>1</v>
      </c>
      <c r="I288" s="19" t="s">
        <v>45</v>
      </c>
      <c r="J288" s="7" t="s">
        <v>17</v>
      </c>
      <c r="K288" s="16"/>
      <c r="L288" s="16"/>
      <c r="M288" s="16"/>
      <c r="N288" s="16">
        <v>64.108409399999999</v>
      </c>
      <c r="O288" s="16"/>
      <c r="P288" s="175"/>
      <c r="R288" s="13" t="s">
        <v>37</v>
      </c>
      <c r="S288" s="22">
        <v>1</v>
      </c>
      <c r="T288" s="19" t="s">
        <v>45</v>
      </c>
      <c r="W288" s="13"/>
      <c r="AC288" s="13" t="s">
        <v>37</v>
      </c>
      <c r="AD288" s="22">
        <v>1</v>
      </c>
      <c r="AE288" s="19" t="s">
        <v>254</v>
      </c>
      <c r="AF288" s="16">
        <v>79.766423900000007</v>
      </c>
    </row>
    <row r="289" spans="1:32" x14ac:dyDescent="0.2">
      <c r="A289">
        <v>1064</v>
      </c>
      <c r="B289" s="8">
        <v>46221</v>
      </c>
      <c r="C289" s="9">
        <v>0.49077546296296298</v>
      </c>
      <c r="D289" s="7" t="s">
        <v>21</v>
      </c>
      <c r="E289" s="13" t="s">
        <v>33</v>
      </c>
      <c r="F289" s="16">
        <v>84.2751114</v>
      </c>
      <c r="G289" s="129">
        <v>2198.19263</v>
      </c>
      <c r="H289" s="22">
        <v>0</v>
      </c>
      <c r="I289" s="19"/>
      <c r="J289" s="7" t="s">
        <v>20</v>
      </c>
      <c r="K289" s="16"/>
      <c r="L289" s="16"/>
      <c r="M289" s="16"/>
      <c r="N289" s="16"/>
      <c r="O289" s="16"/>
      <c r="P289" s="175"/>
      <c r="R289" s="13" t="s">
        <v>37</v>
      </c>
      <c r="S289" s="22">
        <v>1</v>
      </c>
      <c r="T289" s="19" t="s">
        <v>38</v>
      </c>
      <c r="W289" s="13"/>
      <c r="AC289" s="13" t="s">
        <v>37</v>
      </c>
      <c r="AD289" s="22">
        <v>1</v>
      </c>
      <c r="AE289" s="19" t="s">
        <v>38</v>
      </c>
      <c r="AF289" s="16"/>
    </row>
    <row r="290" spans="1:32" x14ac:dyDescent="0.2">
      <c r="A290">
        <v>1065</v>
      </c>
      <c r="B290" s="8">
        <v>46221</v>
      </c>
      <c r="C290" s="9">
        <v>0.4909722222222222</v>
      </c>
      <c r="D290" s="7" t="s">
        <v>21</v>
      </c>
      <c r="E290" s="13" t="s">
        <v>54</v>
      </c>
      <c r="F290" s="16">
        <v>78.367758600000002</v>
      </c>
      <c r="G290" s="129">
        <v>2023.3737799999999</v>
      </c>
      <c r="H290" s="22">
        <v>1</v>
      </c>
      <c r="I290" s="19"/>
      <c r="J290" s="7" t="s">
        <v>20</v>
      </c>
      <c r="K290" s="16"/>
      <c r="L290" s="16"/>
      <c r="M290" s="16"/>
      <c r="N290" s="16"/>
      <c r="O290" s="16"/>
      <c r="P290" s="175"/>
      <c r="R290" s="13" t="s">
        <v>53</v>
      </c>
      <c r="S290" s="22">
        <v>0</v>
      </c>
      <c r="T290" s="19"/>
      <c r="W290" s="13"/>
      <c r="AC290" s="13" t="s">
        <v>37</v>
      </c>
      <c r="AD290" s="22">
        <v>1</v>
      </c>
      <c r="AE290" s="19" t="s">
        <v>45</v>
      </c>
      <c r="AF290" s="16"/>
    </row>
    <row r="291" spans="1:32" x14ac:dyDescent="0.2">
      <c r="A291">
        <v>1066</v>
      </c>
      <c r="B291" s="8">
        <v>46221</v>
      </c>
      <c r="C291" s="9">
        <v>0.4911226851851852</v>
      </c>
      <c r="D291" s="7" t="s">
        <v>21</v>
      </c>
      <c r="E291" s="13" t="s">
        <v>37</v>
      </c>
      <c r="F291" s="16">
        <v>72.142798799999994</v>
      </c>
      <c r="G291" s="129">
        <v>1975.8864699999999</v>
      </c>
      <c r="H291" s="22">
        <v>0</v>
      </c>
      <c r="I291" s="19"/>
      <c r="J291" s="7" t="s">
        <v>20</v>
      </c>
      <c r="K291" s="16"/>
      <c r="L291" s="16"/>
      <c r="M291" s="16"/>
      <c r="N291" s="16"/>
      <c r="O291" s="16"/>
      <c r="P291" s="175"/>
      <c r="R291" s="13" t="s">
        <v>53</v>
      </c>
      <c r="S291" s="22">
        <v>0</v>
      </c>
      <c r="T291" s="19"/>
      <c r="W291" s="13"/>
      <c r="AC291" s="13" t="s">
        <v>37</v>
      </c>
      <c r="AD291" s="22">
        <v>1</v>
      </c>
      <c r="AE291" s="19" t="s">
        <v>38</v>
      </c>
      <c r="AF291" s="16"/>
    </row>
    <row r="292" spans="1:32" x14ac:dyDescent="0.2">
      <c r="A292">
        <v>1067</v>
      </c>
      <c r="B292" s="8">
        <v>46221</v>
      </c>
      <c r="C292" s="9">
        <v>0.49137731481481484</v>
      </c>
      <c r="D292" s="7" t="s">
        <v>21</v>
      </c>
      <c r="E292" s="13" t="s">
        <v>33</v>
      </c>
      <c r="F292" s="16">
        <v>84.418034599999999</v>
      </c>
      <c r="G292" s="129">
        <v>2204.5097700000001</v>
      </c>
      <c r="H292" s="22">
        <v>1</v>
      </c>
      <c r="I292" s="19"/>
      <c r="J292" s="7" t="s">
        <v>20</v>
      </c>
      <c r="K292" s="16"/>
      <c r="L292" s="16"/>
      <c r="M292" s="16"/>
      <c r="N292" s="16"/>
      <c r="O292" s="16"/>
      <c r="P292" s="175"/>
      <c r="R292" s="13" t="s">
        <v>53</v>
      </c>
      <c r="S292" s="22">
        <v>1</v>
      </c>
      <c r="T292" s="19" t="s">
        <v>255</v>
      </c>
      <c r="W292" s="10"/>
      <c r="AC292" s="10" t="s">
        <v>37</v>
      </c>
      <c r="AD292" s="20">
        <v>0</v>
      </c>
      <c r="AE292" s="17"/>
      <c r="AF292" s="11"/>
    </row>
    <row r="293" spans="1:32" x14ac:dyDescent="0.2">
      <c r="A293">
        <v>1068</v>
      </c>
      <c r="B293" s="8">
        <v>46221</v>
      </c>
      <c r="C293" s="9">
        <v>0.49164351851851851</v>
      </c>
      <c r="D293" s="7" t="s">
        <v>21</v>
      </c>
      <c r="E293" s="13" t="s">
        <v>37</v>
      </c>
      <c r="F293" s="16">
        <v>73.111482899999999</v>
      </c>
      <c r="G293" s="129">
        <v>1985.1807899999999</v>
      </c>
      <c r="H293" s="22">
        <v>0</v>
      </c>
      <c r="I293" s="19"/>
      <c r="J293" s="7" t="s">
        <v>20</v>
      </c>
      <c r="K293" s="16"/>
      <c r="L293" s="16"/>
      <c r="M293" s="16"/>
      <c r="N293" s="16"/>
      <c r="O293" s="16"/>
      <c r="P293" s="175"/>
      <c r="R293" s="13" t="s">
        <v>53</v>
      </c>
      <c r="S293" s="22">
        <v>1</v>
      </c>
      <c r="T293" s="19"/>
      <c r="W293" s="10"/>
      <c r="AC293" s="10" t="s">
        <v>37</v>
      </c>
      <c r="AD293" s="20">
        <v>0</v>
      </c>
      <c r="AE293" s="17"/>
      <c r="AF293" s="11"/>
    </row>
    <row r="294" spans="1:32" x14ac:dyDescent="0.2">
      <c r="A294">
        <v>1069</v>
      </c>
      <c r="B294" s="8">
        <v>46221</v>
      </c>
      <c r="C294" s="9">
        <v>0.49184027777777778</v>
      </c>
      <c r="D294" s="7" t="s">
        <v>21</v>
      </c>
      <c r="E294" s="13" t="s">
        <v>37</v>
      </c>
      <c r="F294" s="16">
        <v>74.842398099999997</v>
      </c>
      <c r="G294" s="129">
        <v>1664.3920900000001</v>
      </c>
      <c r="H294" s="22">
        <v>1</v>
      </c>
      <c r="I294" s="19" t="s">
        <v>38</v>
      </c>
      <c r="J294" s="7" t="s">
        <v>20</v>
      </c>
      <c r="K294" s="16"/>
      <c r="L294" s="16"/>
      <c r="M294" s="16"/>
      <c r="N294" s="16">
        <v>61.026273799999998</v>
      </c>
      <c r="O294" s="16"/>
      <c r="P294" s="175"/>
      <c r="R294" s="13" t="s">
        <v>53</v>
      </c>
      <c r="S294" s="22">
        <v>1</v>
      </c>
      <c r="T294" s="19" t="s">
        <v>38</v>
      </c>
      <c r="W294" s="10"/>
      <c r="AC294" s="10" t="s">
        <v>37</v>
      </c>
      <c r="AD294" s="20">
        <v>0</v>
      </c>
      <c r="AE294" s="17"/>
      <c r="AF294" s="11"/>
    </row>
    <row r="295" spans="1:32" x14ac:dyDescent="0.2">
      <c r="A295">
        <v>1070</v>
      </c>
      <c r="B295" s="8">
        <v>46221</v>
      </c>
      <c r="C295" s="9">
        <v>0.49203703703703705</v>
      </c>
      <c r="D295" s="7" t="s">
        <v>21</v>
      </c>
      <c r="E295" s="13" t="s">
        <v>54</v>
      </c>
      <c r="F295" s="16">
        <v>78.177194499999999</v>
      </c>
      <c r="G295" s="129">
        <v>1005.45532</v>
      </c>
      <c r="H295" s="22">
        <v>0</v>
      </c>
      <c r="I295" s="19" t="s">
        <v>48</v>
      </c>
      <c r="J295" s="7" t="s">
        <v>20</v>
      </c>
      <c r="K295" s="16"/>
      <c r="L295" s="16"/>
      <c r="M295" s="16"/>
      <c r="N295" s="16"/>
      <c r="O295" s="16"/>
      <c r="P295" s="175"/>
      <c r="R295" s="13" t="s">
        <v>53</v>
      </c>
      <c r="S295" s="22">
        <v>0</v>
      </c>
      <c r="T295" s="19"/>
      <c r="W295" s="10"/>
      <c r="AC295" s="10" t="s">
        <v>37</v>
      </c>
      <c r="AD295" s="20">
        <v>0</v>
      </c>
      <c r="AE295" s="17"/>
      <c r="AF295" s="11"/>
    </row>
    <row r="296" spans="1:32" x14ac:dyDescent="0.2">
      <c r="A296">
        <v>1071</v>
      </c>
      <c r="B296" s="8">
        <v>46221</v>
      </c>
      <c r="C296" s="9">
        <v>0.49224537037037036</v>
      </c>
      <c r="D296" s="7" t="s">
        <v>21</v>
      </c>
      <c r="E296" s="13" t="s">
        <v>33</v>
      </c>
      <c r="F296" s="16">
        <v>85.688436800000005</v>
      </c>
      <c r="G296" s="129">
        <v>2242.19409</v>
      </c>
      <c r="H296" s="22">
        <v>1</v>
      </c>
      <c r="I296" s="19" t="s">
        <v>263</v>
      </c>
      <c r="J296" s="7" t="s">
        <v>20</v>
      </c>
      <c r="K296" s="16">
        <v>87.709516100000002</v>
      </c>
      <c r="L296" s="16">
        <v>43.825038900000003</v>
      </c>
      <c r="M296" s="16">
        <v>21.9772778</v>
      </c>
      <c r="N296" s="16">
        <v>66.6301548</v>
      </c>
      <c r="O296" s="16">
        <v>327</v>
      </c>
      <c r="P296" s="175">
        <v>0.81016083000000005</v>
      </c>
      <c r="R296" s="13" t="s">
        <v>53</v>
      </c>
      <c r="S296" s="22">
        <v>0</v>
      </c>
      <c r="T296" s="19"/>
      <c r="W296" s="10"/>
      <c r="AC296" s="10" t="s">
        <v>37</v>
      </c>
      <c r="AD296" s="20">
        <v>0</v>
      </c>
      <c r="AE296" s="17"/>
      <c r="AF296" s="11"/>
    </row>
    <row r="297" spans="1:32" x14ac:dyDescent="0.2">
      <c r="A297">
        <v>1072</v>
      </c>
      <c r="B297" s="8">
        <v>46221</v>
      </c>
      <c r="C297" s="9">
        <v>0.49265046296296294</v>
      </c>
      <c r="D297" s="7" t="s">
        <v>21</v>
      </c>
      <c r="E297" s="13" t="s">
        <v>35</v>
      </c>
      <c r="F297" s="16">
        <v>73.937235299999998</v>
      </c>
      <c r="G297" s="129">
        <v>1760.03748</v>
      </c>
      <c r="H297" s="22">
        <v>1</v>
      </c>
      <c r="I297" s="19" t="s">
        <v>255</v>
      </c>
      <c r="J297" s="7" t="s">
        <v>27</v>
      </c>
      <c r="K297" s="16"/>
      <c r="L297" s="16"/>
      <c r="M297" s="16"/>
      <c r="N297" s="16">
        <v>69.4320977</v>
      </c>
      <c r="O297" s="16"/>
      <c r="P297" s="177"/>
      <c r="R297" s="13" t="s">
        <v>46</v>
      </c>
      <c r="S297" s="22">
        <v>1</v>
      </c>
      <c r="T297" s="19" t="s">
        <v>255</v>
      </c>
      <c r="W297" s="10"/>
      <c r="AC297" s="10" t="s">
        <v>37</v>
      </c>
      <c r="AD297" s="20">
        <v>1</v>
      </c>
      <c r="AE297" s="17" t="s">
        <v>255</v>
      </c>
      <c r="AF297" s="11">
        <v>85.199917741999997</v>
      </c>
    </row>
    <row r="298" spans="1:32" s="114" customFormat="1" x14ac:dyDescent="0.2">
      <c r="A298" s="114">
        <v>1247</v>
      </c>
      <c r="B298" s="203">
        <v>46228</v>
      </c>
      <c r="C298" s="204">
        <v>0.44718750000000002</v>
      </c>
      <c r="D298" s="114" t="s">
        <v>21</v>
      </c>
      <c r="E298" s="205" t="s">
        <v>33</v>
      </c>
      <c r="F298" s="206">
        <v>80.22571653</v>
      </c>
      <c r="G298" s="207">
        <v>2060.5224600000001</v>
      </c>
      <c r="H298" s="208">
        <v>0</v>
      </c>
      <c r="I298" s="209"/>
      <c r="J298" s="114" t="s">
        <v>22</v>
      </c>
      <c r="K298" s="206"/>
      <c r="L298" s="206"/>
      <c r="M298" s="206"/>
      <c r="N298" s="206"/>
      <c r="O298" s="206"/>
      <c r="P298" s="222"/>
      <c r="U298" s="205" t="s">
        <v>35</v>
      </c>
      <c r="V298" s="208">
        <v>0</v>
      </c>
      <c r="W298" s="205"/>
      <c r="AC298" s="205" t="s">
        <v>37</v>
      </c>
      <c r="AD298" s="208">
        <v>1</v>
      </c>
      <c r="AE298" s="209"/>
      <c r="AF298" s="206"/>
    </row>
    <row r="299" spans="1:32" x14ac:dyDescent="0.2">
      <c r="A299">
        <v>1248</v>
      </c>
      <c r="B299" s="1">
        <v>46228</v>
      </c>
      <c r="C299" s="2">
        <v>0.4473611111111111</v>
      </c>
      <c r="D299" t="s">
        <v>21</v>
      </c>
      <c r="E299" s="10" t="s">
        <v>33</v>
      </c>
      <c r="F299" s="11">
        <v>79.971639522999993</v>
      </c>
      <c r="G299" s="4">
        <v>2078.2114299999998</v>
      </c>
      <c r="H299" s="20">
        <v>1</v>
      </c>
      <c r="I299" s="17" t="s">
        <v>254</v>
      </c>
      <c r="J299" t="s">
        <v>22</v>
      </c>
      <c r="K299" s="11">
        <v>84.237710234999994</v>
      </c>
      <c r="L299" s="11">
        <v>48.859893800000002</v>
      </c>
      <c r="M299" s="11">
        <v>-12.975801499999999</v>
      </c>
      <c r="N299" s="11">
        <v>61.133634645000001</v>
      </c>
      <c r="O299" s="11">
        <v>303</v>
      </c>
      <c r="P299" s="33">
        <v>0.84052253699999901</v>
      </c>
      <c r="U299" s="10" t="s">
        <v>35</v>
      </c>
      <c r="V299" s="20">
        <v>1</v>
      </c>
      <c r="W299" s="10"/>
      <c r="AC299" s="10" t="s">
        <v>37</v>
      </c>
      <c r="AD299" s="20">
        <v>1</v>
      </c>
      <c r="AE299" s="17"/>
      <c r="AF299" s="11"/>
    </row>
    <row r="300" spans="1:32" x14ac:dyDescent="0.2">
      <c r="A300">
        <v>1249</v>
      </c>
      <c r="B300" s="1">
        <v>46228</v>
      </c>
      <c r="C300" s="2">
        <v>0.44797453703703705</v>
      </c>
      <c r="D300" t="s">
        <v>21</v>
      </c>
      <c r="E300" s="10" t="s">
        <v>33</v>
      </c>
      <c r="F300" s="11">
        <v>80.543315136999993</v>
      </c>
      <c r="G300" s="4">
        <v>2076.3205600000001</v>
      </c>
      <c r="H300" s="20">
        <v>1</v>
      </c>
      <c r="I300" s="17" t="s">
        <v>267</v>
      </c>
      <c r="J300" t="s">
        <v>23</v>
      </c>
      <c r="K300" s="11">
        <v>83.871080004000007</v>
      </c>
      <c r="L300" s="11">
        <v>17.176250499999998</v>
      </c>
      <c r="M300" s="11">
        <v>-27.128793699999999</v>
      </c>
      <c r="N300" s="11">
        <v>59.419606594000001</v>
      </c>
      <c r="O300" s="11">
        <v>210</v>
      </c>
      <c r="P300" s="33">
        <v>0.85281722999999998</v>
      </c>
      <c r="U300" s="10" t="s">
        <v>35</v>
      </c>
      <c r="V300" s="20">
        <v>1</v>
      </c>
      <c r="W300" s="10"/>
      <c r="AC300" s="10" t="s">
        <v>37</v>
      </c>
      <c r="AD300" s="20">
        <v>1</v>
      </c>
      <c r="AE300" s="17" t="s">
        <v>38</v>
      </c>
      <c r="AF300" s="11"/>
    </row>
    <row r="301" spans="1:32" x14ac:dyDescent="0.2">
      <c r="A301">
        <v>1250</v>
      </c>
      <c r="B301" s="1">
        <v>46228</v>
      </c>
      <c r="C301" s="2">
        <v>0.44832175925925927</v>
      </c>
      <c r="D301" t="s">
        <v>21</v>
      </c>
      <c r="E301" s="10" t="s">
        <v>37</v>
      </c>
      <c r="F301" s="11">
        <v>70.951802654999995</v>
      </c>
      <c r="G301" s="4">
        <v>2193.3786599999999</v>
      </c>
      <c r="H301" s="20">
        <v>0</v>
      </c>
      <c r="I301" s="17"/>
      <c r="J301" t="s">
        <v>24</v>
      </c>
      <c r="K301" s="11"/>
      <c r="L301" s="11"/>
      <c r="M301" s="11"/>
      <c r="N301" s="11"/>
      <c r="O301" s="11"/>
      <c r="P301" s="33"/>
      <c r="U301" s="10" t="s">
        <v>35</v>
      </c>
      <c r="V301" s="20">
        <v>1</v>
      </c>
      <c r="W301" s="10"/>
      <c r="AC301" s="10" t="s">
        <v>37</v>
      </c>
      <c r="AD301" s="20">
        <v>0</v>
      </c>
      <c r="AE301" s="17"/>
      <c r="AF301" s="11"/>
    </row>
    <row r="302" spans="1:32" x14ac:dyDescent="0.2">
      <c r="A302">
        <v>1251</v>
      </c>
      <c r="B302" s="1">
        <v>46228</v>
      </c>
      <c r="C302" s="2">
        <v>0.44849537037037035</v>
      </c>
      <c r="D302" t="s">
        <v>21</v>
      </c>
      <c r="E302" s="10" t="s">
        <v>33</v>
      </c>
      <c r="F302" s="11">
        <v>82.512435541000002</v>
      </c>
      <c r="G302" s="4">
        <v>2126.5354000000002</v>
      </c>
      <c r="H302" s="20">
        <v>1</v>
      </c>
      <c r="I302" s="17" t="s">
        <v>38</v>
      </c>
      <c r="J302" t="s">
        <v>24</v>
      </c>
      <c r="K302" s="11">
        <v>85.294389140999996</v>
      </c>
      <c r="L302" s="11">
        <v>11.6418295</v>
      </c>
      <c r="M302" s="11">
        <v>-30.7451057</v>
      </c>
      <c r="N302" s="11">
        <v>60.448023380000002</v>
      </c>
      <c r="O302" s="11">
        <v>159</v>
      </c>
      <c r="P302" s="33">
        <v>0.85216339099999905</v>
      </c>
      <c r="U302" s="10" t="s">
        <v>35</v>
      </c>
      <c r="V302" s="20">
        <v>0</v>
      </c>
      <c r="W302" s="10"/>
      <c r="AC302" s="10" t="s">
        <v>37</v>
      </c>
      <c r="AD302" s="20">
        <v>0</v>
      </c>
      <c r="AE302" s="17" t="s">
        <v>48</v>
      </c>
      <c r="AF302" s="11"/>
    </row>
    <row r="303" spans="1:32" x14ac:dyDescent="0.2">
      <c r="A303">
        <v>1252</v>
      </c>
      <c r="B303" s="1">
        <v>46228</v>
      </c>
      <c r="C303" s="2">
        <v>0.44877314814814817</v>
      </c>
      <c r="D303" t="s">
        <v>21</v>
      </c>
      <c r="E303" s="10" t="s">
        <v>46</v>
      </c>
      <c r="F303" s="11">
        <v>72.285721816999995</v>
      </c>
      <c r="G303" s="4">
        <v>1434.26782</v>
      </c>
      <c r="H303" s="20">
        <v>1</v>
      </c>
      <c r="I303" s="17" t="s">
        <v>38</v>
      </c>
      <c r="J303" t="s">
        <v>24</v>
      </c>
      <c r="K303" s="11"/>
      <c r="L303" s="11"/>
      <c r="M303" s="11"/>
      <c r="N303" s="11">
        <v>61.819245686999999</v>
      </c>
      <c r="O303" s="11"/>
      <c r="P303" s="33"/>
      <c r="U303" s="10" t="s">
        <v>35</v>
      </c>
      <c r="V303" s="20">
        <v>1</v>
      </c>
      <c r="W303" s="10"/>
      <c r="AC303" s="10" t="s">
        <v>37</v>
      </c>
      <c r="AD303" s="20">
        <v>1</v>
      </c>
      <c r="AE303" s="17" t="s">
        <v>39</v>
      </c>
      <c r="AF303" s="11"/>
    </row>
    <row r="304" spans="1:32" x14ac:dyDescent="0.2">
      <c r="A304">
        <v>1253</v>
      </c>
      <c r="B304" s="1">
        <v>46228</v>
      </c>
      <c r="C304" s="2">
        <v>0.44907407407407407</v>
      </c>
      <c r="D304" t="s">
        <v>21</v>
      </c>
      <c r="E304" s="10" t="s">
        <v>37</v>
      </c>
      <c r="F304" s="11">
        <v>71.698157469999998</v>
      </c>
      <c r="G304" s="4">
        <v>2092.6242699999998</v>
      </c>
      <c r="H304" s="20">
        <v>0</v>
      </c>
      <c r="I304" s="17"/>
      <c r="J304" t="s">
        <v>24</v>
      </c>
      <c r="K304" s="11"/>
      <c r="L304" s="11"/>
      <c r="M304" s="11"/>
      <c r="N304" s="11"/>
      <c r="O304" s="11"/>
      <c r="P304" s="33"/>
      <c r="U304" s="10" t="s">
        <v>35</v>
      </c>
      <c r="V304" s="20">
        <v>1</v>
      </c>
      <c r="W304" s="10"/>
      <c r="AC304" s="10" t="s">
        <v>37</v>
      </c>
      <c r="AD304" s="20">
        <v>0</v>
      </c>
      <c r="AE304" s="17"/>
      <c r="AF304" s="11"/>
    </row>
    <row r="305" spans="1:32" x14ac:dyDescent="0.2">
      <c r="A305">
        <v>1254</v>
      </c>
      <c r="B305" s="1">
        <v>46228</v>
      </c>
      <c r="C305" s="2">
        <v>0.44923611111111111</v>
      </c>
      <c r="D305" t="s">
        <v>21</v>
      </c>
      <c r="E305" s="10" t="s">
        <v>54</v>
      </c>
      <c r="F305" s="11">
        <v>76.382757788999996</v>
      </c>
      <c r="G305" s="4">
        <v>1945.5251499999999</v>
      </c>
      <c r="H305" s="20">
        <v>0</v>
      </c>
      <c r="I305" s="17"/>
      <c r="J305" t="s">
        <v>24</v>
      </c>
      <c r="K305" s="11"/>
      <c r="L305" s="11"/>
      <c r="M305" s="11"/>
      <c r="N305" s="11"/>
      <c r="O305" s="11"/>
      <c r="P305" s="33"/>
      <c r="U305" s="10" t="s">
        <v>35</v>
      </c>
      <c r="V305" s="20">
        <v>0</v>
      </c>
      <c r="W305" s="10"/>
      <c r="AC305" s="10" t="s">
        <v>37</v>
      </c>
      <c r="AD305" s="20">
        <v>1</v>
      </c>
      <c r="AE305" s="17" t="s">
        <v>255</v>
      </c>
      <c r="AF305" s="11"/>
    </row>
    <row r="306" spans="1:32" x14ac:dyDescent="0.2">
      <c r="A306">
        <v>1255</v>
      </c>
      <c r="B306" s="1">
        <v>46228</v>
      </c>
      <c r="C306" s="2">
        <v>0.44958333333333333</v>
      </c>
      <c r="D306" t="s">
        <v>21</v>
      </c>
      <c r="E306" s="10" t="s">
        <v>33</v>
      </c>
      <c r="F306" s="11">
        <v>82.830033924000006</v>
      </c>
      <c r="G306" s="4">
        <v>1092.8010300000001</v>
      </c>
      <c r="H306" s="20">
        <v>1</v>
      </c>
      <c r="I306" s="17" t="s">
        <v>38</v>
      </c>
      <c r="J306" t="s">
        <v>24</v>
      </c>
      <c r="K306" s="11">
        <v>67.068664964000007</v>
      </c>
      <c r="L306" s="11">
        <v>33.582492799999997</v>
      </c>
      <c r="M306" s="11">
        <v>-26.613431899999998</v>
      </c>
      <c r="N306" s="11">
        <v>64.104616496000006</v>
      </c>
      <c r="O306" s="11"/>
      <c r="P306" s="33">
        <v>0.64619880699999999</v>
      </c>
      <c r="U306" s="10" t="s">
        <v>33</v>
      </c>
      <c r="V306" s="20">
        <v>0</v>
      </c>
      <c r="W306" s="13"/>
      <c r="AC306" s="13" t="s">
        <v>53</v>
      </c>
      <c r="AD306" s="22">
        <v>1</v>
      </c>
      <c r="AE306" s="19" t="s">
        <v>255</v>
      </c>
      <c r="AF306" s="16">
        <v>56.254753999999998</v>
      </c>
    </row>
    <row r="307" spans="1:32" x14ac:dyDescent="0.2">
      <c r="A307">
        <v>1256</v>
      </c>
      <c r="B307" s="1">
        <v>46228</v>
      </c>
      <c r="C307" s="2">
        <v>0.44983796296296297</v>
      </c>
      <c r="D307" t="s">
        <v>21</v>
      </c>
      <c r="E307" s="10" t="s">
        <v>35</v>
      </c>
      <c r="F307" s="11">
        <v>72.444514522000006</v>
      </c>
      <c r="G307" s="4">
        <v>1490.42383</v>
      </c>
      <c r="H307" s="20">
        <v>0</v>
      </c>
      <c r="I307" s="17" t="s">
        <v>48</v>
      </c>
      <c r="J307" t="s">
        <v>24</v>
      </c>
      <c r="K307" s="11"/>
      <c r="L307" s="11"/>
      <c r="M307" s="11"/>
      <c r="N307" s="11"/>
      <c r="O307" s="11"/>
      <c r="P307" s="33"/>
      <c r="U307" s="10" t="s">
        <v>33</v>
      </c>
      <c r="V307" s="20">
        <v>1</v>
      </c>
      <c r="W307" s="13"/>
      <c r="AC307" s="13" t="s">
        <v>53</v>
      </c>
      <c r="AD307" s="22">
        <v>1</v>
      </c>
      <c r="AE307" s="19" t="s">
        <v>45</v>
      </c>
      <c r="AF307" s="16"/>
    </row>
    <row r="308" spans="1:32" x14ac:dyDescent="0.2">
      <c r="A308">
        <v>1257</v>
      </c>
      <c r="B308" s="1">
        <v>46228</v>
      </c>
      <c r="C308" s="2">
        <v>0.45013888888888887</v>
      </c>
      <c r="D308" t="s">
        <v>21</v>
      </c>
      <c r="E308" s="10" t="s">
        <v>33</v>
      </c>
      <c r="F308" s="11">
        <v>81.353195803000006</v>
      </c>
      <c r="G308" s="4">
        <v>2064.0668900000001</v>
      </c>
      <c r="H308" s="20">
        <v>1</v>
      </c>
      <c r="I308" s="17" t="s">
        <v>263</v>
      </c>
      <c r="J308" t="s">
        <v>24</v>
      </c>
      <c r="K308" s="11"/>
      <c r="L308" s="11"/>
      <c r="M308" s="11"/>
      <c r="N308" s="11">
        <v>62.790528219000002</v>
      </c>
      <c r="O308" s="11"/>
      <c r="P308" s="33"/>
      <c r="U308" s="10" t="s">
        <v>33</v>
      </c>
      <c r="V308" s="20">
        <v>1</v>
      </c>
      <c r="W308" s="13"/>
      <c r="AC308" s="13" t="s">
        <v>53</v>
      </c>
      <c r="AD308" s="22">
        <v>0</v>
      </c>
      <c r="AE308" s="19"/>
      <c r="AF308" s="16"/>
    </row>
    <row r="309" spans="1:32" x14ac:dyDescent="0.2">
      <c r="A309">
        <v>1258</v>
      </c>
      <c r="B309" s="1">
        <v>46228</v>
      </c>
      <c r="C309" s="2">
        <v>0.45057870370370373</v>
      </c>
      <c r="D309" t="s">
        <v>21</v>
      </c>
      <c r="E309" s="10" t="s">
        <v>37</v>
      </c>
      <c r="F309" s="11">
        <v>68.855643525000005</v>
      </c>
      <c r="G309" s="4">
        <v>1825.41785</v>
      </c>
      <c r="H309" s="20">
        <v>1</v>
      </c>
      <c r="I309" s="17" t="s">
        <v>39</v>
      </c>
      <c r="J309" t="s">
        <v>19</v>
      </c>
      <c r="K309" s="11"/>
      <c r="L309" s="11"/>
      <c r="M309" s="11"/>
      <c r="N309" s="11">
        <v>60.276620620000003</v>
      </c>
      <c r="O309" s="11"/>
      <c r="P309" s="33"/>
      <c r="U309" s="10" t="s">
        <v>33</v>
      </c>
      <c r="V309" s="20">
        <v>1</v>
      </c>
      <c r="W309" s="13"/>
      <c r="AC309" s="13" t="s">
        <v>53</v>
      </c>
      <c r="AD309" s="22">
        <v>0</v>
      </c>
      <c r="AE309" s="19"/>
      <c r="AF309" s="16"/>
    </row>
    <row r="310" spans="1:32" x14ac:dyDescent="0.2">
      <c r="A310">
        <v>1259</v>
      </c>
      <c r="B310" s="1">
        <v>46228</v>
      </c>
      <c r="C310" s="2">
        <v>0.45075231481481481</v>
      </c>
      <c r="D310" t="s">
        <v>21</v>
      </c>
      <c r="E310" s="10" t="s">
        <v>33</v>
      </c>
      <c r="F310" s="11">
        <v>81.289674426000005</v>
      </c>
      <c r="G310" s="4">
        <v>2058.3642599999998</v>
      </c>
      <c r="H310" s="20">
        <v>0</v>
      </c>
      <c r="I310" s="17"/>
      <c r="J310" t="s">
        <v>19</v>
      </c>
      <c r="K310" s="11"/>
      <c r="L310" s="11"/>
      <c r="M310" s="11"/>
      <c r="N310" s="11"/>
      <c r="O310" s="11"/>
      <c r="P310" s="33"/>
      <c r="U310" s="10" t="s">
        <v>33</v>
      </c>
      <c r="V310" s="20">
        <v>1</v>
      </c>
      <c r="W310" s="13"/>
      <c r="AC310" s="13" t="s">
        <v>53</v>
      </c>
      <c r="AD310" s="22">
        <v>1</v>
      </c>
      <c r="AE310" s="19" t="s">
        <v>255</v>
      </c>
      <c r="AF310" s="16">
        <v>89.593850399999994</v>
      </c>
    </row>
    <row r="311" spans="1:32" x14ac:dyDescent="0.2">
      <c r="A311">
        <v>1260</v>
      </c>
      <c r="B311" s="1">
        <v>46228</v>
      </c>
      <c r="C311" s="2">
        <v>0.45094907407407409</v>
      </c>
      <c r="D311" t="s">
        <v>21</v>
      </c>
      <c r="E311" s="10" t="s">
        <v>54</v>
      </c>
      <c r="F311" s="11">
        <v>74.365996241000005</v>
      </c>
      <c r="G311" s="4">
        <v>1814.7843</v>
      </c>
      <c r="H311" s="20">
        <v>0</v>
      </c>
      <c r="I311" s="17"/>
      <c r="J311" t="s">
        <v>19</v>
      </c>
      <c r="K311" s="11"/>
      <c r="L311" s="11"/>
      <c r="M311" s="11"/>
      <c r="N311" s="11"/>
      <c r="O311" s="11"/>
      <c r="P311" s="33"/>
      <c r="U311" s="10" t="s">
        <v>33</v>
      </c>
      <c r="V311" s="20">
        <v>1</v>
      </c>
      <c r="W311" s="13"/>
      <c r="AC311" s="13" t="s">
        <v>53</v>
      </c>
      <c r="AD311" s="22">
        <v>1</v>
      </c>
      <c r="AE311" s="19"/>
      <c r="AF311" s="16"/>
    </row>
    <row r="312" spans="1:32" x14ac:dyDescent="0.2">
      <c r="A312">
        <v>1261</v>
      </c>
      <c r="B312" s="1">
        <v>46228</v>
      </c>
      <c r="C312" s="2">
        <v>0.45114583333333336</v>
      </c>
      <c r="D312" t="s">
        <v>21</v>
      </c>
      <c r="E312" s="10" t="s">
        <v>37</v>
      </c>
      <c r="F312" s="11">
        <v>70.999439326000001</v>
      </c>
      <c r="G312" s="4">
        <v>2032.4747299999999</v>
      </c>
      <c r="H312" s="20">
        <v>0</v>
      </c>
      <c r="I312" s="17"/>
      <c r="J312" t="s">
        <v>19</v>
      </c>
      <c r="K312" s="11"/>
      <c r="L312" s="11"/>
      <c r="M312" s="11"/>
      <c r="N312" s="11"/>
      <c r="O312" s="11"/>
      <c r="P312" s="33"/>
      <c r="U312" s="10" t="s">
        <v>33</v>
      </c>
      <c r="V312" s="20">
        <v>0</v>
      </c>
      <c r="W312" s="13"/>
      <c r="AC312" s="13" t="s">
        <v>53</v>
      </c>
      <c r="AD312" s="22">
        <v>1</v>
      </c>
      <c r="AE312" s="19" t="s">
        <v>38</v>
      </c>
      <c r="AF312" s="16"/>
    </row>
    <row r="313" spans="1:32" x14ac:dyDescent="0.2">
      <c r="A313">
        <v>1262</v>
      </c>
      <c r="B313" s="1">
        <v>46228</v>
      </c>
      <c r="C313" s="2">
        <v>0.45136574074074076</v>
      </c>
      <c r="D313" t="s">
        <v>21</v>
      </c>
      <c r="E313" s="10" t="s">
        <v>33</v>
      </c>
      <c r="F313" s="11">
        <v>81.813717173000001</v>
      </c>
      <c r="G313" s="4">
        <v>2140.9531200000001</v>
      </c>
      <c r="H313" s="20">
        <v>0</v>
      </c>
      <c r="I313" s="17" t="s">
        <v>48</v>
      </c>
      <c r="J313" t="s">
        <v>19</v>
      </c>
      <c r="K313" s="11"/>
      <c r="L313" s="11"/>
      <c r="M313" s="11"/>
      <c r="N313" s="11"/>
      <c r="O313" s="11"/>
      <c r="P313" s="172"/>
      <c r="U313" s="10" t="s">
        <v>33</v>
      </c>
      <c r="V313" s="20">
        <v>0</v>
      </c>
      <c r="W313" s="13"/>
      <c r="AC313" s="13" t="s">
        <v>53</v>
      </c>
      <c r="AD313" s="22">
        <v>0</v>
      </c>
      <c r="AE313" s="19"/>
      <c r="AF313" s="16"/>
    </row>
    <row r="314" spans="1:32" x14ac:dyDescent="0.2">
      <c r="A314">
        <v>1263</v>
      </c>
      <c r="B314" s="1">
        <v>46228</v>
      </c>
      <c r="C314" s="2">
        <v>0.45155092592592594</v>
      </c>
      <c r="D314" t="s">
        <v>21</v>
      </c>
      <c r="E314" s="10" t="s">
        <v>33</v>
      </c>
      <c r="F314" s="11">
        <v>77.049715245000002</v>
      </c>
      <c r="G314" s="4">
        <v>1971.84509</v>
      </c>
      <c r="H314" s="20">
        <v>1</v>
      </c>
      <c r="I314" s="17" t="s">
        <v>263</v>
      </c>
      <c r="J314" t="s">
        <v>19</v>
      </c>
      <c r="K314" s="11">
        <v>74.642780161999994</v>
      </c>
      <c r="L314" s="11">
        <v>21.728677699999999</v>
      </c>
      <c r="M314" s="11">
        <v>-0.95485246199999996</v>
      </c>
      <c r="N314" s="11">
        <v>58.505462565999999</v>
      </c>
      <c r="O314" s="11">
        <v>209</v>
      </c>
      <c r="P314" s="33">
        <v>0.774990768</v>
      </c>
      <c r="U314" s="10" t="s">
        <v>33</v>
      </c>
      <c r="V314" s="20">
        <v>1</v>
      </c>
      <c r="W314" s="13"/>
      <c r="AC314" s="13" t="s">
        <v>53</v>
      </c>
      <c r="AD314" s="22">
        <v>0</v>
      </c>
      <c r="AE314" s="19"/>
      <c r="AF314" s="16"/>
    </row>
    <row r="315" spans="1:32" x14ac:dyDescent="0.2">
      <c r="A315">
        <v>1264</v>
      </c>
      <c r="B315" s="1">
        <v>46228</v>
      </c>
      <c r="C315" s="2">
        <v>0.45186342592592593</v>
      </c>
      <c r="D315" t="s">
        <v>21</v>
      </c>
      <c r="E315" s="10" t="s">
        <v>54</v>
      </c>
      <c r="F315" s="11">
        <v>75.461714602000001</v>
      </c>
      <c r="G315" s="4">
        <v>1888.1883499999999</v>
      </c>
      <c r="H315" s="20">
        <v>0</v>
      </c>
      <c r="I315" s="17"/>
      <c r="J315" t="s">
        <v>17</v>
      </c>
      <c r="K315" s="11"/>
      <c r="L315" s="11"/>
      <c r="M315" s="11"/>
      <c r="N315" s="11"/>
      <c r="O315" s="11"/>
      <c r="P315" s="33"/>
      <c r="U315" s="10" t="s">
        <v>33</v>
      </c>
      <c r="V315" s="20">
        <v>0</v>
      </c>
      <c r="W315" s="10"/>
      <c r="AC315" s="10" t="s">
        <v>53</v>
      </c>
      <c r="AD315" s="20">
        <v>1</v>
      </c>
      <c r="AE315" s="17" t="s">
        <v>39</v>
      </c>
      <c r="AF315" s="11"/>
    </row>
    <row r="316" spans="1:32" x14ac:dyDescent="0.2">
      <c r="A316">
        <v>1265</v>
      </c>
      <c r="B316" s="1">
        <v>46228</v>
      </c>
      <c r="C316" s="2">
        <v>0.45202546296296298</v>
      </c>
      <c r="D316" t="s">
        <v>21</v>
      </c>
      <c r="E316" s="10" t="s">
        <v>37</v>
      </c>
      <c r="F316" s="11">
        <v>70.380122790000001</v>
      </c>
      <c r="G316" s="4">
        <v>2138.2770999999998</v>
      </c>
      <c r="H316" s="20">
        <v>0</v>
      </c>
      <c r="I316" s="17"/>
      <c r="J316" t="s">
        <v>17</v>
      </c>
      <c r="K316" s="11"/>
      <c r="L316" s="11"/>
      <c r="M316" s="11"/>
      <c r="N316" s="11"/>
      <c r="O316" s="11"/>
      <c r="P316" s="33"/>
      <c r="U316" s="10" t="s">
        <v>33</v>
      </c>
      <c r="V316" s="20">
        <v>1</v>
      </c>
      <c r="W316" s="10"/>
      <c r="AC316" s="10" t="s">
        <v>53</v>
      </c>
      <c r="AD316" s="20">
        <v>0</v>
      </c>
      <c r="AE316" s="17"/>
      <c r="AF316" s="11"/>
    </row>
    <row r="317" spans="1:32" x14ac:dyDescent="0.2">
      <c r="A317">
        <v>1266</v>
      </c>
      <c r="B317" s="1">
        <v>46228</v>
      </c>
      <c r="C317" s="2">
        <v>0.45219907407407406</v>
      </c>
      <c r="D317" t="s">
        <v>21</v>
      </c>
      <c r="E317" s="10" t="s">
        <v>33</v>
      </c>
      <c r="F317" s="11">
        <v>81.750195796</v>
      </c>
      <c r="G317" s="4">
        <v>1096.9904799999999</v>
      </c>
      <c r="H317" s="20">
        <v>0</v>
      </c>
      <c r="I317" s="17"/>
      <c r="J317" t="s">
        <v>17</v>
      </c>
      <c r="K317" s="11"/>
      <c r="L317" s="11"/>
      <c r="M317" s="11"/>
      <c r="N317" s="11"/>
      <c r="O317" s="11"/>
      <c r="P317" s="33"/>
      <c r="U317" s="10" t="s">
        <v>33</v>
      </c>
      <c r="V317" s="20">
        <v>1</v>
      </c>
      <c r="W317" s="10"/>
      <c r="AC317" s="10" t="s">
        <v>53</v>
      </c>
      <c r="AD317" s="20">
        <v>0</v>
      </c>
      <c r="AE317" s="17"/>
      <c r="AF317" s="11"/>
    </row>
    <row r="318" spans="1:32" x14ac:dyDescent="0.2">
      <c r="A318">
        <v>1267</v>
      </c>
      <c r="B318" s="1">
        <v>46228</v>
      </c>
      <c r="C318" s="2">
        <v>0.4523726851851852</v>
      </c>
      <c r="D318" t="s">
        <v>21</v>
      </c>
      <c r="E318" s="10" t="s">
        <v>33</v>
      </c>
      <c r="F318" s="11">
        <v>80.543315136999993</v>
      </c>
      <c r="G318" s="4">
        <v>2204.3063999999999</v>
      </c>
      <c r="H318" s="161">
        <v>1</v>
      </c>
      <c r="I318" s="162" t="s">
        <v>255</v>
      </c>
      <c r="J318" s="155" t="s">
        <v>17</v>
      </c>
      <c r="K318" s="11">
        <v>78.018817659000007</v>
      </c>
      <c r="L318" s="11">
        <v>63.434036300000002</v>
      </c>
      <c r="M318" s="11">
        <v>2.24701452</v>
      </c>
      <c r="N318" s="11">
        <v>65.875778577000005</v>
      </c>
      <c r="O318" s="11">
        <v>222</v>
      </c>
      <c r="P318" s="33">
        <v>0.73578048699999998</v>
      </c>
      <c r="S318" s="10" t="s">
        <v>251</v>
      </c>
      <c r="T318" s="10" t="s">
        <v>252</v>
      </c>
      <c r="U318" s="10" t="s">
        <v>33</v>
      </c>
      <c r="V318" s="161">
        <v>1</v>
      </c>
      <c r="W318" s="10"/>
      <c r="AC318" s="10" t="s">
        <v>46</v>
      </c>
      <c r="AD318" s="161">
        <v>1</v>
      </c>
      <c r="AE318" s="162"/>
      <c r="AF318" s="11"/>
    </row>
    <row r="319" spans="1:32" x14ac:dyDescent="0.2">
      <c r="A319">
        <v>1294</v>
      </c>
      <c r="B319" s="1">
        <v>46228</v>
      </c>
      <c r="C319" s="2">
        <v>0.4674537037037037</v>
      </c>
      <c r="D319" t="s">
        <v>21</v>
      </c>
      <c r="E319" s="10" t="s">
        <v>37</v>
      </c>
      <c r="F319" s="11">
        <v>65.552603735999995</v>
      </c>
      <c r="G319" s="4">
        <v>975.67474400000003</v>
      </c>
      <c r="H319" s="20">
        <v>0</v>
      </c>
      <c r="I319" s="17"/>
      <c r="J319" t="s">
        <v>20</v>
      </c>
      <c r="K319" s="11"/>
      <c r="L319" s="11"/>
      <c r="M319" s="11"/>
      <c r="N319" s="11"/>
      <c r="O319" s="11"/>
      <c r="P319" s="33"/>
      <c r="R319" s="10" t="s">
        <v>53</v>
      </c>
      <c r="S319" s="10">
        <v>5.5</v>
      </c>
      <c r="T319" s="10">
        <v>-6.1</v>
      </c>
      <c r="U319" s="10" t="s">
        <v>33</v>
      </c>
      <c r="V319" s="20">
        <v>0</v>
      </c>
      <c r="W319" s="10"/>
      <c r="AC319" s="10" t="s">
        <v>46</v>
      </c>
      <c r="AD319" s="20">
        <v>1</v>
      </c>
      <c r="AE319" s="17" t="s">
        <v>38</v>
      </c>
      <c r="AF319" s="11"/>
    </row>
    <row r="320" spans="1:32" x14ac:dyDescent="0.2">
      <c r="A320">
        <v>1295</v>
      </c>
      <c r="B320" s="1">
        <v>46228</v>
      </c>
      <c r="C320" s="2">
        <v>0.46773148148148147</v>
      </c>
      <c r="D320" t="s">
        <v>21</v>
      </c>
      <c r="E320" s="10" t="s">
        <v>33</v>
      </c>
      <c r="F320" s="11">
        <v>81.750195796</v>
      </c>
      <c r="G320" s="4">
        <v>1087.3601100000001</v>
      </c>
      <c r="H320" s="20">
        <v>1</v>
      </c>
      <c r="I320" s="17" t="s">
        <v>38</v>
      </c>
      <c r="J320" t="s">
        <v>20</v>
      </c>
      <c r="K320" s="11">
        <v>61.568744199000001</v>
      </c>
      <c r="L320" s="11">
        <v>-11.772069</v>
      </c>
      <c r="M320" s="11"/>
      <c r="N320" s="11">
        <v>70.852718917000004</v>
      </c>
      <c r="O320" s="11">
        <v>13</v>
      </c>
      <c r="P320" s="33">
        <v>0.55239406599999996</v>
      </c>
      <c r="R320" s="10" t="s">
        <v>33</v>
      </c>
      <c r="S320" s="10">
        <v>8.3000000000000007</v>
      </c>
      <c r="T320" s="10">
        <v>12.2</v>
      </c>
      <c r="U320" s="10" t="s">
        <v>33</v>
      </c>
      <c r="V320" s="20">
        <v>1</v>
      </c>
      <c r="W320" s="10"/>
      <c r="AC320" s="10" t="s">
        <v>46</v>
      </c>
      <c r="AD320" s="20">
        <v>1</v>
      </c>
      <c r="AE320" s="17" t="s">
        <v>38</v>
      </c>
      <c r="AF320" s="11"/>
    </row>
    <row r="321" spans="1:32" x14ac:dyDescent="0.2">
      <c r="A321">
        <v>1296</v>
      </c>
      <c r="B321" s="1">
        <v>46228</v>
      </c>
      <c r="C321" s="2">
        <v>0.46792824074074074</v>
      </c>
      <c r="D321" t="s">
        <v>21</v>
      </c>
      <c r="E321" s="10" t="s">
        <v>46</v>
      </c>
      <c r="F321" s="11">
        <v>73.365559945000001</v>
      </c>
      <c r="G321" s="4">
        <v>298.50680499999999</v>
      </c>
      <c r="H321" s="20">
        <v>0</v>
      </c>
      <c r="I321" s="17"/>
      <c r="J321" t="s">
        <v>20</v>
      </c>
      <c r="K321" s="11"/>
      <c r="L321" s="11"/>
      <c r="M321" s="11"/>
      <c r="N321" s="11"/>
      <c r="O321" s="11"/>
      <c r="P321" s="33"/>
      <c r="R321" s="10" t="s">
        <v>46</v>
      </c>
      <c r="S321" s="10">
        <v>2.2999999999999998</v>
      </c>
      <c r="T321" s="10">
        <v>6.4</v>
      </c>
      <c r="U321" s="10" t="s">
        <v>33</v>
      </c>
      <c r="V321" s="20">
        <v>1</v>
      </c>
      <c r="W321" s="10"/>
      <c r="AC321" s="10" t="s">
        <v>46</v>
      </c>
      <c r="AD321" s="20">
        <v>0</v>
      </c>
      <c r="AE321" s="17"/>
      <c r="AF321" s="11"/>
    </row>
    <row r="322" spans="1:32" x14ac:dyDescent="0.2">
      <c r="A322">
        <v>1297</v>
      </c>
      <c r="B322" s="1">
        <v>46228</v>
      </c>
      <c r="C322" s="2">
        <v>0.46818287037037037</v>
      </c>
      <c r="D322" t="s">
        <v>21</v>
      </c>
      <c r="E322" s="10" t="s">
        <v>46</v>
      </c>
      <c r="F322" s="11">
        <v>68.141040673999996</v>
      </c>
      <c r="G322" s="4">
        <v>340.19369499999999</v>
      </c>
      <c r="H322" s="20">
        <v>0</v>
      </c>
      <c r="I322" s="17"/>
      <c r="J322" t="s">
        <v>20</v>
      </c>
      <c r="K322" s="11"/>
      <c r="L322" s="11"/>
      <c r="M322" s="11"/>
      <c r="N322" s="11"/>
      <c r="O322" s="11"/>
      <c r="P322" s="33"/>
      <c r="R322" s="10" t="s">
        <v>46</v>
      </c>
      <c r="S322" s="10">
        <v>3.2</v>
      </c>
      <c r="T322" s="10">
        <v>0.9</v>
      </c>
      <c r="U322" s="10" t="s">
        <v>33</v>
      </c>
      <c r="V322" s="20">
        <v>1</v>
      </c>
      <c r="W322" s="10"/>
      <c r="AC322" s="10" t="s">
        <v>46</v>
      </c>
      <c r="AD322" s="20">
        <v>1</v>
      </c>
      <c r="AE322" s="17" t="s">
        <v>39</v>
      </c>
      <c r="AF322" s="11"/>
    </row>
    <row r="323" spans="1:32" x14ac:dyDescent="0.2">
      <c r="A323">
        <v>1298</v>
      </c>
      <c r="B323" s="1">
        <v>46228</v>
      </c>
      <c r="C323" s="2">
        <v>0.46836805555555555</v>
      </c>
      <c r="D323" t="s">
        <v>21</v>
      </c>
      <c r="E323" s="10" t="s">
        <v>54</v>
      </c>
      <c r="F323" s="11">
        <v>78.129553372999993</v>
      </c>
      <c r="G323" s="4">
        <v>994.69372599999997</v>
      </c>
      <c r="H323" s="20">
        <v>0</v>
      </c>
      <c r="I323" s="17" t="s">
        <v>48</v>
      </c>
      <c r="J323" t="s">
        <v>20</v>
      </c>
      <c r="K323" s="11"/>
      <c r="L323" s="11"/>
      <c r="M323" s="11"/>
      <c r="N323" s="11"/>
      <c r="O323" s="11"/>
      <c r="P323" s="33"/>
      <c r="R323" s="10" t="s">
        <v>54</v>
      </c>
      <c r="S323" s="10">
        <v>-3.3</v>
      </c>
      <c r="T323" s="10">
        <v>15.6</v>
      </c>
      <c r="U323" s="10" t="s">
        <v>54</v>
      </c>
      <c r="V323" s="20">
        <v>0</v>
      </c>
      <c r="W323" s="10"/>
      <c r="AC323" s="10" t="s">
        <v>46</v>
      </c>
      <c r="AD323" s="20">
        <v>1</v>
      </c>
      <c r="AE323" s="17"/>
      <c r="AF323" s="11"/>
    </row>
    <row r="324" spans="1:32" x14ac:dyDescent="0.2">
      <c r="A324">
        <v>1299</v>
      </c>
      <c r="B324" s="1">
        <v>46228</v>
      </c>
      <c r="C324" s="2">
        <v>0.46854166666666669</v>
      </c>
      <c r="D324" t="s">
        <v>21</v>
      </c>
      <c r="E324" s="10" t="s">
        <v>33</v>
      </c>
      <c r="F324" s="11">
        <v>81.051477652000003</v>
      </c>
      <c r="G324" s="4">
        <v>2117.42236</v>
      </c>
      <c r="H324" s="20">
        <v>1</v>
      </c>
      <c r="I324" s="17" t="s">
        <v>39</v>
      </c>
      <c r="J324" t="s">
        <v>20</v>
      </c>
      <c r="K324" s="11"/>
      <c r="L324" s="11"/>
      <c r="M324" s="11"/>
      <c r="N324" s="11">
        <v>68.678638805000006</v>
      </c>
      <c r="O324" s="11"/>
      <c r="P324" s="33"/>
      <c r="R324" s="10" t="s">
        <v>33</v>
      </c>
      <c r="S324" s="10">
        <v>7.7</v>
      </c>
      <c r="T324" s="10">
        <v>13.8</v>
      </c>
      <c r="U324" s="10" t="s">
        <v>54</v>
      </c>
      <c r="V324" s="20">
        <v>0</v>
      </c>
      <c r="W324" s="10"/>
      <c r="AC324" s="10" t="s">
        <v>46</v>
      </c>
      <c r="AD324" s="20">
        <v>0</v>
      </c>
      <c r="AE324" s="17"/>
      <c r="AF324" s="11"/>
    </row>
    <row r="325" spans="1:32" x14ac:dyDescent="0.2">
      <c r="A325">
        <v>1300</v>
      </c>
      <c r="B325" s="1">
        <v>46228</v>
      </c>
      <c r="C325" s="2">
        <v>0.46871527777777777</v>
      </c>
      <c r="D325" t="s">
        <v>21</v>
      </c>
      <c r="E325" s="10" t="s">
        <v>37</v>
      </c>
      <c r="F325" s="11">
        <v>72.666841801000004</v>
      </c>
      <c r="G325" s="4">
        <v>2217.93408</v>
      </c>
      <c r="H325" s="20">
        <v>0</v>
      </c>
      <c r="I325" s="17"/>
      <c r="J325" t="s">
        <v>20</v>
      </c>
      <c r="K325" s="11"/>
      <c r="L325" s="11"/>
      <c r="M325" s="11"/>
      <c r="N325" s="11"/>
      <c r="O325" s="11"/>
      <c r="P325" s="33"/>
      <c r="R325" s="10" t="s">
        <v>37</v>
      </c>
      <c r="S325" s="10">
        <v>3.9</v>
      </c>
      <c r="T325" s="10">
        <v>-7.8</v>
      </c>
      <c r="U325" s="10" t="s">
        <v>54</v>
      </c>
      <c r="V325" s="20">
        <v>0</v>
      </c>
      <c r="W325" s="10"/>
      <c r="AC325" s="10" t="s">
        <v>46</v>
      </c>
      <c r="AD325" s="20">
        <v>0</v>
      </c>
      <c r="AE325" s="17"/>
      <c r="AF325" s="11"/>
    </row>
    <row r="326" spans="1:32" x14ac:dyDescent="0.2">
      <c r="A326">
        <v>1301</v>
      </c>
      <c r="B326" s="1">
        <v>46228</v>
      </c>
      <c r="C326" s="2">
        <v>0.46909722222222222</v>
      </c>
      <c r="D326" t="s">
        <v>21</v>
      </c>
      <c r="E326" s="10" t="s">
        <v>35</v>
      </c>
      <c r="F326" s="11">
        <v>72.349243193999996</v>
      </c>
      <c r="G326" s="4">
        <v>1576.9222400000001</v>
      </c>
      <c r="H326" s="20">
        <v>1</v>
      </c>
      <c r="I326" s="17" t="s">
        <v>267</v>
      </c>
      <c r="J326" t="s">
        <v>22</v>
      </c>
      <c r="K326" s="11">
        <v>85.954929723000006</v>
      </c>
      <c r="L326" s="11">
        <v>-14.3315964</v>
      </c>
      <c r="M326" s="11">
        <v>-31.6453667</v>
      </c>
      <c r="N326" s="11">
        <v>61.989159543</v>
      </c>
      <c r="O326" s="11">
        <v>20</v>
      </c>
      <c r="P326" s="33">
        <v>0.868479691</v>
      </c>
      <c r="R326" s="10" t="s">
        <v>35</v>
      </c>
      <c r="S326" s="10">
        <v>0.9</v>
      </c>
      <c r="T326" s="10">
        <v>14.2</v>
      </c>
      <c r="U326" s="10" t="s">
        <v>54</v>
      </c>
      <c r="V326" s="20">
        <v>0</v>
      </c>
      <c r="W326" s="10"/>
      <c r="AC326" s="10" t="s">
        <v>46</v>
      </c>
      <c r="AD326" s="20">
        <v>1</v>
      </c>
      <c r="AE326" s="17" t="s">
        <v>39</v>
      </c>
      <c r="AF326" s="11"/>
    </row>
    <row r="327" spans="1:32" x14ac:dyDescent="0.2">
      <c r="A327">
        <v>1302</v>
      </c>
      <c r="B327" s="1">
        <v>46228</v>
      </c>
      <c r="C327" s="2">
        <v>0.46998842592592593</v>
      </c>
      <c r="D327" t="s">
        <v>21</v>
      </c>
      <c r="E327" s="10" t="s">
        <v>54</v>
      </c>
      <c r="F327" s="11">
        <v>76.033398716999997</v>
      </c>
      <c r="G327" s="4">
        <v>1939.5896</v>
      </c>
      <c r="H327" s="20">
        <v>1</v>
      </c>
      <c r="I327" s="17"/>
      <c r="J327" t="s">
        <v>24</v>
      </c>
      <c r="K327" s="11"/>
      <c r="L327" s="11"/>
      <c r="M327" s="11"/>
      <c r="N327" s="11"/>
      <c r="O327" s="11"/>
      <c r="P327" s="33"/>
      <c r="R327" s="10" t="s">
        <v>54</v>
      </c>
      <c r="S327" s="10">
        <v>-2.4</v>
      </c>
      <c r="T327" s="10">
        <v>16.399999999999999</v>
      </c>
      <c r="U327" s="10" t="s">
        <v>54</v>
      </c>
      <c r="V327" s="20">
        <v>1</v>
      </c>
      <c r="W327" s="10"/>
      <c r="AC327" s="10" t="s">
        <v>46</v>
      </c>
      <c r="AD327" s="20">
        <v>1</v>
      </c>
      <c r="AE327" s="17" t="s">
        <v>39</v>
      </c>
      <c r="AF327" s="11"/>
    </row>
    <row r="328" spans="1:32" x14ac:dyDescent="0.2">
      <c r="A328">
        <v>1303</v>
      </c>
      <c r="B328" s="1">
        <v>46228</v>
      </c>
      <c r="C328" s="2">
        <v>0.47016203703703702</v>
      </c>
      <c r="D328" t="s">
        <v>21</v>
      </c>
      <c r="E328" s="10" t="s">
        <v>37</v>
      </c>
      <c r="F328" s="11">
        <v>67.267642882000004</v>
      </c>
      <c r="G328" s="4">
        <v>989.49060099999997</v>
      </c>
      <c r="H328" s="20">
        <v>0</v>
      </c>
      <c r="I328" s="17"/>
      <c r="J328" t="s">
        <v>24</v>
      </c>
      <c r="K328" s="11"/>
      <c r="L328" s="11"/>
      <c r="M328" s="11"/>
      <c r="N328" s="11"/>
      <c r="O328" s="11"/>
      <c r="P328" s="33"/>
      <c r="R328" s="10" t="s">
        <v>53</v>
      </c>
      <c r="S328" s="10">
        <v>6.6</v>
      </c>
      <c r="T328" s="10">
        <v>5.8</v>
      </c>
      <c r="U328" s="10" t="s">
        <v>54</v>
      </c>
      <c r="V328" s="20">
        <v>0</v>
      </c>
      <c r="W328" s="10"/>
      <c r="AC328" s="10" t="s">
        <v>46</v>
      </c>
      <c r="AD328" s="20">
        <v>0</v>
      </c>
      <c r="AE328" s="17"/>
      <c r="AF328" s="11"/>
    </row>
    <row r="329" spans="1:32" x14ac:dyDescent="0.2">
      <c r="A329">
        <v>1304</v>
      </c>
      <c r="B329" s="1">
        <v>46228</v>
      </c>
      <c r="C329" s="2">
        <v>0.47032407407407406</v>
      </c>
      <c r="D329" t="s">
        <v>21</v>
      </c>
      <c r="E329" s="10" t="s">
        <v>35</v>
      </c>
      <c r="F329" s="11">
        <v>72.603320424000003</v>
      </c>
      <c r="G329" s="4">
        <v>1468.5472400000001</v>
      </c>
      <c r="H329" s="20">
        <v>1</v>
      </c>
      <c r="I329" s="17" t="s">
        <v>39</v>
      </c>
      <c r="J329" t="s">
        <v>24</v>
      </c>
      <c r="K329" s="11"/>
      <c r="L329" s="11"/>
      <c r="M329" s="11"/>
      <c r="N329" s="11">
        <v>64.107496327999996</v>
      </c>
      <c r="O329" s="11"/>
      <c r="P329" s="33"/>
      <c r="R329" s="10" t="s">
        <v>35</v>
      </c>
      <c r="S329" s="10">
        <v>0.9</v>
      </c>
      <c r="T329" s="10">
        <v>16.2</v>
      </c>
      <c r="U329" s="10" t="s">
        <v>54</v>
      </c>
      <c r="V329" s="20">
        <v>1</v>
      </c>
      <c r="W329" s="13"/>
      <c r="AC329" s="13" t="s">
        <v>46</v>
      </c>
      <c r="AD329" s="22">
        <v>0</v>
      </c>
      <c r="AE329" s="19"/>
      <c r="AF329" s="16"/>
    </row>
    <row r="330" spans="1:32" x14ac:dyDescent="0.2">
      <c r="A330">
        <v>1305</v>
      </c>
      <c r="B330" s="1">
        <v>46228</v>
      </c>
      <c r="C330" s="2">
        <v>0.47053240740740743</v>
      </c>
      <c r="D330" t="s">
        <v>21</v>
      </c>
      <c r="E330" s="10" t="s">
        <v>37</v>
      </c>
      <c r="F330" s="11">
        <v>71.968123433000002</v>
      </c>
      <c r="G330" s="4">
        <v>2141.6174299999998</v>
      </c>
      <c r="H330" s="20">
        <v>1</v>
      </c>
      <c r="I330" s="161" t="s">
        <v>255</v>
      </c>
      <c r="J330" s="155" t="s">
        <v>24</v>
      </c>
      <c r="K330" s="11">
        <v>85.199917741999997</v>
      </c>
      <c r="L330" s="11">
        <v>-5.3278317499999996</v>
      </c>
      <c r="M330" s="11">
        <v>14.6399031</v>
      </c>
      <c r="N330" s="11">
        <v>66.783288076999995</v>
      </c>
      <c r="O330" s="11">
        <v>16</v>
      </c>
      <c r="P330" s="33">
        <v>0.81219169599999996</v>
      </c>
      <c r="R330" s="10" t="s">
        <v>37</v>
      </c>
      <c r="S330" s="10">
        <v>2.2000000000000002</v>
      </c>
      <c r="T330" s="10">
        <v>-8.1999999999999993</v>
      </c>
      <c r="U330" s="10" t="s">
        <v>37</v>
      </c>
      <c r="V330" s="20">
        <v>0</v>
      </c>
      <c r="W330" s="13"/>
      <c r="AC330" s="13" t="s">
        <v>46</v>
      </c>
      <c r="AD330" s="22">
        <v>1</v>
      </c>
      <c r="AE330" s="169"/>
      <c r="AF330" s="16"/>
    </row>
    <row r="331" spans="1:32" x14ac:dyDescent="0.2">
      <c r="A331">
        <v>1332</v>
      </c>
      <c r="B331" s="1">
        <v>46228</v>
      </c>
      <c r="C331" s="2">
        <v>0.48185185185185186</v>
      </c>
      <c r="D331" t="s">
        <v>21</v>
      </c>
      <c r="E331" s="10" t="s">
        <v>33</v>
      </c>
      <c r="F331" s="11">
        <v>75.271158971999995</v>
      </c>
      <c r="G331" s="4">
        <v>1898.56</v>
      </c>
      <c r="H331" s="20">
        <v>0</v>
      </c>
      <c r="I331" s="17"/>
      <c r="J331" t="s">
        <v>24</v>
      </c>
      <c r="K331" s="11"/>
      <c r="L331" s="11"/>
      <c r="M331" s="11"/>
      <c r="N331" s="11"/>
      <c r="O331" s="11"/>
      <c r="P331" s="33"/>
      <c r="R331" s="10" t="s">
        <v>33</v>
      </c>
      <c r="S331" s="10"/>
      <c r="T331" s="10"/>
      <c r="U331" s="10" t="s">
        <v>37</v>
      </c>
      <c r="V331" s="20">
        <v>0</v>
      </c>
      <c r="W331" s="13"/>
      <c r="AC331" s="13" t="s">
        <v>46</v>
      </c>
      <c r="AD331" s="22">
        <v>1</v>
      </c>
      <c r="AE331" s="19" t="s">
        <v>255</v>
      </c>
      <c r="AF331" s="16">
        <v>86.379833500000004</v>
      </c>
    </row>
    <row r="332" spans="1:32" x14ac:dyDescent="0.2">
      <c r="A332">
        <v>1333</v>
      </c>
      <c r="B332" s="1">
        <v>46228</v>
      </c>
      <c r="C332" s="2">
        <v>0.48216435185185186</v>
      </c>
      <c r="D332" t="s">
        <v>21</v>
      </c>
      <c r="E332" s="10" t="s">
        <v>35</v>
      </c>
      <c r="F332" s="11">
        <v>72.666841801000004</v>
      </c>
      <c r="G332" s="4">
        <v>1504.4709499999999</v>
      </c>
      <c r="H332" s="20">
        <v>1</v>
      </c>
      <c r="I332" s="17" t="s">
        <v>255</v>
      </c>
      <c r="J332" t="s">
        <v>24</v>
      </c>
      <c r="K332" s="11">
        <v>82.776035632000003</v>
      </c>
      <c r="L332" s="11">
        <v>36.093940699999997</v>
      </c>
      <c r="M332" s="11">
        <v>26.756891299999999</v>
      </c>
      <c r="N332" s="11">
        <v>63.048330172</v>
      </c>
      <c r="O332" s="11">
        <v>296</v>
      </c>
      <c r="P332" s="33">
        <v>0.82569030799999998</v>
      </c>
      <c r="R332" s="10" t="s">
        <v>35</v>
      </c>
      <c r="S332" s="10"/>
      <c r="T332" s="10"/>
      <c r="U332" s="10" t="s">
        <v>37</v>
      </c>
      <c r="V332" s="20">
        <v>0</v>
      </c>
      <c r="W332" s="13"/>
      <c r="AC332" s="13" t="s">
        <v>46</v>
      </c>
      <c r="AD332" s="22">
        <v>0</v>
      </c>
      <c r="AE332" s="19"/>
      <c r="AF332" s="16"/>
    </row>
    <row r="333" spans="1:32" x14ac:dyDescent="0.2">
      <c r="A333">
        <v>1334</v>
      </c>
      <c r="B333" s="1">
        <v>46228</v>
      </c>
      <c r="C333" s="2">
        <v>0.48256944444444444</v>
      </c>
      <c r="D333" t="s">
        <v>21</v>
      </c>
      <c r="E333" s="10" t="s">
        <v>37</v>
      </c>
      <c r="F333" s="11">
        <v>72.285721816999995</v>
      </c>
      <c r="G333" s="4">
        <v>2196.96704</v>
      </c>
      <c r="H333" s="20">
        <v>1</v>
      </c>
      <c r="I333" s="17"/>
      <c r="J333" t="s">
        <v>19</v>
      </c>
      <c r="K333" s="11"/>
      <c r="L333" s="11"/>
      <c r="M333" s="11"/>
      <c r="N333" s="11"/>
      <c r="O333" s="11"/>
      <c r="P333" s="33"/>
      <c r="R333" s="10" t="s">
        <v>37</v>
      </c>
      <c r="S333" s="10"/>
      <c r="T333" s="10"/>
      <c r="U333" s="10" t="s">
        <v>37</v>
      </c>
      <c r="V333" s="20">
        <v>0</v>
      </c>
      <c r="W333" s="13"/>
      <c r="AC333" s="13" t="s">
        <v>46</v>
      </c>
      <c r="AD333" s="22">
        <v>1</v>
      </c>
      <c r="AE333" s="19" t="s">
        <v>38</v>
      </c>
      <c r="AF333" s="16">
        <v>96.139958399999998</v>
      </c>
    </row>
    <row r="334" spans="1:32" x14ac:dyDescent="0.2">
      <c r="A334">
        <v>1335</v>
      </c>
      <c r="B334" s="1">
        <v>46228</v>
      </c>
      <c r="C334" s="2">
        <v>0.48271990740740739</v>
      </c>
      <c r="D334" t="s">
        <v>21</v>
      </c>
      <c r="E334" s="10" t="s">
        <v>35</v>
      </c>
      <c r="F334" s="11">
        <v>73.921355104</v>
      </c>
      <c r="G334" s="4">
        <v>1384.60535</v>
      </c>
      <c r="H334" s="20">
        <v>0</v>
      </c>
      <c r="I334" s="17"/>
      <c r="J334" t="s">
        <v>19</v>
      </c>
      <c r="K334" s="11"/>
      <c r="L334" s="11"/>
      <c r="M334" s="11"/>
      <c r="N334" s="11"/>
      <c r="O334" s="11"/>
      <c r="P334" s="33"/>
      <c r="R334" s="10" t="s">
        <v>35</v>
      </c>
      <c r="S334" s="10"/>
      <c r="T334" s="10"/>
      <c r="U334" s="10" t="s">
        <v>37</v>
      </c>
      <c r="V334" s="20">
        <v>0</v>
      </c>
      <c r="W334" s="13"/>
      <c r="AC334" s="13" t="s">
        <v>46</v>
      </c>
      <c r="AD334" s="22">
        <v>1</v>
      </c>
      <c r="AE334" s="19" t="s">
        <v>45</v>
      </c>
      <c r="AF334" s="16"/>
    </row>
    <row r="335" spans="1:32" x14ac:dyDescent="0.2">
      <c r="A335">
        <v>1336</v>
      </c>
      <c r="B335" s="1">
        <v>46228</v>
      </c>
      <c r="C335" s="2">
        <v>0.48290509259259257</v>
      </c>
      <c r="D335" t="s">
        <v>21</v>
      </c>
      <c r="E335" s="10" t="s">
        <v>33</v>
      </c>
      <c r="F335" s="11">
        <v>83.068230698999997</v>
      </c>
      <c r="G335" s="4">
        <v>2154.62183</v>
      </c>
      <c r="H335" s="20">
        <v>1</v>
      </c>
      <c r="I335" s="17"/>
      <c r="J335" t="s">
        <v>19</v>
      </c>
      <c r="K335" s="11"/>
      <c r="L335" s="11"/>
      <c r="M335" s="11"/>
      <c r="N335" s="11"/>
      <c r="O335" s="11"/>
      <c r="P335" s="33"/>
      <c r="R335" s="10" t="s">
        <v>33</v>
      </c>
      <c r="S335" s="10"/>
      <c r="T335" s="10"/>
      <c r="U335" s="10" t="s">
        <v>37</v>
      </c>
      <c r="V335" s="20">
        <v>1</v>
      </c>
      <c r="W335" s="13"/>
      <c r="AC335" s="13" t="s">
        <v>46</v>
      </c>
      <c r="AD335" s="22">
        <v>1</v>
      </c>
      <c r="AE335" s="19" t="s">
        <v>254</v>
      </c>
      <c r="AF335" s="16">
        <v>100.35252800000001</v>
      </c>
    </row>
    <row r="336" spans="1:32" x14ac:dyDescent="0.2">
      <c r="A336">
        <v>1337</v>
      </c>
      <c r="B336" s="1">
        <v>46228</v>
      </c>
      <c r="C336" s="2">
        <v>0.4830902777777778</v>
      </c>
      <c r="D336" t="s">
        <v>21</v>
      </c>
      <c r="E336" s="10" t="s">
        <v>35</v>
      </c>
      <c r="F336" s="11">
        <v>74.635962203999995</v>
      </c>
      <c r="G336" s="4">
        <v>1608.33179</v>
      </c>
      <c r="H336" s="20">
        <v>1</v>
      </c>
      <c r="I336" s="17" t="s">
        <v>255</v>
      </c>
      <c r="J336" t="s">
        <v>19</v>
      </c>
      <c r="K336" s="11">
        <v>78.099644420000004</v>
      </c>
      <c r="L336" s="11">
        <v>-7.9254951499999997</v>
      </c>
      <c r="M336" s="11">
        <v>-35.480167399999999</v>
      </c>
      <c r="N336" s="11">
        <v>60.038061237999997</v>
      </c>
      <c r="O336" s="11">
        <v>18</v>
      </c>
      <c r="P336" s="33">
        <v>0.80292799999999998</v>
      </c>
      <c r="R336" s="10" t="s">
        <v>35</v>
      </c>
      <c r="S336" s="10"/>
      <c r="T336" s="10"/>
      <c r="U336" s="10" t="s">
        <v>37</v>
      </c>
      <c r="V336" s="20">
        <v>1</v>
      </c>
      <c r="W336" s="13"/>
      <c r="AC336" s="13" t="s">
        <v>46</v>
      </c>
      <c r="AD336" s="22">
        <v>0</v>
      </c>
      <c r="AE336" s="19"/>
      <c r="AF336" s="16"/>
    </row>
    <row r="337" spans="1:32" x14ac:dyDescent="0.2">
      <c r="A337">
        <v>1338</v>
      </c>
      <c r="B337" s="1">
        <v>46228</v>
      </c>
      <c r="C337" s="2">
        <v>0.48348379629629629</v>
      </c>
      <c r="D337" t="s">
        <v>21</v>
      </c>
      <c r="E337" s="10" t="s">
        <v>54</v>
      </c>
      <c r="F337" s="11">
        <v>76.446279165999997</v>
      </c>
      <c r="G337" s="4">
        <v>1963.6807899999999</v>
      </c>
      <c r="H337" s="20">
        <v>0</v>
      </c>
      <c r="I337" s="17"/>
      <c r="J337" t="s">
        <v>17</v>
      </c>
      <c r="K337" s="11"/>
      <c r="L337" s="11"/>
      <c r="M337" s="11"/>
      <c r="N337" s="11"/>
      <c r="O337" s="11"/>
      <c r="P337" s="33"/>
      <c r="R337" s="10" t="s">
        <v>54</v>
      </c>
      <c r="S337" s="10"/>
      <c r="T337" s="10"/>
      <c r="U337" s="10" t="s">
        <v>37</v>
      </c>
      <c r="V337" s="20">
        <v>1</v>
      </c>
      <c r="W337" s="13"/>
      <c r="AC337" s="13" t="s">
        <v>46</v>
      </c>
      <c r="AD337" s="22">
        <v>0</v>
      </c>
      <c r="AE337" s="19"/>
      <c r="AF337" s="16"/>
    </row>
    <row r="338" spans="1:32" x14ac:dyDescent="0.2">
      <c r="A338">
        <v>1339</v>
      </c>
      <c r="B338" s="1">
        <v>46228</v>
      </c>
      <c r="C338" s="2">
        <v>0.48370370370370369</v>
      </c>
      <c r="D338" t="s">
        <v>21</v>
      </c>
      <c r="E338" s="10" t="s">
        <v>37</v>
      </c>
      <c r="F338" s="11">
        <v>75.144116217999994</v>
      </c>
      <c r="G338" s="4">
        <v>2137.27954</v>
      </c>
      <c r="H338" s="20">
        <v>1</v>
      </c>
      <c r="I338" s="17"/>
      <c r="J338" t="s">
        <v>17</v>
      </c>
      <c r="K338" s="11"/>
      <c r="L338" s="11"/>
      <c r="M338" s="11"/>
      <c r="N338" s="11"/>
      <c r="O338" s="11"/>
      <c r="P338" s="33"/>
      <c r="R338" s="10" t="s">
        <v>37</v>
      </c>
      <c r="S338" s="10"/>
      <c r="T338" s="10"/>
      <c r="U338" s="10" t="s">
        <v>37</v>
      </c>
      <c r="V338" s="20">
        <v>1</v>
      </c>
      <c r="W338" s="13"/>
      <c r="AC338" s="13" t="s">
        <v>46</v>
      </c>
      <c r="AD338" s="22">
        <v>1</v>
      </c>
      <c r="AE338" s="19" t="s">
        <v>254</v>
      </c>
      <c r="AF338" s="16">
        <v>70.304578100000001</v>
      </c>
    </row>
    <row r="339" spans="1:32" x14ac:dyDescent="0.2">
      <c r="A339">
        <v>1340</v>
      </c>
      <c r="B339" s="1">
        <v>46228</v>
      </c>
      <c r="C339" s="2">
        <v>0.48387731481481483</v>
      </c>
      <c r="D339" t="s">
        <v>21</v>
      </c>
      <c r="E339" s="10" t="s">
        <v>35</v>
      </c>
      <c r="F339" s="11">
        <v>74.635962203999995</v>
      </c>
      <c r="G339" s="4">
        <v>1560.7807600000001</v>
      </c>
      <c r="H339" s="20">
        <v>1</v>
      </c>
      <c r="I339" s="17" t="s">
        <v>254</v>
      </c>
      <c r="J339" t="s">
        <v>17</v>
      </c>
      <c r="K339" s="11">
        <v>85.396361210999999</v>
      </c>
      <c r="L339" s="11">
        <v>-8.3572568900000004</v>
      </c>
      <c r="M339" s="11">
        <v>-35.250824000000001</v>
      </c>
      <c r="N339" s="11">
        <v>66.671797174000005</v>
      </c>
      <c r="O339" s="11">
        <v>14</v>
      </c>
      <c r="P339" s="33">
        <v>0.81292289699999998</v>
      </c>
      <c r="R339" s="10" t="s">
        <v>35</v>
      </c>
      <c r="S339" s="10"/>
      <c r="T339" s="10"/>
      <c r="U339" s="10" t="s">
        <v>37</v>
      </c>
      <c r="V339" s="20">
        <v>0</v>
      </c>
      <c r="W339" s="13"/>
      <c r="AC339" s="13" t="s">
        <v>46</v>
      </c>
      <c r="AD339" s="22">
        <v>0</v>
      </c>
      <c r="AE339" s="19" t="s">
        <v>41</v>
      </c>
      <c r="AF339" s="16"/>
    </row>
    <row r="340" spans="1:32" x14ac:dyDescent="0.2">
      <c r="A340">
        <v>1341</v>
      </c>
      <c r="B340" s="1">
        <v>46228</v>
      </c>
      <c r="C340" s="2">
        <v>0.48421296296296296</v>
      </c>
      <c r="D340" t="s">
        <v>21</v>
      </c>
      <c r="E340" s="10" t="s">
        <v>37</v>
      </c>
      <c r="F340" s="11">
        <v>72.730363178000005</v>
      </c>
      <c r="G340" s="4">
        <v>2158.2587899999999</v>
      </c>
      <c r="H340" s="20">
        <v>1</v>
      </c>
      <c r="I340" s="17" t="s">
        <v>38</v>
      </c>
      <c r="J340" t="s">
        <v>20</v>
      </c>
      <c r="K340" s="11"/>
      <c r="L340" s="11">
        <v>-61.622566200000001</v>
      </c>
      <c r="M340" s="11">
        <v>3.6146898300000001</v>
      </c>
      <c r="N340" s="11">
        <v>72.302105807000004</v>
      </c>
      <c r="O340" s="11"/>
      <c r="P340" s="33"/>
      <c r="R340" s="10" t="s">
        <v>37</v>
      </c>
      <c r="S340" s="10"/>
      <c r="T340" s="10"/>
      <c r="U340" s="10" t="s">
        <v>37</v>
      </c>
      <c r="V340" s="20">
        <v>0</v>
      </c>
      <c r="W340" s="13"/>
      <c r="AC340" s="13" t="s">
        <v>46</v>
      </c>
      <c r="AD340" s="22">
        <v>0</v>
      </c>
      <c r="AE340" s="19"/>
      <c r="AF340" s="16">
        <v>74.117133100000004</v>
      </c>
    </row>
    <row r="341" spans="1:32" x14ac:dyDescent="0.2">
      <c r="A341">
        <v>1342</v>
      </c>
      <c r="B341" s="1">
        <v>46228</v>
      </c>
      <c r="C341" s="2">
        <v>0.48478009259259258</v>
      </c>
      <c r="D341" t="s">
        <v>21</v>
      </c>
      <c r="E341" s="10" t="s">
        <v>37</v>
      </c>
      <c r="F341" s="11">
        <v>71.968123433000002</v>
      </c>
      <c r="G341" s="4">
        <v>1904.60547</v>
      </c>
      <c r="H341" s="20">
        <v>0</v>
      </c>
      <c r="I341" s="17"/>
      <c r="J341" t="s">
        <v>20</v>
      </c>
      <c r="K341" s="11"/>
      <c r="L341" s="11"/>
      <c r="M341" s="11"/>
      <c r="N341" s="11"/>
      <c r="O341" s="11"/>
      <c r="P341" s="33"/>
      <c r="R341" s="10" t="s">
        <v>37</v>
      </c>
      <c r="S341" s="10"/>
      <c r="T341" s="10"/>
      <c r="U341" s="10" t="s">
        <v>37</v>
      </c>
      <c r="V341" s="20">
        <v>1</v>
      </c>
      <c r="W341" s="13"/>
      <c r="AC341" s="13" t="s">
        <v>46</v>
      </c>
      <c r="AD341" s="22">
        <v>0</v>
      </c>
      <c r="AE341" s="19"/>
      <c r="AF341" s="16"/>
    </row>
    <row r="342" spans="1:32" x14ac:dyDescent="0.2">
      <c r="A342">
        <v>1343</v>
      </c>
      <c r="B342" s="1">
        <v>46228</v>
      </c>
      <c r="C342" s="2">
        <v>0.48499999999999999</v>
      </c>
      <c r="D342" t="s">
        <v>21</v>
      </c>
      <c r="E342" s="10" t="s">
        <v>46</v>
      </c>
      <c r="F342" s="11">
        <v>70.951802654999995</v>
      </c>
      <c r="G342" s="4">
        <v>551.488831</v>
      </c>
      <c r="H342" s="20">
        <v>0</v>
      </c>
      <c r="I342" s="17"/>
      <c r="J342" t="s">
        <v>20</v>
      </c>
      <c r="K342" s="11"/>
      <c r="L342" s="11"/>
      <c r="M342" s="11"/>
      <c r="N342" s="11"/>
      <c r="O342" s="11"/>
      <c r="P342" s="33"/>
      <c r="R342" s="10" t="s">
        <v>46</v>
      </c>
      <c r="S342" s="10"/>
      <c r="T342" s="10"/>
      <c r="U342" s="10" t="s">
        <v>37</v>
      </c>
      <c r="V342" s="20">
        <v>0</v>
      </c>
      <c r="W342" s="13"/>
      <c r="AC342" s="13" t="s">
        <v>46</v>
      </c>
      <c r="AD342" s="22">
        <v>0</v>
      </c>
      <c r="AE342" s="19"/>
      <c r="AF342" s="16"/>
    </row>
    <row r="343" spans="1:32" x14ac:dyDescent="0.2">
      <c r="A343">
        <v>1344</v>
      </c>
      <c r="B343" s="1">
        <v>46228</v>
      </c>
      <c r="C343" s="2">
        <v>0.48518518518518516</v>
      </c>
      <c r="D343" t="s">
        <v>21</v>
      </c>
      <c r="E343" s="10" t="s">
        <v>54</v>
      </c>
      <c r="F343" s="11">
        <v>75.953996884000006</v>
      </c>
      <c r="G343" s="4">
        <v>1997.8302000000001</v>
      </c>
      <c r="H343" s="20">
        <v>1</v>
      </c>
      <c r="I343" s="17"/>
      <c r="J343" t="s">
        <v>20</v>
      </c>
      <c r="K343" s="11"/>
      <c r="L343" s="11"/>
      <c r="M343" s="11"/>
      <c r="N343" s="11"/>
      <c r="O343" s="11"/>
      <c r="P343" s="33"/>
      <c r="R343" s="10" t="s">
        <v>54</v>
      </c>
      <c r="S343" s="10"/>
      <c r="T343" s="10"/>
      <c r="U343" s="10" t="s">
        <v>37</v>
      </c>
      <c r="V343" s="20">
        <v>1</v>
      </c>
      <c r="W343" s="13"/>
      <c r="AC343" s="13" t="s">
        <v>46</v>
      </c>
      <c r="AD343" s="22">
        <v>0</v>
      </c>
      <c r="AE343" s="19"/>
      <c r="AF343" s="16"/>
    </row>
    <row r="344" spans="1:32" x14ac:dyDescent="0.2">
      <c r="A344">
        <v>1345</v>
      </c>
      <c r="B344" s="1">
        <v>46228</v>
      </c>
      <c r="C344" s="2">
        <v>0.4853587962962963</v>
      </c>
      <c r="D344" t="s">
        <v>21</v>
      </c>
      <c r="E344" s="10" t="s">
        <v>35</v>
      </c>
      <c r="F344" s="11">
        <v>75.398201725000007</v>
      </c>
      <c r="G344" s="4">
        <v>1504.0668900000001</v>
      </c>
      <c r="H344" s="20">
        <v>0</v>
      </c>
      <c r="I344" s="17"/>
      <c r="J344" t="s">
        <v>20</v>
      </c>
      <c r="K344" s="11"/>
      <c r="L344" s="11"/>
      <c r="M344" s="11"/>
      <c r="N344" s="11"/>
      <c r="O344" s="11"/>
      <c r="P344" s="33"/>
      <c r="R344" s="10" t="s">
        <v>35</v>
      </c>
      <c r="S344" s="10"/>
      <c r="T344" s="10"/>
      <c r="U344" s="10" t="s">
        <v>53</v>
      </c>
      <c r="V344" s="20">
        <v>1</v>
      </c>
      <c r="W344" s="13"/>
      <c r="AC344" s="13" t="s">
        <v>46</v>
      </c>
      <c r="AD344" s="22">
        <v>0</v>
      </c>
      <c r="AE344" s="19"/>
      <c r="AF344" s="16"/>
    </row>
    <row r="345" spans="1:32" x14ac:dyDescent="0.2">
      <c r="A345">
        <v>1346</v>
      </c>
      <c r="B345" s="1">
        <v>46228</v>
      </c>
      <c r="C345" s="2">
        <v>0.48557870370370371</v>
      </c>
      <c r="D345" t="s">
        <v>21</v>
      </c>
      <c r="E345" s="10" t="s">
        <v>37</v>
      </c>
      <c r="F345" s="11">
        <v>72.476279012999996</v>
      </c>
      <c r="G345" s="4">
        <v>2154.60889</v>
      </c>
      <c r="H345" s="20">
        <v>0</v>
      </c>
      <c r="I345" s="17" t="s">
        <v>48</v>
      </c>
      <c r="J345" t="s">
        <v>20</v>
      </c>
      <c r="K345" s="11"/>
      <c r="L345" s="11"/>
      <c r="M345" s="11"/>
      <c r="N345" s="11"/>
      <c r="O345" s="11"/>
      <c r="P345" s="33"/>
      <c r="R345" s="10" t="s">
        <v>37</v>
      </c>
      <c r="S345" s="10"/>
      <c r="T345" s="10"/>
      <c r="U345" s="10" t="s">
        <v>53</v>
      </c>
      <c r="V345" s="20">
        <v>0</v>
      </c>
      <c r="W345" s="13"/>
      <c r="AC345" s="13" t="s">
        <v>46</v>
      </c>
      <c r="AD345" s="22">
        <v>1</v>
      </c>
      <c r="AE345" s="19" t="s">
        <v>38</v>
      </c>
      <c r="AF345" s="16"/>
    </row>
    <row r="346" spans="1:32" x14ac:dyDescent="0.2">
      <c r="A346">
        <v>1347</v>
      </c>
      <c r="B346" s="1">
        <v>46228</v>
      </c>
      <c r="C346" s="2">
        <v>0.48571759259259262</v>
      </c>
      <c r="D346" t="s">
        <v>21</v>
      </c>
      <c r="E346" s="10" t="s">
        <v>33</v>
      </c>
      <c r="F346" s="11">
        <v>83.211153684999999</v>
      </c>
      <c r="G346" s="4">
        <v>1090.00659</v>
      </c>
      <c r="H346" s="20">
        <v>1</v>
      </c>
      <c r="I346" s="17" t="s">
        <v>39</v>
      </c>
      <c r="J346" t="s">
        <v>20</v>
      </c>
      <c r="K346" s="11"/>
      <c r="L346" s="11"/>
      <c r="M346" s="11"/>
      <c r="N346" s="11">
        <v>64.832189772999996</v>
      </c>
      <c r="O346" s="11"/>
      <c r="P346" s="33"/>
      <c r="R346" s="10" t="s">
        <v>33</v>
      </c>
      <c r="S346" s="10"/>
      <c r="T346" s="10"/>
      <c r="U346" s="10" t="s">
        <v>53</v>
      </c>
      <c r="V346" s="20">
        <v>0</v>
      </c>
      <c r="W346" s="13"/>
      <c r="AC346" s="13" t="s">
        <v>46</v>
      </c>
      <c r="AD346" s="22">
        <v>1</v>
      </c>
      <c r="AE346" s="19" t="s">
        <v>255</v>
      </c>
      <c r="AF346" s="16"/>
    </row>
    <row r="347" spans="1:32" x14ac:dyDescent="0.2">
      <c r="A347">
        <v>1348</v>
      </c>
      <c r="B347" s="1">
        <v>46228</v>
      </c>
      <c r="C347" s="2">
        <v>0.48636574074074074</v>
      </c>
      <c r="D347" t="s">
        <v>21</v>
      </c>
      <c r="E347" s="10" t="s">
        <v>37</v>
      </c>
      <c r="F347" s="11">
        <v>71.634644816999995</v>
      </c>
      <c r="G347" s="4">
        <v>2252.41113</v>
      </c>
      <c r="H347" s="20">
        <v>1</v>
      </c>
      <c r="I347" s="17" t="s">
        <v>39</v>
      </c>
      <c r="J347" t="s">
        <v>22</v>
      </c>
      <c r="K347" s="11"/>
      <c r="L347" s="11"/>
      <c r="M347" s="11"/>
      <c r="N347" s="11">
        <v>58.421440118</v>
      </c>
      <c r="O347" s="11"/>
      <c r="P347" s="33"/>
      <c r="R347" s="10" t="s">
        <v>37</v>
      </c>
      <c r="S347" s="10"/>
      <c r="T347" s="10"/>
      <c r="U347" s="10" t="s">
        <v>46</v>
      </c>
      <c r="V347" s="20">
        <v>1</v>
      </c>
      <c r="W347" s="10"/>
      <c r="AC347" s="10" t="s">
        <v>46</v>
      </c>
      <c r="AD347" s="20">
        <v>1</v>
      </c>
      <c r="AE347" s="17" t="s">
        <v>38</v>
      </c>
      <c r="AF347" s="11"/>
    </row>
    <row r="348" spans="1:32" x14ac:dyDescent="0.2">
      <c r="A348">
        <v>1349</v>
      </c>
      <c r="B348" s="1">
        <v>46228</v>
      </c>
      <c r="C348" s="2">
        <v>0.48657407407407405</v>
      </c>
      <c r="D348" t="s">
        <v>21</v>
      </c>
      <c r="E348" s="10" t="s">
        <v>37</v>
      </c>
      <c r="F348" s="11">
        <v>73.238517192000003</v>
      </c>
      <c r="G348" s="4">
        <v>1073.5506600000001</v>
      </c>
      <c r="H348" s="20">
        <v>0</v>
      </c>
      <c r="I348" s="17"/>
      <c r="J348" t="s">
        <v>22</v>
      </c>
      <c r="K348" s="11"/>
      <c r="L348" s="11"/>
      <c r="M348" s="11"/>
      <c r="N348" s="11"/>
      <c r="O348" s="11"/>
      <c r="P348" s="33"/>
      <c r="R348" s="10" t="s">
        <v>37</v>
      </c>
      <c r="S348" s="10"/>
      <c r="T348" s="10"/>
      <c r="U348" s="10" t="s">
        <v>46</v>
      </c>
      <c r="V348" s="20">
        <v>0</v>
      </c>
      <c r="W348" s="10"/>
      <c r="AC348" s="10" t="s">
        <v>46</v>
      </c>
      <c r="AD348" s="20">
        <v>0</v>
      </c>
      <c r="AE348" s="17"/>
      <c r="AF348" s="11"/>
    </row>
    <row r="349" spans="1:32" x14ac:dyDescent="0.2">
      <c r="A349">
        <v>1350</v>
      </c>
      <c r="B349" s="1">
        <v>46228</v>
      </c>
      <c r="C349" s="2">
        <v>0.48677083333333332</v>
      </c>
      <c r="D349" t="s">
        <v>21</v>
      </c>
      <c r="E349" s="10" t="s">
        <v>33</v>
      </c>
      <c r="F349" s="11">
        <v>82.814153468000001</v>
      </c>
      <c r="G349" s="4">
        <v>2197.5898400000001</v>
      </c>
      <c r="H349" s="20">
        <v>1</v>
      </c>
      <c r="I349" s="17" t="s">
        <v>39</v>
      </c>
      <c r="J349" t="s">
        <v>22</v>
      </c>
      <c r="K349" s="11"/>
      <c r="L349" s="11"/>
      <c r="M349" s="11"/>
      <c r="N349" s="11">
        <v>62.769600564999998</v>
      </c>
      <c r="O349" s="11"/>
      <c r="P349" s="33"/>
      <c r="R349" s="10" t="s">
        <v>33</v>
      </c>
      <c r="S349" s="10"/>
      <c r="T349" s="10"/>
      <c r="U349" s="10" t="s">
        <v>46</v>
      </c>
      <c r="V349" s="20">
        <v>0</v>
      </c>
      <c r="W349" s="10"/>
      <c r="AC349" s="10" t="s">
        <v>46</v>
      </c>
      <c r="AD349" s="20">
        <v>0</v>
      </c>
      <c r="AE349" s="17"/>
      <c r="AF349" s="11"/>
    </row>
    <row r="350" spans="1:32" x14ac:dyDescent="0.2">
      <c r="A350">
        <v>1351</v>
      </c>
      <c r="B350" s="1">
        <v>46228</v>
      </c>
      <c r="C350" s="2">
        <v>0.48700231481481482</v>
      </c>
      <c r="D350" t="s">
        <v>21</v>
      </c>
      <c r="E350" s="10" t="s">
        <v>46</v>
      </c>
      <c r="F350" s="11">
        <v>73.174995815000003</v>
      </c>
      <c r="G350" s="4">
        <v>403.71991000000003</v>
      </c>
      <c r="H350" s="20">
        <v>0</v>
      </c>
      <c r="I350" s="17"/>
      <c r="J350" t="s">
        <v>22</v>
      </c>
      <c r="K350" s="11"/>
      <c r="L350" s="11"/>
      <c r="M350" s="11"/>
      <c r="N350" s="11"/>
      <c r="O350" s="11"/>
      <c r="P350" s="33"/>
      <c r="R350" s="10" t="s">
        <v>46</v>
      </c>
      <c r="S350" s="10"/>
      <c r="T350" s="10"/>
      <c r="U350" s="10" t="s">
        <v>46</v>
      </c>
      <c r="V350" s="20">
        <v>0</v>
      </c>
      <c r="W350" s="10"/>
      <c r="AC350" s="10" t="s">
        <v>46</v>
      </c>
      <c r="AD350" s="20">
        <v>0</v>
      </c>
      <c r="AE350" s="17"/>
      <c r="AF350" s="11"/>
    </row>
    <row r="351" spans="1:32" x14ac:dyDescent="0.2">
      <c r="A351">
        <v>1352</v>
      </c>
      <c r="B351" s="1">
        <v>46228</v>
      </c>
      <c r="C351" s="2">
        <v>0.48726851851851855</v>
      </c>
      <c r="D351" t="s">
        <v>21</v>
      </c>
      <c r="E351" s="10" t="s">
        <v>37</v>
      </c>
      <c r="F351" s="11">
        <v>74.048397633999997</v>
      </c>
      <c r="G351" s="4">
        <v>1092.64148</v>
      </c>
      <c r="H351" s="20">
        <v>1</v>
      </c>
      <c r="I351" s="17" t="s">
        <v>255</v>
      </c>
      <c r="J351" t="s">
        <v>22</v>
      </c>
      <c r="K351" s="11"/>
      <c r="L351" s="11"/>
      <c r="M351" s="11"/>
      <c r="N351" s="11">
        <v>63.159821076</v>
      </c>
      <c r="O351" s="11"/>
      <c r="P351" s="33"/>
      <c r="R351" s="10" t="s">
        <v>37</v>
      </c>
      <c r="S351" s="10"/>
      <c r="T351" s="10"/>
      <c r="U351" s="10" t="s">
        <v>46</v>
      </c>
      <c r="V351" s="20">
        <v>0</v>
      </c>
      <c r="W351" s="10"/>
      <c r="AC351" s="10" t="s">
        <v>46</v>
      </c>
      <c r="AD351" s="20">
        <v>0</v>
      </c>
      <c r="AE351" s="17"/>
      <c r="AF351" s="11"/>
    </row>
  </sheetData>
  <sortState xmlns:xlrd2="http://schemas.microsoft.com/office/spreadsheetml/2017/richdata2" ref="AC94:AF351">
    <sortCondition ref="AC94:AC351"/>
  </sortState>
  <mergeCells count="9">
    <mergeCell ref="B1:M1"/>
    <mergeCell ref="B2:M2"/>
    <mergeCell ref="A62:A85"/>
    <mergeCell ref="O82:O83"/>
    <mergeCell ref="A86:A90"/>
    <mergeCell ref="A5:A25"/>
    <mergeCell ref="A26:A33"/>
    <mergeCell ref="A34:A49"/>
    <mergeCell ref="A50:A61"/>
  </mergeCells>
  <conditionalFormatting sqref="C9:M9">
    <cfRule type="cellIs" dxfId="95" priority="74" operator="greaterThanOrEqual">
      <formula>0.625</formula>
    </cfRule>
    <cfRule type="cellIs" dxfId="94" priority="73" operator="lessThan">
      <formula>0.625</formula>
    </cfRule>
  </conditionalFormatting>
  <conditionalFormatting sqref="C37:M37">
    <cfRule type="cellIs" dxfId="93" priority="75" operator="lessThan">
      <formula>0.625</formula>
    </cfRule>
    <cfRule type="cellIs" dxfId="92" priority="76" operator="greaterThanOrEqual">
      <formula>0.625</formula>
    </cfRule>
  </conditionalFormatting>
  <conditionalFormatting sqref="C41:M41 C45:M45 C49:M49">
    <cfRule type="cellIs" dxfId="91" priority="77" operator="lessThan">
      <formula>0.6</formula>
    </cfRule>
    <cfRule type="cellIs" dxfId="90" priority="78" operator="greaterThanOrEqual">
      <formula>0.6</formula>
    </cfRule>
  </conditionalFormatting>
  <conditionalFormatting sqref="D93:D351">
    <cfRule type="containsText" dxfId="89" priority="93" operator="containsText" text="Sebastian Garcia">
      <formula>NOT(ISERROR(SEARCH("Sebastian Garcia",D93)))</formula>
    </cfRule>
    <cfRule type="containsText" dxfId="88" priority="89" operator="containsText" text="Jonathon Van Ness">
      <formula>NOT(ISERROR(SEARCH("Jonathon Van Ness",D93)))</formula>
    </cfRule>
    <cfRule type="containsText" dxfId="87" priority="92" operator="containsText" text="Drew Craig">
      <formula>NOT(ISERROR(SEARCH("Drew Craig",D93)))</formula>
    </cfRule>
    <cfRule type="containsText" dxfId="86" priority="91" operator="containsText" text="Gabriel Esteban">
      <formula>NOT(ISERROR(SEARCH("Gabriel Esteban",D93)))</formula>
    </cfRule>
    <cfRule type="containsText" dxfId="85" priority="90" operator="containsText" text="Reagan Samples">
      <formula>NOT(ISERROR(SEARCH("Reagan Samples",D93)))</formula>
    </cfRule>
  </conditionalFormatting>
  <conditionalFormatting sqref="E94:E351">
    <cfRule type="containsText" dxfId="84" priority="84" operator="containsText" text="CH">
      <formula>NOT(ISERROR(SEARCH("CH",E94)))</formula>
    </cfRule>
    <cfRule type="containsText" dxfId="83" priority="81" operator="containsText" text="FB">
      <formula>NOT(ISERROR(SEARCH("FB",E94)))</formula>
    </cfRule>
    <cfRule type="containsText" dxfId="82" priority="79" operator="containsText" text="SP">
      <formula>NOT(ISERROR(SEARCH("SP",E94)))</formula>
    </cfRule>
    <cfRule type="containsText" dxfId="81" priority="80" stopIfTrue="1" operator="containsText" text="FB 2">
      <formula>NOT(ISERROR(SEARCH("FB 2",E94)))</formula>
    </cfRule>
    <cfRule type="containsText" dxfId="80" priority="83" operator="containsText" text="SL">
      <formula>NOT(ISERROR(SEARCH("SL",E94)))</formula>
    </cfRule>
    <cfRule type="containsText" dxfId="79" priority="82" operator="containsText" text="SL 2">
      <formula>NOT(ISERROR(SEARCH("SL 2",E94)))</formula>
    </cfRule>
  </conditionalFormatting>
  <conditionalFormatting sqref="I93:I351">
    <cfRule type="containsText" dxfId="78" priority="86" operator="containsText" text="bK">
      <formula>NOT(ISERROR(SEARCH("bK",I93)))</formula>
    </cfRule>
    <cfRule type="containsText" dxfId="77" priority="87" operator="containsText" text="K">
      <formula>NOT(ISERROR(SEARCH("K",I93)))</formula>
    </cfRule>
    <cfRule type="containsText" dxfId="76" priority="85" operator="containsText" text="In Play">
      <formula>NOT(ISERROR(SEARCH("In Play",I93)))</formula>
    </cfRule>
    <cfRule type="containsText" dxfId="75" priority="88" operator="containsText" text="BB">
      <formula>NOT(ISERROR(SEARCH("BB",I93)))</formula>
    </cfRule>
  </conditionalFormatting>
  <conditionalFormatting sqref="J93:J351">
    <cfRule type="containsText" dxfId="74" priority="99" operator="containsText" text="Easton Steck">
      <formula>NOT(ISERROR(SEARCH("Easton Steck",J93)))</formula>
    </cfRule>
    <cfRule type="containsText" dxfId="73" priority="94" operator="containsText" text="Caleb Koontz">
      <formula>NOT(ISERROR(SEARCH("Caleb Koontz",J93)))</formula>
    </cfRule>
    <cfRule type="containsText" dxfId="72" priority="95" operator="containsText" text="Ryan Han">
      <formula>NOT(ISERROR(SEARCH("Ryan Han",J93)))</formula>
    </cfRule>
    <cfRule type="containsText" dxfId="71" priority="96" operator="containsText" text="Reagan Samples">
      <formula>NOT(ISERROR(SEARCH("Reagan Samples",J93)))</formula>
    </cfRule>
    <cfRule type="containsText" dxfId="70" priority="100" operator="containsText" text="Michael Caranna">
      <formula>NOT(ISERROR(SEARCH("Michael Caranna",J93)))</formula>
    </cfRule>
    <cfRule type="containsText" dxfId="69" priority="101" operator="containsText" text="Michael Chang">
      <formula>NOT(ISERROR(SEARCH("Michael Chang",J93)))</formula>
    </cfRule>
    <cfRule type="containsText" dxfId="68" priority="97" operator="containsText" text="Jackson Orr">
      <formula>NOT(ISERROR(SEARCH("Jackson Orr",J93)))</formula>
    </cfRule>
    <cfRule type="containsText" dxfId="67" priority="102" operator="containsText" text="Aidan Young">
      <formula>NOT(ISERROR(SEARCH("Aidan Young",J93)))</formula>
    </cfRule>
    <cfRule type="containsText" dxfId="66" priority="98" operator="containsText" text="Carter Walsh">
      <formula>NOT(ISERROR(SEARCH("Carter Walsh",J93)))</formula>
    </cfRule>
  </conditionalFormatting>
  <conditionalFormatting sqref="R94:R297">
    <cfRule type="containsText" dxfId="65" priority="31" operator="containsText" text="SP">
      <formula>NOT(ISERROR(SEARCH("SP",R94)))</formula>
    </cfRule>
    <cfRule type="containsText" dxfId="64" priority="32" stopIfTrue="1" operator="containsText" text="FB 2">
      <formula>NOT(ISERROR(SEARCH("FB 2",R94)))</formula>
    </cfRule>
    <cfRule type="containsText" dxfId="63" priority="33" operator="containsText" text="FB">
      <formula>NOT(ISERROR(SEARCH("FB",R94)))</formula>
    </cfRule>
    <cfRule type="containsText" dxfId="62" priority="34" operator="containsText" text="SL 2">
      <formula>NOT(ISERROR(SEARCH("SL 2",R94)))</formula>
    </cfRule>
    <cfRule type="containsText" dxfId="61" priority="35" operator="containsText" text="SL">
      <formula>NOT(ISERROR(SEARCH("SL",R94)))</formula>
    </cfRule>
    <cfRule type="containsText" dxfId="60" priority="36" operator="containsText" text="CH">
      <formula>NOT(ISERROR(SEARCH("CH",R94)))</formula>
    </cfRule>
  </conditionalFormatting>
  <conditionalFormatting sqref="R319:R351">
    <cfRule type="containsText" dxfId="59" priority="69" operator="containsText" text="FB">
      <formula>NOT(ISERROR(SEARCH("FB",R319)))</formula>
    </cfRule>
    <cfRule type="containsText" dxfId="58" priority="72" operator="containsText" text="CH">
      <formula>NOT(ISERROR(SEARCH("CH",R319)))</formula>
    </cfRule>
    <cfRule type="containsText" dxfId="57" priority="71" operator="containsText" text="SL">
      <formula>NOT(ISERROR(SEARCH("SL",R319)))</formula>
    </cfRule>
    <cfRule type="containsText" dxfId="56" priority="70" operator="containsText" text="SL 2">
      <formula>NOT(ISERROR(SEARCH("SL 2",R319)))</formula>
    </cfRule>
    <cfRule type="containsText" dxfId="55" priority="68" stopIfTrue="1" operator="containsText" text="FB 2">
      <formula>NOT(ISERROR(SEARCH("FB 2",R319)))</formula>
    </cfRule>
    <cfRule type="containsText" dxfId="54" priority="67" operator="containsText" text="SP">
      <formula>NOT(ISERROR(SEARCH("SP",R319)))</formula>
    </cfRule>
  </conditionalFormatting>
  <conditionalFormatting sqref="T94:T297">
    <cfRule type="containsText" dxfId="53" priority="30" operator="containsText" text="BB">
      <formula>NOT(ISERROR(SEARCH("BB",T94)))</formula>
    </cfRule>
    <cfRule type="containsText" dxfId="52" priority="29" operator="containsText" text="K">
      <formula>NOT(ISERROR(SEARCH("K",T94)))</formula>
    </cfRule>
    <cfRule type="containsText" dxfId="51" priority="28" operator="containsText" text="bK">
      <formula>NOT(ISERROR(SEARCH("bK",T94)))</formula>
    </cfRule>
    <cfRule type="containsText" dxfId="50" priority="27" operator="containsText" text="In Play">
      <formula>NOT(ISERROR(SEARCH("In Play",T94)))</formula>
    </cfRule>
  </conditionalFormatting>
  <conditionalFormatting sqref="U298:U351">
    <cfRule type="containsText" dxfId="49" priority="26" operator="containsText" text="CH">
      <formula>NOT(ISERROR(SEARCH("CH",U298)))</formula>
    </cfRule>
    <cfRule type="containsText" dxfId="48" priority="25" operator="containsText" text="SL">
      <formula>NOT(ISERROR(SEARCH("SL",U298)))</formula>
    </cfRule>
    <cfRule type="containsText" dxfId="47" priority="24" operator="containsText" text="SL 2">
      <formula>NOT(ISERROR(SEARCH("SL 2",U298)))</formula>
    </cfRule>
    <cfRule type="containsText" dxfId="46" priority="23" operator="containsText" text="FB">
      <formula>NOT(ISERROR(SEARCH("FB",U298)))</formula>
    </cfRule>
    <cfRule type="containsText" dxfId="45" priority="22" stopIfTrue="1" operator="containsText" text="FB 2">
      <formula>NOT(ISERROR(SEARCH("FB 2",U298)))</formula>
    </cfRule>
    <cfRule type="containsText" dxfId="44" priority="21" operator="containsText" text="SP">
      <formula>NOT(ISERROR(SEARCH("SP",U298)))</formula>
    </cfRule>
  </conditionalFormatting>
  <conditionalFormatting sqref="W94:W351">
    <cfRule type="containsText" dxfId="43" priority="16" operator="containsText" text="CH">
      <formula>NOT(ISERROR(SEARCH("CH",W94)))</formula>
    </cfRule>
    <cfRule type="containsText" dxfId="42" priority="15" operator="containsText" text="SL">
      <formula>NOT(ISERROR(SEARCH("SL",W94)))</formula>
    </cfRule>
    <cfRule type="containsText" dxfId="41" priority="14" operator="containsText" text="SL 2">
      <formula>NOT(ISERROR(SEARCH("SL 2",W94)))</formula>
    </cfRule>
    <cfRule type="containsText" dxfId="40" priority="13" operator="containsText" text="FB">
      <formula>NOT(ISERROR(SEARCH("FB",W94)))</formula>
    </cfRule>
    <cfRule type="containsText" dxfId="39" priority="12" stopIfTrue="1" operator="containsText" text="FB 2">
      <formula>NOT(ISERROR(SEARCH("FB 2",W94)))</formula>
    </cfRule>
    <cfRule type="containsText" dxfId="38" priority="11" operator="containsText" text="SP">
      <formula>NOT(ISERROR(SEARCH("SP",W94)))</formula>
    </cfRule>
  </conditionalFormatting>
  <conditionalFormatting sqref="AC94:AC351">
    <cfRule type="containsText" dxfId="37" priority="10" operator="containsText" text="CH">
      <formula>NOT(ISERROR(SEARCH("CH",AC94)))</formula>
    </cfRule>
    <cfRule type="containsText" dxfId="36" priority="9" operator="containsText" text="SL">
      <formula>NOT(ISERROR(SEARCH("SL",AC94)))</formula>
    </cfRule>
    <cfRule type="containsText" dxfId="35" priority="8" operator="containsText" text="SL 2">
      <formula>NOT(ISERROR(SEARCH("SL 2",AC94)))</formula>
    </cfRule>
    <cfRule type="containsText" dxfId="34" priority="7" operator="containsText" text="FB">
      <formula>NOT(ISERROR(SEARCH("FB",AC94)))</formula>
    </cfRule>
    <cfRule type="containsText" dxfId="33" priority="6" stopIfTrue="1" operator="containsText" text="FB 2">
      <formula>NOT(ISERROR(SEARCH("FB 2",AC94)))</formula>
    </cfRule>
    <cfRule type="containsText" dxfId="32" priority="5" operator="containsText" text="SP">
      <formula>NOT(ISERROR(SEARCH("SP",AC94)))</formula>
    </cfRule>
  </conditionalFormatting>
  <conditionalFormatting sqref="AE94:AE351">
    <cfRule type="containsText" dxfId="31" priority="4" operator="containsText" text="BB">
      <formula>NOT(ISERROR(SEARCH("BB",AE94)))</formula>
    </cfRule>
    <cfRule type="containsText" dxfId="30" priority="3" operator="containsText" text="K">
      <formula>NOT(ISERROR(SEARCH("K",AE94)))</formula>
    </cfRule>
    <cfRule type="containsText" dxfId="29" priority="2" operator="containsText" text="bK">
      <formula>NOT(ISERROR(SEARCH("bK",AE94)))</formula>
    </cfRule>
    <cfRule type="containsText" dxfId="28" priority="1" operator="containsText" text="In Play">
      <formula>NOT(ISERROR(SEARCH("In Play",AE94)))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6BD14-CDA6-6148-A178-5A1CFADF5276}">
  <dimension ref="A1:U111"/>
  <sheetViews>
    <sheetView workbookViewId="0">
      <pane xSplit="1" ySplit="4" topLeftCell="B59" activePane="bottomRight" state="frozen"/>
      <selection pane="topRight" activeCell="B1" sqref="B1"/>
      <selection pane="bottomLeft" activeCell="A5" sqref="A5"/>
      <selection pane="bottomRight" activeCell="C64" sqref="C64"/>
    </sheetView>
  </sheetViews>
  <sheetFormatPr baseColWidth="10" defaultRowHeight="16" x14ac:dyDescent="0.2"/>
  <cols>
    <col min="2" max="2" width="12.33203125" bestFit="1" customWidth="1"/>
    <col min="10" max="10" width="14.33203125" bestFit="1" customWidth="1"/>
  </cols>
  <sheetData>
    <row r="1" spans="1:16" ht="33" thickBot="1" x14ac:dyDescent="0.45">
      <c r="B1" s="256" t="s">
        <v>128</v>
      </c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8"/>
      <c r="P1" s="220"/>
    </row>
    <row r="2" spans="1:16" ht="23" thickBot="1" x14ac:dyDescent="0.25">
      <c r="B2" s="259" t="s">
        <v>134</v>
      </c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1"/>
      <c r="P2" s="220"/>
    </row>
    <row r="3" spans="1:16" ht="18" customHeight="1" x14ac:dyDescent="0.2">
      <c r="B3" s="24" t="s">
        <v>1</v>
      </c>
      <c r="C3" s="25">
        <v>46214</v>
      </c>
      <c r="D3" s="25"/>
      <c r="E3" s="25"/>
      <c r="F3" s="25"/>
      <c r="G3" s="25"/>
      <c r="H3" s="25"/>
      <c r="I3" s="148"/>
      <c r="J3" s="25"/>
      <c r="K3" s="25" t="s">
        <v>226</v>
      </c>
      <c r="L3" s="25"/>
      <c r="M3" s="26"/>
      <c r="P3" s="220"/>
    </row>
    <row r="4" spans="1:16" ht="17" thickBot="1" x14ac:dyDescent="0.25">
      <c r="B4" s="27" t="s">
        <v>61</v>
      </c>
      <c r="C4" s="28" t="s">
        <v>202</v>
      </c>
      <c r="D4" s="28"/>
      <c r="E4" s="28"/>
      <c r="F4" s="28"/>
      <c r="G4" s="28"/>
      <c r="H4" s="141"/>
      <c r="I4" s="149"/>
      <c r="J4" s="28"/>
      <c r="K4" s="28"/>
      <c r="L4" s="28"/>
      <c r="M4" s="29"/>
      <c r="P4" s="220"/>
    </row>
    <row r="5" spans="1:16" ht="16" customHeight="1" x14ac:dyDescent="0.2">
      <c r="A5" s="262" t="s">
        <v>62</v>
      </c>
      <c r="B5" s="30" t="s">
        <v>63</v>
      </c>
      <c r="C5" s="134">
        <v>1</v>
      </c>
      <c r="D5" s="134">
        <v>0</v>
      </c>
      <c r="E5" s="134">
        <v>0</v>
      </c>
      <c r="F5" s="134">
        <v>0</v>
      </c>
      <c r="G5" s="134">
        <v>0</v>
      </c>
      <c r="H5" s="31">
        <v>0</v>
      </c>
      <c r="I5" s="137">
        <v>0</v>
      </c>
      <c r="J5" s="137">
        <v>0</v>
      </c>
      <c r="K5" s="31">
        <v>0</v>
      </c>
      <c r="L5" s="31">
        <v>0</v>
      </c>
      <c r="M5" s="31">
        <v>0</v>
      </c>
      <c r="P5" s="220"/>
    </row>
    <row r="6" spans="1:16" x14ac:dyDescent="0.2">
      <c r="A6" s="263"/>
      <c r="B6" s="30" t="s">
        <v>68</v>
      </c>
      <c r="C6" s="135">
        <v>22</v>
      </c>
      <c r="D6" s="135">
        <v>0</v>
      </c>
      <c r="E6" s="135">
        <v>0</v>
      </c>
      <c r="F6" s="135">
        <v>0</v>
      </c>
      <c r="G6" s="135">
        <v>0</v>
      </c>
      <c r="H6" s="32">
        <v>0</v>
      </c>
      <c r="I6" s="138">
        <v>0</v>
      </c>
      <c r="J6" s="138">
        <v>0</v>
      </c>
      <c r="K6" s="32">
        <v>0</v>
      </c>
      <c r="L6" s="32">
        <v>0</v>
      </c>
      <c r="M6" s="32">
        <v>0</v>
      </c>
      <c r="P6" s="220"/>
    </row>
    <row r="7" spans="1:16" x14ac:dyDescent="0.2">
      <c r="A7" s="263"/>
      <c r="B7" s="30" t="s">
        <v>69</v>
      </c>
      <c r="C7" s="135">
        <v>10</v>
      </c>
      <c r="D7" s="135">
        <v>0</v>
      </c>
      <c r="E7" s="135">
        <v>0</v>
      </c>
      <c r="F7" s="135">
        <v>0</v>
      </c>
      <c r="G7" s="135">
        <v>0</v>
      </c>
      <c r="H7" s="32">
        <v>0</v>
      </c>
      <c r="I7" s="138">
        <v>0</v>
      </c>
      <c r="J7" s="138">
        <v>0</v>
      </c>
      <c r="K7" s="32">
        <v>0</v>
      </c>
      <c r="L7" s="32">
        <v>0</v>
      </c>
      <c r="M7" s="32">
        <v>0</v>
      </c>
      <c r="P7" s="220"/>
    </row>
    <row r="8" spans="1:16" x14ac:dyDescent="0.2">
      <c r="A8" s="263"/>
      <c r="B8" s="30" t="s">
        <v>59</v>
      </c>
      <c r="C8" s="135">
        <v>12</v>
      </c>
      <c r="D8" s="135">
        <v>0</v>
      </c>
      <c r="E8" s="135">
        <v>0</v>
      </c>
      <c r="F8" s="135">
        <v>0</v>
      </c>
      <c r="G8" s="135">
        <v>0</v>
      </c>
      <c r="H8" s="32">
        <v>0</v>
      </c>
      <c r="I8" s="138">
        <v>0</v>
      </c>
      <c r="J8" s="138">
        <v>0</v>
      </c>
      <c r="K8" s="32">
        <v>0</v>
      </c>
      <c r="L8" s="32">
        <v>0</v>
      </c>
      <c r="M8" s="32">
        <v>0</v>
      </c>
      <c r="P8" s="220"/>
    </row>
    <row r="9" spans="1:16" x14ac:dyDescent="0.2">
      <c r="A9" s="263"/>
      <c r="B9" s="30" t="s">
        <v>70</v>
      </c>
      <c r="C9" s="33">
        <f t="shared" ref="C9:M9" si="0">C8/C6</f>
        <v>0.54545454545454541</v>
      </c>
      <c r="D9" s="33" t="e">
        <f t="shared" si="0"/>
        <v>#DIV/0!</v>
      </c>
      <c r="E9" s="33" t="e">
        <f t="shared" si="0"/>
        <v>#DIV/0!</v>
      </c>
      <c r="F9" s="33" t="e">
        <f t="shared" si="0"/>
        <v>#DIV/0!</v>
      </c>
      <c r="G9" s="33" t="e">
        <f t="shared" si="0"/>
        <v>#DIV/0!</v>
      </c>
      <c r="H9" s="142" t="e">
        <f t="shared" si="0"/>
        <v>#DIV/0!</v>
      </c>
      <c r="I9" s="150" t="e">
        <f t="shared" si="0"/>
        <v>#DIV/0!</v>
      </c>
      <c r="J9" s="33" t="e">
        <f t="shared" si="0"/>
        <v>#DIV/0!</v>
      </c>
      <c r="K9" s="33" t="e">
        <f t="shared" si="0"/>
        <v>#DIV/0!</v>
      </c>
      <c r="L9" s="33" t="e">
        <f t="shared" si="0"/>
        <v>#DIV/0!</v>
      </c>
      <c r="M9" s="33" t="e">
        <f t="shared" si="0"/>
        <v>#DIV/0!</v>
      </c>
      <c r="P9" s="220"/>
    </row>
    <row r="10" spans="1:16" x14ac:dyDescent="0.2">
      <c r="A10" s="263"/>
      <c r="B10" s="30" t="s">
        <v>71</v>
      </c>
      <c r="C10" s="14">
        <f t="shared" ref="C10:M10" si="1">C6/C5</f>
        <v>22</v>
      </c>
      <c r="D10" s="14" t="e">
        <f t="shared" si="1"/>
        <v>#DIV/0!</v>
      </c>
      <c r="E10" s="14" t="e">
        <f t="shared" si="1"/>
        <v>#DIV/0!</v>
      </c>
      <c r="F10" s="14" t="e">
        <f t="shared" si="1"/>
        <v>#DIV/0!</v>
      </c>
      <c r="G10" s="14" t="e">
        <f t="shared" si="1"/>
        <v>#DIV/0!</v>
      </c>
      <c r="H10" s="143" t="e">
        <f t="shared" si="1"/>
        <v>#DIV/0!</v>
      </c>
      <c r="I10" s="151" t="e">
        <f t="shared" si="1"/>
        <v>#DIV/0!</v>
      </c>
      <c r="J10" s="14" t="e">
        <f t="shared" si="1"/>
        <v>#DIV/0!</v>
      </c>
      <c r="K10" s="14" t="e">
        <f t="shared" si="1"/>
        <v>#DIV/0!</v>
      </c>
      <c r="L10" s="14" t="e">
        <f t="shared" si="1"/>
        <v>#DIV/0!</v>
      </c>
      <c r="M10" s="14" t="e">
        <f t="shared" si="1"/>
        <v>#DIV/0!</v>
      </c>
      <c r="P10" s="220"/>
    </row>
    <row r="11" spans="1:16" x14ac:dyDescent="0.2">
      <c r="A11" s="263"/>
      <c r="B11" s="30" t="s">
        <v>72</v>
      </c>
      <c r="C11" s="11">
        <f t="shared" ref="C11:M11" si="2">C6/C12</f>
        <v>4.4000000000000004</v>
      </c>
      <c r="D11" s="11" t="e">
        <f t="shared" si="2"/>
        <v>#DIV/0!</v>
      </c>
      <c r="E11" s="11" t="e">
        <f t="shared" si="2"/>
        <v>#DIV/0!</v>
      </c>
      <c r="F11" s="11" t="e">
        <f t="shared" si="2"/>
        <v>#DIV/0!</v>
      </c>
      <c r="G11" s="11" t="e">
        <f t="shared" si="2"/>
        <v>#DIV/0!</v>
      </c>
      <c r="H11" s="144" t="e">
        <f t="shared" si="2"/>
        <v>#DIV/0!</v>
      </c>
      <c r="I11" s="152" t="e">
        <f t="shared" si="2"/>
        <v>#DIV/0!</v>
      </c>
      <c r="J11" s="11" t="e">
        <f t="shared" si="2"/>
        <v>#DIV/0!</v>
      </c>
      <c r="K11" s="11" t="e">
        <f t="shared" si="2"/>
        <v>#DIV/0!</v>
      </c>
      <c r="L11" s="11" t="e">
        <f t="shared" si="2"/>
        <v>#DIV/0!</v>
      </c>
      <c r="M11" s="11" t="e">
        <f t="shared" si="2"/>
        <v>#DIV/0!</v>
      </c>
      <c r="P11" s="220"/>
    </row>
    <row r="12" spans="1:16" x14ac:dyDescent="0.2">
      <c r="A12" s="263"/>
      <c r="B12" s="30" t="s">
        <v>73</v>
      </c>
      <c r="C12" s="135">
        <v>5</v>
      </c>
      <c r="D12" s="135">
        <v>0</v>
      </c>
      <c r="E12" s="135">
        <v>0</v>
      </c>
      <c r="F12" s="135">
        <v>0</v>
      </c>
      <c r="G12" s="135">
        <v>0</v>
      </c>
      <c r="H12" s="32">
        <v>0</v>
      </c>
      <c r="I12" s="138">
        <v>0</v>
      </c>
      <c r="J12" s="138">
        <v>0</v>
      </c>
      <c r="K12" s="32">
        <v>0</v>
      </c>
      <c r="L12" s="32">
        <v>0</v>
      </c>
      <c r="M12" s="32">
        <v>0</v>
      </c>
      <c r="P12" s="220"/>
    </row>
    <row r="13" spans="1:16" x14ac:dyDescent="0.2">
      <c r="A13" s="263"/>
      <c r="B13" s="30" t="s">
        <v>74</v>
      </c>
      <c r="C13" s="135">
        <v>1</v>
      </c>
      <c r="D13" s="135">
        <v>0</v>
      </c>
      <c r="E13" s="135">
        <v>0</v>
      </c>
      <c r="F13" s="135">
        <v>0</v>
      </c>
      <c r="G13" s="135">
        <v>0</v>
      </c>
      <c r="H13" s="32">
        <v>0</v>
      </c>
      <c r="I13" s="138">
        <v>0</v>
      </c>
      <c r="J13" s="138">
        <v>0</v>
      </c>
      <c r="K13" s="32">
        <v>0</v>
      </c>
      <c r="L13" s="32">
        <v>0</v>
      </c>
      <c r="M13" s="32">
        <v>0</v>
      </c>
      <c r="P13" s="220"/>
    </row>
    <row r="14" spans="1:16" x14ac:dyDescent="0.2">
      <c r="A14" s="263"/>
      <c r="B14" s="30" t="s">
        <v>48</v>
      </c>
      <c r="C14" s="135">
        <v>1</v>
      </c>
      <c r="D14" s="135">
        <v>0</v>
      </c>
      <c r="E14" s="135">
        <v>0</v>
      </c>
      <c r="F14" s="135">
        <v>0</v>
      </c>
      <c r="G14" s="135">
        <v>0</v>
      </c>
      <c r="H14" s="32">
        <v>0</v>
      </c>
      <c r="I14" s="138">
        <v>0</v>
      </c>
      <c r="J14" s="138">
        <v>0</v>
      </c>
      <c r="K14" s="32">
        <v>0</v>
      </c>
      <c r="L14" s="32">
        <v>0</v>
      </c>
      <c r="M14" s="32">
        <v>0</v>
      </c>
      <c r="P14" s="220"/>
    </row>
    <row r="15" spans="1:16" x14ac:dyDescent="0.2">
      <c r="A15" s="263"/>
      <c r="B15" s="30" t="s">
        <v>75</v>
      </c>
      <c r="C15" s="33">
        <f t="shared" ref="C15:M15" si="3">C14/C12</f>
        <v>0.2</v>
      </c>
      <c r="D15" s="33" t="e">
        <f t="shared" si="3"/>
        <v>#DIV/0!</v>
      </c>
      <c r="E15" s="33" t="e">
        <f t="shared" si="3"/>
        <v>#DIV/0!</v>
      </c>
      <c r="F15" s="33" t="e">
        <f t="shared" si="3"/>
        <v>#DIV/0!</v>
      </c>
      <c r="G15" s="33" t="e">
        <f t="shared" si="3"/>
        <v>#DIV/0!</v>
      </c>
      <c r="H15" s="142" t="e">
        <f t="shared" si="3"/>
        <v>#DIV/0!</v>
      </c>
      <c r="I15" s="150" t="e">
        <f t="shared" si="3"/>
        <v>#DIV/0!</v>
      </c>
      <c r="J15" s="33" t="e">
        <f t="shared" si="3"/>
        <v>#DIV/0!</v>
      </c>
      <c r="K15" s="33" t="e">
        <f t="shared" si="3"/>
        <v>#DIV/0!</v>
      </c>
      <c r="L15" s="33" t="e">
        <f t="shared" si="3"/>
        <v>#DIV/0!</v>
      </c>
      <c r="M15" s="33" t="e">
        <f t="shared" si="3"/>
        <v>#DIV/0!</v>
      </c>
      <c r="P15" s="220"/>
    </row>
    <row r="16" spans="1:16" x14ac:dyDescent="0.2">
      <c r="A16" s="263"/>
      <c r="B16" s="30" t="s">
        <v>76</v>
      </c>
      <c r="C16" s="11">
        <f t="shared" ref="C16:M16" si="4">(C14/C5)*7</f>
        <v>7</v>
      </c>
      <c r="D16" s="11" t="e">
        <f t="shared" si="4"/>
        <v>#DIV/0!</v>
      </c>
      <c r="E16" s="11" t="e">
        <f t="shared" si="4"/>
        <v>#DIV/0!</v>
      </c>
      <c r="F16" s="11" t="e">
        <f t="shared" si="4"/>
        <v>#DIV/0!</v>
      </c>
      <c r="G16" s="11" t="e">
        <f t="shared" si="4"/>
        <v>#DIV/0!</v>
      </c>
      <c r="H16" s="144" t="e">
        <f t="shared" si="4"/>
        <v>#DIV/0!</v>
      </c>
      <c r="I16" s="152" t="e">
        <f t="shared" si="4"/>
        <v>#DIV/0!</v>
      </c>
      <c r="J16" s="11" t="e">
        <f t="shared" si="4"/>
        <v>#DIV/0!</v>
      </c>
      <c r="K16" s="11" t="e">
        <f t="shared" si="4"/>
        <v>#DIV/0!</v>
      </c>
      <c r="L16" s="11" t="e">
        <f t="shared" si="4"/>
        <v>#DIV/0!</v>
      </c>
      <c r="M16" s="11" t="e">
        <f t="shared" si="4"/>
        <v>#DIV/0!</v>
      </c>
      <c r="P16" s="220"/>
    </row>
    <row r="17" spans="1:16" x14ac:dyDescent="0.2">
      <c r="A17" s="263"/>
      <c r="B17" s="30" t="s">
        <v>41</v>
      </c>
      <c r="C17" s="136">
        <v>0</v>
      </c>
      <c r="D17" s="136">
        <v>0</v>
      </c>
      <c r="E17" s="136">
        <v>0</v>
      </c>
      <c r="F17" s="136">
        <v>0</v>
      </c>
      <c r="G17" s="136">
        <v>0</v>
      </c>
      <c r="H17" s="34">
        <v>0</v>
      </c>
      <c r="I17" s="139">
        <v>0</v>
      </c>
      <c r="J17" s="139">
        <v>0</v>
      </c>
      <c r="K17" s="34">
        <v>0</v>
      </c>
      <c r="L17" s="34">
        <v>0</v>
      </c>
      <c r="M17" s="34">
        <v>0</v>
      </c>
      <c r="P17" s="220"/>
    </row>
    <row r="18" spans="1:16" x14ac:dyDescent="0.2">
      <c r="A18" s="263"/>
      <c r="B18" s="30" t="s">
        <v>79</v>
      </c>
      <c r="C18" s="35">
        <f t="shared" ref="C18:M18" si="5">(C14+C13)/C5</f>
        <v>2</v>
      </c>
      <c r="D18" s="35" t="e">
        <f t="shared" si="5"/>
        <v>#DIV/0!</v>
      </c>
      <c r="E18" s="35" t="e">
        <f t="shared" si="5"/>
        <v>#DIV/0!</v>
      </c>
      <c r="F18" s="35" t="e">
        <f t="shared" si="5"/>
        <v>#DIV/0!</v>
      </c>
      <c r="G18" s="35" t="e">
        <f t="shared" si="5"/>
        <v>#DIV/0!</v>
      </c>
      <c r="H18" s="145" t="e">
        <f t="shared" si="5"/>
        <v>#DIV/0!</v>
      </c>
      <c r="I18" s="153" t="e">
        <f t="shared" si="5"/>
        <v>#DIV/0!</v>
      </c>
      <c r="J18" s="35" t="e">
        <f t="shared" si="5"/>
        <v>#DIV/0!</v>
      </c>
      <c r="K18" s="35" t="e">
        <f t="shared" si="5"/>
        <v>#DIV/0!</v>
      </c>
      <c r="L18" s="35" t="e">
        <f t="shared" si="5"/>
        <v>#DIV/0!</v>
      </c>
      <c r="M18" s="35" t="e">
        <f t="shared" si="5"/>
        <v>#DIV/0!</v>
      </c>
      <c r="P18" s="220"/>
    </row>
    <row r="19" spans="1:16" x14ac:dyDescent="0.2">
      <c r="A19" s="263"/>
      <c r="B19" s="30" t="s">
        <v>81</v>
      </c>
      <c r="C19" s="135">
        <v>0</v>
      </c>
      <c r="D19" s="135">
        <v>0</v>
      </c>
      <c r="E19" s="135">
        <v>0</v>
      </c>
      <c r="F19" s="135">
        <v>0</v>
      </c>
      <c r="G19" s="135">
        <v>0</v>
      </c>
      <c r="H19" s="32">
        <v>0</v>
      </c>
      <c r="I19" s="138">
        <v>0</v>
      </c>
      <c r="J19" s="138">
        <v>0</v>
      </c>
      <c r="K19" s="32">
        <v>0</v>
      </c>
      <c r="L19" s="32">
        <v>0</v>
      </c>
      <c r="M19" s="32">
        <v>0</v>
      </c>
      <c r="P19" s="220"/>
    </row>
    <row r="20" spans="1:16" x14ac:dyDescent="0.2">
      <c r="A20" s="263"/>
      <c r="B20" s="30" t="s">
        <v>82</v>
      </c>
      <c r="C20" s="135">
        <v>2</v>
      </c>
      <c r="D20" s="135">
        <v>0</v>
      </c>
      <c r="E20" s="135">
        <v>0</v>
      </c>
      <c r="F20" s="135">
        <v>0</v>
      </c>
      <c r="G20" s="135">
        <v>0</v>
      </c>
      <c r="H20" s="32">
        <v>0</v>
      </c>
      <c r="I20" s="138">
        <v>0</v>
      </c>
      <c r="J20" s="138">
        <v>0</v>
      </c>
      <c r="K20" s="32">
        <v>0</v>
      </c>
      <c r="L20" s="32">
        <v>0</v>
      </c>
      <c r="M20" s="32">
        <v>0</v>
      </c>
      <c r="P20" s="220"/>
    </row>
    <row r="21" spans="1:16" x14ac:dyDescent="0.2">
      <c r="A21" s="263"/>
      <c r="B21" s="30" t="s">
        <v>83</v>
      </c>
      <c r="C21" s="11">
        <f t="shared" ref="C21:M21" si="6">((C19+C20)/C5)*7</f>
        <v>14</v>
      </c>
      <c r="D21" s="11" t="e">
        <f t="shared" si="6"/>
        <v>#DIV/0!</v>
      </c>
      <c r="E21" s="11" t="e">
        <f t="shared" si="6"/>
        <v>#DIV/0!</v>
      </c>
      <c r="F21" s="11" t="e">
        <f t="shared" si="6"/>
        <v>#DIV/0!</v>
      </c>
      <c r="G21" s="11" t="e">
        <f t="shared" si="6"/>
        <v>#DIV/0!</v>
      </c>
      <c r="H21" s="144" t="e">
        <f t="shared" si="6"/>
        <v>#DIV/0!</v>
      </c>
      <c r="I21" s="152" t="e">
        <f t="shared" si="6"/>
        <v>#DIV/0!</v>
      </c>
      <c r="J21" s="11" t="e">
        <f t="shared" si="6"/>
        <v>#DIV/0!</v>
      </c>
      <c r="K21" s="11" t="e">
        <f t="shared" si="6"/>
        <v>#DIV/0!</v>
      </c>
      <c r="L21" s="11" t="e">
        <f t="shared" si="6"/>
        <v>#DIV/0!</v>
      </c>
      <c r="M21" s="11" t="e">
        <f t="shared" si="6"/>
        <v>#DIV/0!</v>
      </c>
      <c r="P21" s="220"/>
    </row>
    <row r="22" spans="1:16" x14ac:dyDescent="0.2">
      <c r="A22" s="263"/>
      <c r="B22" s="30" t="s">
        <v>70</v>
      </c>
      <c r="C22" s="33">
        <f t="shared" ref="C22:M22" si="7">(C19+C20)/C12</f>
        <v>0.4</v>
      </c>
      <c r="D22" s="33" t="e">
        <f t="shared" si="7"/>
        <v>#DIV/0!</v>
      </c>
      <c r="E22" s="33" t="e">
        <f t="shared" si="7"/>
        <v>#DIV/0!</v>
      </c>
      <c r="F22" s="33" t="e">
        <f t="shared" si="7"/>
        <v>#DIV/0!</v>
      </c>
      <c r="G22" s="33" t="e">
        <f t="shared" si="7"/>
        <v>#DIV/0!</v>
      </c>
      <c r="H22" s="142" t="e">
        <f t="shared" si="7"/>
        <v>#DIV/0!</v>
      </c>
      <c r="I22" s="150" t="e">
        <f t="shared" si="7"/>
        <v>#DIV/0!</v>
      </c>
      <c r="J22" s="33" t="e">
        <f t="shared" si="7"/>
        <v>#DIV/0!</v>
      </c>
      <c r="K22" s="33" t="e">
        <f t="shared" si="7"/>
        <v>#DIV/0!</v>
      </c>
      <c r="L22" s="33" t="e">
        <f t="shared" si="7"/>
        <v>#DIV/0!</v>
      </c>
      <c r="M22" s="33" t="e">
        <f t="shared" si="7"/>
        <v>#DIV/0!</v>
      </c>
      <c r="P22" s="220"/>
    </row>
    <row r="23" spans="1:16" x14ac:dyDescent="0.2">
      <c r="A23" s="263"/>
      <c r="B23" s="30" t="s">
        <v>84</v>
      </c>
      <c r="C23" s="11">
        <f t="shared" ref="C23:M23" si="8">(C19+C20)/C14</f>
        <v>2</v>
      </c>
      <c r="D23" s="11" t="e">
        <f t="shared" si="8"/>
        <v>#DIV/0!</v>
      </c>
      <c r="E23" s="11" t="e">
        <f t="shared" si="8"/>
        <v>#DIV/0!</v>
      </c>
      <c r="F23" s="11" t="e">
        <f t="shared" si="8"/>
        <v>#DIV/0!</v>
      </c>
      <c r="G23" s="11" t="e">
        <f t="shared" si="8"/>
        <v>#DIV/0!</v>
      </c>
      <c r="H23" s="144" t="e">
        <f t="shared" si="8"/>
        <v>#DIV/0!</v>
      </c>
      <c r="I23" s="152" t="e">
        <f t="shared" si="8"/>
        <v>#DIV/0!</v>
      </c>
      <c r="J23" s="11" t="e">
        <f t="shared" si="8"/>
        <v>#DIV/0!</v>
      </c>
      <c r="K23" s="11" t="e">
        <f t="shared" si="8"/>
        <v>#DIV/0!</v>
      </c>
      <c r="L23" s="11" t="e">
        <f t="shared" si="8"/>
        <v>#DIV/0!</v>
      </c>
      <c r="M23" s="11" t="e">
        <f t="shared" si="8"/>
        <v>#DIV/0!</v>
      </c>
      <c r="P23" s="220"/>
    </row>
    <row r="24" spans="1:16" x14ac:dyDescent="0.2">
      <c r="A24" s="263"/>
      <c r="B24" s="30" t="s">
        <v>85</v>
      </c>
      <c r="C24" s="33">
        <f t="shared" ref="C24:M24" si="9">C22-C15</f>
        <v>0.2</v>
      </c>
      <c r="D24" s="33" t="e">
        <f t="shared" si="9"/>
        <v>#DIV/0!</v>
      </c>
      <c r="E24" s="33" t="e">
        <f t="shared" si="9"/>
        <v>#DIV/0!</v>
      </c>
      <c r="F24" s="33" t="e">
        <f t="shared" si="9"/>
        <v>#DIV/0!</v>
      </c>
      <c r="G24" s="33" t="e">
        <f t="shared" si="9"/>
        <v>#DIV/0!</v>
      </c>
      <c r="H24" s="142" t="e">
        <f t="shared" si="9"/>
        <v>#DIV/0!</v>
      </c>
      <c r="I24" s="150" t="e">
        <f t="shared" si="9"/>
        <v>#DIV/0!</v>
      </c>
      <c r="J24" s="33" t="e">
        <f t="shared" si="9"/>
        <v>#DIV/0!</v>
      </c>
      <c r="K24" s="33" t="e">
        <f t="shared" si="9"/>
        <v>#DIV/0!</v>
      </c>
      <c r="L24" s="33" t="e">
        <f t="shared" si="9"/>
        <v>#DIV/0!</v>
      </c>
      <c r="M24" s="33" t="e">
        <f t="shared" si="9"/>
        <v>#DIV/0!</v>
      </c>
      <c r="P24" s="220"/>
    </row>
    <row r="25" spans="1:16" ht="17" thickBot="1" x14ac:dyDescent="0.25">
      <c r="A25" s="264"/>
      <c r="B25" s="30" t="s">
        <v>86</v>
      </c>
      <c r="C25" s="36">
        <f t="shared" ref="C25:M25" si="10">C13/(C12-C14-C17)</f>
        <v>0.25</v>
      </c>
      <c r="D25" s="36" t="e">
        <f t="shared" si="10"/>
        <v>#DIV/0!</v>
      </c>
      <c r="E25" s="36" t="e">
        <f t="shared" si="10"/>
        <v>#DIV/0!</v>
      </c>
      <c r="F25" s="36" t="e">
        <f t="shared" si="10"/>
        <v>#DIV/0!</v>
      </c>
      <c r="G25" s="36" t="e">
        <f t="shared" si="10"/>
        <v>#DIV/0!</v>
      </c>
      <c r="H25" s="146" t="e">
        <f t="shared" si="10"/>
        <v>#DIV/0!</v>
      </c>
      <c r="I25" s="154" t="e">
        <f t="shared" si="10"/>
        <v>#DIV/0!</v>
      </c>
      <c r="J25" s="36" t="e">
        <f t="shared" si="10"/>
        <v>#DIV/0!</v>
      </c>
      <c r="K25" s="36" t="e">
        <f t="shared" si="10"/>
        <v>#DIV/0!</v>
      </c>
      <c r="L25" s="36" t="e">
        <f t="shared" si="10"/>
        <v>#DIV/0!</v>
      </c>
      <c r="M25" s="36" t="e">
        <f t="shared" si="10"/>
        <v>#DIV/0!</v>
      </c>
      <c r="P25" s="220"/>
    </row>
    <row r="26" spans="1:16" ht="16" customHeight="1" x14ac:dyDescent="0.2">
      <c r="A26" s="262" t="s">
        <v>88</v>
      </c>
      <c r="B26" s="37" t="s">
        <v>89</v>
      </c>
      <c r="C26" s="135">
        <v>2</v>
      </c>
      <c r="D26" s="135">
        <v>0</v>
      </c>
      <c r="E26" s="135">
        <v>0</v>
      </c>
      <c r="F26" s="135">
        <v>0</v>
      </c>
      <c r="G26" s="135">
        <v>0</v>
      </c>
      <c r="H26" s="32">
        <v>0</v>
      </c>
      <c r="I26" s="138">
        <v>0</v>
      </c>
      <c r="J26" s="138">
        <v>0</v>
      </c>
      <c r="K26" s="32">
        <v>0</v>
      </c>
      <c r="L26" s="32">
        <v>0</v>
      </c>
      <c r="M26" s="32">
        <v>0</v>
      </c>
      <c r="P26" s="220"/>
    </row>
    <row r="27" spans="1:16" x14ac:dyDescent="0.2">
      <c r="A27" s="263"/>
      <c r="B27" s="38" t="s">
        <v>90</v>
      </c>
      <c r="C27" s="33">
        <f t="shared" ref="C27:M27" si="11">C26/C12</f>
        <v>0.4</v>
      </c>
      <c r="D27" s="33" t="e">
        <f t="shared" si="11"/>
        <v>#DIV/0!</v>
      </c>
      <c r="E27" s="33" t="e">
        <f t="shared" si="11"/>
        <v>#DIV/0!</v>
      </c>
      <c r="F27" s="33" t="e">
        <f t="shared" si="11"/>
        <v>#DIV/0!</v>
      </c>
      <c r="G27" s="33" t="e">
        <f t="shared" si="11"/>
        <v>#DIV/0!</v>
      </c>
      <c r="H27" s="142" t="e">
        <f t="shared" si="11"/>
        <v>#DIV/0!</v>
      </c>
      <c r="I27" s="150" t="e">
        <f t="shared" si="11"/>
        <v>#DIV/0!</v>
      </c>
      <c r="J27" s="33" t="e">
        <f t="shared" si="11"/>
        <v>#DIV/0!</v>
      </c>
      <c r="K27" s="33" t="e">
        <f t="shared" si="11"/>
        <v>#DIV/0!</v>
      </c>
      <c r="L27" s="33" t="e">
        <f t="shared" si="11"/>
        <v>#DIV/0!</v>
      </c>
      <c r="M27" s="33" t="e">
        <f t="shared" si="11"/>
        <v>#DIV/0!</v>
      </c>
      <c r="P27" s="220"/>
    </row>
    <row r="28" spans="1:16" x14ac:dyDescent="0.2">
      <c r="A28" s="263"/>
      <c r="B28" s="38" t="s">
        <v>91</v>
      </c>
      <c r="C28" s="135">
        <v>2</v>
      </c>
      <c r="D28" s="135">
        <v>0</v>
      </c>
      <c r="E28" s="135">
        <v>0</v>
      </c>
      <c r="F28" s="135">
        <v>0</v>
      </c>
      <c r="G28" s="135">
        <v>0</v>
      </c>
      <c r="H28" s="32">
        <v>0</v>
      </c>
      <c r="I28" s="138">
        <v>0</v>
      </c>
      <c r="J28" s="138">
        <v>0</v>
      </c>
      <c r="K28" s="32">
        <v>0</v>
      </c>
      <c r="L28" s="32">
        <v>0</v>
      </c>
      <c r="M28" s="32">
        <v>0</v>
      </c>
      <c r="P28" s="220"/>
    </row>
    <row r="29" spans="1:16" x14ac:dyDescent="0.2">
      <c r="A29" s="263"/>
      <c r="B29" s="38" t="s">
        <v>92</v>
      </c>
      <c r="C29" s="33">
        <f t="shared" ref="C29:M29" si="12">C28/C12</f>
        <v>0.4</v>
      </c>
      <c r="D29" s="33" t="e">
        <f t="shared" si="12"/>
        <v>#DIV/0!</v>
      </c>
      <c r="E29" s="33" t="e">
        <f t="shared" si="12"/>
        <v>#DIV/0!</v>
      </c>
      <c r="F29" s="33" t="e">
        <f t="shared" si="12"/>
        <v>#DIV/0!</v>
      </c>
      <c r="G29" s="33" t="e">
        <f t="shared" si="12"/>
        <v>#DIV/0!</v>
      </c>
      <c r="H29" s="142" t="e">
        <f t="shared" si="12"/>
        <v>#DIV/0!</v>
      </c>
      <c r="I29" s="150" t="e">
        <f t="shared" si="12"/>
        <v>#DIV/0!</v>
      </c>
      <c r="J29" s="33" t="e">
        <f t="shared" si="12"/>
        <v>#DIV/0!</v>
      </c>
      <c r="K29" s="33" t="e">
        <f t="shared" si="12"/>
        <v>#DIV/0!</v>
      </c>
      <c r="L29" s="33" t="e">
        <f t="shared" si="12"/>
        <v>#DIV/0!</v>
      </c>
      <c r="M29" s="33" t="e">
        <f t="shared" si="12"/>
        <v>#DIV/0!</v>
      </c>
      <c r="P29" s="220"/>
    </row>
    <row r="30" spans="1:16" x14ac:dyDescent="0.2">
      <c r="A30" s="263"/>
      <c r="B30" s="38" t="s">
        <v>93</v>
      </c>
      <c r="C30" s="135">
        <v>1</v>
      </c>
      <c r="D30" s="135">
        <v>0</v>
      </c>
      <c r="E30" s="135">
        <v>0</v>
      </c>
      <c r="F30" s="135">
        <v>0</v>
      </c>
      <c r="G30" s="135">
        <v>0</v>
      </c>
      <c r="H30" s="32">
        <v>0</v>
      </c>
      <c r="I30" s="138">
        <v>0</v>
      </c>
      <c r="J30" s="138">
        <v>0</v>
      </c>
      <c r="K30" s="32">
        <v>0</v>
      </c>
      <c r="L30" s="32">
        <v>0</v>
      </c>
      <c r="M30" s="32">
        <v>0</v>
      </c>
      <c r="P30" s="220"/>
    </row>
    <row r="31" spans="1:16" x14ac:dyDescent="0.2">
      <c r="A31" s="263"/>
      <c r="B31" s="38" t="s">
        <v>94</v>
      </c>
      <c r="C31" s="33">
        <f t="shared" ref="C31:M31" si="13">C30/C12</f>
        <v>0.2</v>
      </c>
      <c r="D31" s="33" t="e">
        <f t="shared" si="13"/>
        <v>#DIV/0!</v>
      </c>
      <c r="E31" s="33" t="e">
        <f t="shared" si="13"/>
        <v>#DIV/0!</v>
      </c>
      <c r="F31" s="33" t="e">
        <f t="shared" si="13"/>
        <v>#DIV/0!</v>
      </c>
      <c r="G31" s="33" t="e">
        <f t="shared" si="13"/>
        <v>#DIV/0!</v>
      </c>
      <c r="H31" s="142" t="e">
        <f t="shared" si="13"/>
        <v>#DIV/0!</v>
      </c>
      <c r="I31" s="150" t="e">
        <f t="shared" si="13"/>
        <v>#DIV/0!</v>
      </c>
      <c r="J31" s="33" t="e">
        <f t="shared" si="13"/>
        <v>#DIV/0!</v>
      </c>
      <c r="K31" s="33" t="e">
        <f t="shared" si="13"/>
        <v>#DIV/0!</v>
      </c>
      <c r="L31" s="33" t="e">
        <f t="shared" si="13"/>
        <v>#DIV/0!</v>
      </c>
      <c r="M31" s="33" t="e">
        <f t="shared" si="13"/>
        <v>#DIV/0!</v>
      </c>
      <c r="P31" s="220"/>
    </row>
    <row r="32" spans="1:16" x14ac:dyDescent="0.2">
      <c r="A32" s="263"/>
      <c r="B32" s="38" t="s">
        <v>95</v>
      </c>
      <c r="C32" s="135">
        <v>2</v>
      </c>
      <c r="D32" s="135">
        <v>0</v>
      </c>
      <c r="E32" s="135">
        <v>0</v>
      </c>
      <c r="F32" s="135">
        <v>0</v>
      </c>
      <c r="G32" s="135">
        <v>0</v>
      </c>
      <c r="H32" s="32">
        <v>0</v>
      </c>
      <c r="I32" s="138">
        <v>0</v>
      </c>
      <c r="J32" s="138">
        <v>0</v>
      </c>
      <c r="K32" s="32">
        <v>0</v>
      </c>
      <c r="L32" s="32">
        <v>0</v>
      </c>
      <c r="M32" s="32">
        <v>0</v>
      </c>
      <c r="P32" s="220"/>
    </row>
    <row r="33" spans="1:16" ht="17" thickBot="1" x14ac:dyDescent="0.25">
      <c r="A33" s="264"/>
      <c r="B33" s="39" t="s">
        <v>96</v>
      </c>
      <c r="C33" s="33">
        <f t="shared" ref="C33:M33" si="14">C32/C12</f>
        <v>0.4</v>
      </c>
      <c r="D33" s="33" t="e">
        <f t="shared" si="14"/>
        <v>#DIV/0!</v>
      </c>
      <c r="E33" s="33" t="e">
        <f t="shared" si="14"/>
        <v>#DIV/0!</v>
      </c>
      <c r="F33" s="33" t="e">
        <f t="shared" si="14"/>
        <v>#DIV/0!</v>
      </c>
      <c r="G33" s="33" t="e">
        <f t="shared" si="14"/>
        <v>#DIV/0!</v>
      </c>
      <c r="H33" s="142" t="e">
        <f t="shared" si="14"/>
        <v>#DIV/0!</v>
      </c>
      <c r="I33" s="150" t="e">
        <f t="shared" si="14"/>
        <v>#DIV/0!</v>
      </c>
      <c r="J33" s="33" t="e">
        <f t="shared" si="14"/>
        <v>#DIV/0!</v>
      </c>
      <c r="K33" s="33" t="e">
        <f t="shared" si="14"/>
        <v>#DIV/0!</v>
      </c>
      <c r="L33" s="33" t="e">
        <f t="shared" si="14"/>
        <v>#DIV/0!</v>
      </c>
      <c r="M33" s="33" t="e">
        <f t="shared" si="14"/>
        <v>#DIV/0!</v>
      </c>
      <c r="P33" s="220"/>
    </row>
    <row r="34" spans="1:16" ht="16" customHeight="1" x14ac:dyDescent="0.2">
      <c r="A34" s="262" t="s">
        <v>97</v>
      </c>
      <c r="B34" s="37" t="s">
        <v>98</v>
      </c>
      <c r="C34" s="135">
        <v>12</v>
      </c>
      <c r="D34" s="135">
        <v>0</v>
      </c>
      <c r="E34" s="135">
        <v>0</v>
      </c>
      <c r="F34" s="135">
        <v>0</v>
      </c>
      <c r="G34" s="135">
        <v>0</v>
      </c>
      <c r="H34" s="32">
        <v>0</v>
      </c>
      <c r="I34" s="138">
        <v>0</v>
      </c>
      <c r="J34" s="138">
        <v>0</v>
      </c>
      <c r="K34" s="32">
        <v>0</v>
      </c>
      <c r="L34" s="32">
        <v>0</v>
      </c>
      <c r="M34" s="32">
        <v>0</v>
      </c>
      <c r="P34" s="220"/>
    </row>
    <row r="35" spans="1:16" x14ac:dyDescent="0.2">
      <c r="A35" s="263"/>
      <c r="B35" s="38" t="s">
        <v>99</v>
      </c>
      <c r="C35" s="135">
        <v>6</v>
      </c>
      <c r="D35" s="135">
        <v>0</v>
      </c>
      <c r="E35" s="135">
        <v>0</v>
      </c>
      <c r="F35" s="135">
        <v>0</v>
      </c>
      <c r="G35" s="135">
        <v>0</v>
      </c>
      <c r="H35" s="32">
        <v>0</v>
      </c>
      <c r="I35" s="138">
        <v>0</v>
      </c>
      <c r="J35" s="138">
        <v>0</v>
      </c>
      <c r="K35" s="32">
        <v>0</v>
      </c>
      <c r="L35" s="32">
        <v>0</v>
      </c>
      <c r="M35" s="32">
        <v>0</v>
      </c>
      <c r="P35" s="220"/>
    </row>
    <row r="36" spans="1:16" x14ac:dyDescent="0.2">
      <c r="A36" s="263"/>
      <c r="B36" s="38" t="s">
        <v>100</v>
      </c>
      <c r="C36" s="33">
        <f t="shared" ref="C36:M36" si="15">C34/C6</f>
        <v>0.54545454545454541</v>
      </c>
      <c r="D36" s="33" t="e">
        <f t="shared" si="15"/>
        <v>#DIV/0!</v>
      </c>
      <c r="E36" s="33" t="e">
        <f t="shared" si="15"/>
        <v>#DIV/0!</v>
      </c>
      <c r="F36" s="33" t="e">
        <f t="shared" si="15"/>
        <v>#DIV/0!</v>
      </c>
      <c r="G36" s="33" t="e">
        <f t="shared" si="15"/>
        <v>#DIV/0!</v>
      </c>
      <c r="H36" s="142" t="e">
        <f t="shared" si="15"/>
        <v>#DIV/0!</v>
      </c>
      <c r="I36" s="150" t="e">
        <f t="shared" si="15"/>
        <v>#DIV/0!</v>
      </c>
      <c r="J36" s="33" t="e">
        <f t="shared" si="15"/>
        <v>#DIV/0!</v>
      </c>
      <c r="K36" s="33" t="e">
        <f t="shared" si="15"/>
        <v>#DIV/0!</v>
      </c>
      <c r="L36" s="33" t="e">
        <f t="shared" si="15"/>
        <v>#DIV/0!</v>
      </c>
      <c r="M36" s="33" t="e">
        <f t="shared" si="15"/>
        <v>#DIV/0!</v>
      </c>
      <c r="P36" s="220"/>
    </row>
    <row r="37" spans="1:16" x14ac:dyDescent="0.2">
      <c r="A37" s="263"/>
      <c r="B37" s="39" t="s">
        <v>101</v>
      </c>
      <c r="C37" s="33">
        <f t="shared" ref="C37:M37" si="16">C35/C34</f>
        <v>0.5</v>
      </c>
      <c r="D37" s="33" t="e">
        <f t="shared" si="16"/>
        <v>#DIV/0!</v>
      </c>
      <c r="E37" s="33" t="e">
        <f t="shared" si="16"/>
        <v>#DIV/0!</v>
      </c>
      <c r="F37" s="33" t="e">
        <f t="shared" si="16"/>
        <v>#DIV/0!</v>
      </c>
      <c r="G37" s="33" t="e">
        <f t="shared" si="16"/>
        <v>#DIV/0!</v>
      </c>
      <c r="H37" s="142" t="e">
        <f t="shared" si="16"/>
        <v>#DIV/0!</v>
      </c>
      <c r="I37" s="150" t="e">
        <f t="shared" si="16"/>
        <v>#DIV/0!</v>
      </c>
      <c r="J37" s="33" t="e">
        <f t="shared" si="16"/>
        <v>#DIV/0!</v>
      </c>
      <c r="K37" s="33" t="e">
        <f t="shared" si="16"/>
        <v>#DIV/0!</v>
      </c>
      <c r="L37" s="33" t="e">
        <f t="shared" si="16"/>
        <v>#DIV/0!</v>
      </c>
      <c r="M37" s="33" t="e">
        <f t="shared" si="16"/>
        <v>#DIV/0!</v>
      </c>
      <c r="P37" s="220"/>
    </row>
    <row r="38" spans="1:16" x14ac:dyDescent="0.2">
      <c r="A38" s="263"/>
      <c r="B38" s="37" t="s">
        <v>102</v>
      </c>
      <c r="C38" s="135">
        <v>3</v>
      </c>
      <c r="D38" s="135">
        <v>0</v>
      </c>
      <c r="E38" s="135">
        <v>0</v>
      </c>
      <c r="F38" s="135">
        <v>0</v>
      </c>
      <c r="G38" s="135">
        <v>0</v>
      </c>
      <c r="H38" s="32">
        <v>0</v>
      </c>
      <c r="I38" s="138">
        <v>0</v>
      </c>
      <c r="J38" s="138">
        <v>0</v>
      </c>
      <c r="K38" s="32">
        <v>0</v>
      </c>
      <c r="L38" s="32">
        <v>0</v>
      </c>
      <c r="M38" s="32">
        <v>0</v>
      </c>
      <c r="P38" s="220"/>
    </row>
    <row r="39" spans="1:16" x14ac:dyDescent="0.2">
      <c r="A39" s="263"/>
      <c r="B39" s="38" t="s">
        <v>103</v>
      </c>
      <c r="C39" s="135">
        <v>3</v>
      </c>
      <c r="D39" s="135">
        <v>0</v>
      </c>
      <c r="E39" s="135">
        <v>0</v>
      </c>
      <c r="F39" s="135">
        <v>0</v>
      </c>
      <c r="G39" s="135">
        <v>0</v>
      </c>
      <c r="H39" s="32">
        <v>0</v>
      </c>
      <c r="I39" s="138">
        <v>0</v>
      </c>
      <c r="J39" s="138">
        <v>0</v>
      </c>
      <c r="K39" s="32">
        <v>0</v>
      </c>
      <c r="L39" s="32">
        <v>0</v>
      </c>
      <c r="M39" s="32">
        <v>0</v>
      </c>
      <c r="P39" s="220"/>
    </row>
    <row r="40" spans="1:16" x14ac:dyDescent="0.2">
      <c r="A40" s="263"/>
      <c r="B40" s="38" t="s">
        <v>104</v>
      </c>
      <c r="C40" s="33">
        <f t="shared" ref="C40:M40" si="17">C38/C6</f>
        <v>0.13636363636363635</v>
      </c>
      <c r="D40" s="33" t="e">
        <f t="shared" si="17"/>
        <v>#DIV/0!</v>
      </c>
      <c r="E40" s="33" t="e">
        <f t="shared" si="17"/>
        <v>#DIV/0!</v>
      </c>
      <c r="F40" s="33" t="e">
        <f t="shared" si="17"/>
        <v>#DIV/0!</v>
      </c>
      <c r="G40" s="33" t="e">
        <f t="shared" si="17"/>
        <v>#DIV/0!</v>
      </c>
      <c r="H40" s="142" t="e">
        <f t="shared" si="17"/>
        <v>#DIV/0!</v>
      </c>
      <c r="I40" s="150" t="e">
        <f t="shared" si="17"/>
        <v>#DIV/0!</v>
      </c>
      <c r="J40" s="33" t="e">
        <f t="shared" si="17"/>
        <v>#DIV/0!</v>
      </c>
      <c r="K40" s="33" t="e">
        <f t="shared" si="17"/>
        <v>#DIV/0!</v>
      </c>
      <c r="L40" s="33" t="e">
        <f t="shared" si="17"/>
        <v>#DIV/0!</v>
      </c>
      <c r="M40" s="33" t="e">
        <f t="shared" si="17"/>
        <v>#DIV/0!</v>
      </c>
      <c r="P40" s="220"/>
    </row>
    <row r="41" spans="1:16" x14ac:dyDescent="0.2">
      <c r="A41" s="263"/>
      <c r="B41" s="39" t="s">
        <v>105</v>
      </c>
      <c r="C41" s="33">
        <f t="shared" ref="C41:M41" si="18">C39/C38</f>
        <v>1</v>
      </c>
      <c r="D41" s="33" t="e">
        <f t="shared" si="18"/>
        <v>#DIV/0!</v>
      </c>
      <c r="E41" s="33" t="e">
        <f t="shared" si="18"/>
        <v>#DIV/0!</v>
      </c>
      <c r="F41" s="33" t="e">
        <f t="shared" si="18"/>
        <v>#DIV/0!</v>
      </c>
      <c r="G41" s="33" t="e">
        <f t="shared" si="18"/>
        <v>#DIV/0!</v>
      </c>
      <c r="H41" s="142" t="e">
        <f t="shared" si="18"/>
        <v>#DIV/0!</v>
      </c>
      <c r="I41" s="150" t="e">
        <f t="shared" si="18"/>
        <v>#DIV/0!</v>
      </c>
      <c r="J41" s="33" t="e">
        <f t="shared" si="18"/>
        <v>#DIV/0!</v>
      </c>
      <c r="K41" s="33" t="e">
        <f t="shared" si="18"/>
        <v>#DIV/0!</v>
      </c>
      <c r="L41" s="33" t="e">
        <f t="shared" si="18"/>
        <v>#DIV/0!</v>
      </c>
      <c r="M41" s="33" t="e">
        <f t="shared" si="18"/>
        <v>#DIV/0!</v>
      </c>
      <c r="P41" s="220"/>
    </row>
    <row r="42" spans="1:16" x14ac:dyDescent="0.2">
      <c r="A42" s="263"/>
      <c r="B42" s="37" t="s">
        <v>106</v>
      </c>
      <c r="C42" s="135">
        <v>3</v>
      </c>
      <c r="D42" s="135">
        <v>0</v>
      </c>
      <c r="E42" s="135">
        <v>0</v>
      </c>
      <c r="F42" s="135">
        <v>0</v>
      </c>
      <c r="G42" s="135">
        <v>0</v>
      </c>
      <c r="H42" s="32">
        <v>0</v>
      </c>
      <c r="I42" s="138">
        <v>0</v>
      </c>
      <c r="J42" s="138">
        <v>0</v>
      </c>
      <c r="K42" s="32">
        <v>0</v>
      </c>
      <c r="L42" s="32">
        <v>0</v>
      </c>
      <c r="M42" s="32">
        <v>0</v>
      </c>
      <c r="P42" s="220"/>
    </row>
    <row r="43" spans="1:16" x14ac:dyDescent="0.2">
      <c r="A43" s="263"/>
      <c r="B43" s="38" t="s">
        <v>107</v>
      </c>
      <c r="C43" s="135">
        <v>1</v>
      </c>
      <c r="D43" s="135">
        <v>0</v>
      </c>
      <c r="E43" s="135">
        <v>0</v>
      </c>
      <c r="F43" s="135">
        <v>0</v>
      </c>
      <c r="G43" s="135">
        <v>0</v>
      </c>
      <c r="H43" s="32">
        <v>0</v>
      </c>
      <c r="I43" s="138">
        <v>0</v>
      </c>
      <c r="J43" s="138">
        <v>0</v>
      </c>
      <c r="K43" s="32">
        <v>0</v>
      </c>
      <c r="L43" s="32">
        <v>0</v>
      </c>
      <c r="M43" s="32">
        <v>0</v>
      </c>
      <c r="P43" s="220"/>
    </row>
    <row r="44" spans="1:16" x14ac:dyDescent="0.2">
      <c r="A44" s="263"/>
      <c r="B44" s="38" t="s">
        <v>108</v>
      </c>
      <c r="C44" s="33">
        <f t="shared" ref="C44:M44" si="19">C42/C6</f>
        <v>0.13636363636363635</v>
      </c>
      <c r="D44" s="33" t="e">
        <f t="shared" si="19"/>
        <v>#DIV/0!</v>
      </c>
      <c r="E44" s="33" t="e">
        <f t="shared" si="19"/>
        <v>#DIV/0!</v>
      </c>
      <c r="F44" s="33" t="e">
        <f t="shared" si="19"/>
        <v>#DIV/0!</v>
      </c>
      <c r="G44" s="33" t="e">
        <f t="shared" si="19"/>
        <v>#DIV/0!</v>
      </c>
      <c r="H44" s="142" t="e">
        <f t="shared" si="19"/>
        <v>#DIV/0!</v>
      </c>
      <c r="I44" s="150" t="e">
        <f t="shared" si="19"/>
        <v>#DIV/0!</v>
      </c>
      <c r="J44" s="33" t="e">
        <f t="shared" si="19"/>
        <v>#DIV/0!</v>
      </c>
      <c r="K44" s="33" t="e">
        <f t="shared" si="19"/>
        <v>#DIV/0!</v>
      </c>
      <c r="L44" s="33" t="e">
        <f t="shared" si="19"/>
        <v>#DIV/0!</v>
      </c>
      <c r="M44" s="33" t="e">
        <f t="shared" si="19"/>
        <v>#DIV/0!</v>
      </c>
      <c r="P44" s="220"/>
    </row>
    <row r="45" spans="1:16" x14ac:dyDescent="0.2">
      <c r="A45" s="263"/>
      <c r="B45" s="39" t="s">
        <v>109</v>
      </c>
      <c r="C45" s="33">
        <f t="shared" ref="C45:M45" si="20">C43/C42</f>
        <v>0.33333333333333331</v>
      </c>
      <c r="D45" s="33" t="e">
        <f t="shared" si="20"/>
        <v>#DIV/0!</v>
      </c>
      <c r="E45" s="33" t="e">
        <f t="shared" si="20"/>
        <v>#DIV/0!</v>
      </c>
      <c r="F45" s="33" t="e">
        <f t="shared" si="20"/>
        <v>#DIV/0!</v>
      </c>
      <c r="G45" s="33" t="e">
        <f t="shared" si="20"/>
        <v>#DIV/0!</v>
      </c>
      <c r="H45" s="142" t="e">
        <f t="shared" si="20"/>
        <v>#DIV/0!</v>
      </c>
      <c r="I45" s="150" t="e">
        <f t="shared" si="20"/>
        <v>#DIV/0!</v>
      </c>
      <c r="J45" s="33" t="e">
        <f t="shared" si="20"/>
        <v>#DIV/0!</v>
      </c>
      <c r="K45" s="33" t="e">
        <f t="shared" si="20"/>
        <v>#DIV/0!</v>
      </c>
      <c r="L45" s="33" t="e">
        <f t="shared" si="20"/>
        <v>#DIV/0!</v>
      </c>
      <c r="M45" s="33" t="e">
        <f t="shared" si="20"/>
        <v>#DIV/0!</v>
      </c>
      <c r="P45" s="220"/>
    </row>
    <row r="46" spans="1:16" x14ac:dyDescent="0.2">
      <c r="A46" s="263"/>
      <c r="B46" s="37" t="s">
        <v>110</v>
      </c>
      <c r="C46" s="135">
        <v>4</v>
      </c>
      <c r="D46" s="135">
        <v>0</v>
      </c>
      <c r="E46" s="135">
        <v>0</v>
      </c>
      <c r="F46" s="135">
        <v>0</v>
      </c>
      <c r="G46" s="135">
        <v>0</v>
      </c>
      <c r="H46" s="32">
        <v>0</v>
      </c>
      <c r="I46" s="138">
        <v>0</v>
      </c>
      <c r="J46" s="138">
        <v>0</v>
      </c>
      <c r="K46" s="32">
        <v>0</v>
      </c>
      <c r="L46" s="32">
        <v>0</v>
      </c>
      <c r="M46" s="32">
        <v>0</v>
      </c>
      <c r="P46" s="220"/>
    </row>
    <row r="47" spans="1:16" x14ac:dyDescent="0.2">
      <c r="A47" s="263"/>
      <c r="B47" s="38" t="s">
        <v>111</v>
      </c>
      <c r="C47" s="135">
        <v>2</v>
      </c>
      <c r="D47" s="135">
        <v>0</v>
      </c>
      <c r="E47" s="135">
        <v>0</v>
      </c>
      <c r="F47" s="135">
        <v>0</v>
      </c>
      <c r="G47" s="135">
        <v>0</v>
      </c>
      <c r="H47" s="32">
        <v>0</v>
      </c>
      <c r="I47" s="138">
        <v>0</v>
      </c>
      <c r="J47" s="138">
        <v>0</v>
      </c>
      <c r="K47" s="32">
        <v>0</v>
      </c>
      <c r="L47" s="32">
        <v>0</v>
      </c>
      <c r="M47" s="32">
        <v>0</v>
      </c>
      <c r="P47" s="220"/>
    </row>
    <row r="48" spans="1:16" x14ac:dyDescent="0.2">
      <c r="A48" s="263"/>
      <c r="B48" s="38" t="s">
        <v>112</v>
      </c>
      <c r="C48" s="33">
        <f t="shared" ref="C48:M48" si="21">C46/C6</f>
        <v>0.18181818181818182</v>
      </c>
      <c r="D48" s="33" t="e">
        <f t="shared" si="21"/>
        <v>#DIV/0!</v>
      </c>
      <c r="E48" s="33" t="e">
        <f t="shared" si="21"/>
        <v>#DIV/0!</v>
      </c>
      <c r="F48" s="33" t="e">
        <f t="shared" si="21"/>
        <v>#DIV/0!</v>
      </c>
      <c r="G48" s="33" t="e">
        <f t="shared" si="21"/>
        <v>#DIV/0!</v>
      </c>
      <c r="H48" s="142" t="e">
        <f t="shared" si="21"/>
        <v>#DIV/0!</v>
      </c>
      <c r="I48" s="150" t="e">
        <f t="shared" si="21"/>
        <v>#DIV/0!</v>
      </c>
      <c r="J48" s="33" t="e">
        <f t="shared" si="21"/>
        <v>#DIV/0!</v>
      </c>
      <c r="K48" s="33" t="e">
        <f t="shared" si="21"/>
        <v>#DIV/0!</v>
      </c>
      <c r="L48" s="33" t="e">
        <f t="shared" si="21"/>
        <v>#DIV/0!</v>
      </c>
      <c r="M48" s="33" t="e">
        <f t="shared" si="21"/>
        <v>#DIV/0!</v>
      </c>
      <c r="P48" s="220"/>
    </row>
    <row r="49" spans="1:16" ht="17" thickBot="1" x14ac:dyDescent="0.25">
      <c r="A49" s="264"/>
      <c r="B49" s="39" t="s">
        <v>113</v>
      </c>
      <c r="C49" s="33">
        <f t="shared" ref="C49:M49" si="22">C47/C46</f>
        <v>0.5</v>
      </c>
      <c r="D49" s="33" t="e">
        <f t="shared" si="22"/>
        <v>#DIV/0!</v>
      </c>
      <c r="E49" s="33" t="e">
        <f t="shared" si="22"/>
        <v>#DIV/0!</v>
      </c>
      <c r="F49" s="33" t="e">
        <f t="shared" si="22"/>
        <v>#DIV/0!</v>
      </c>
      <c r="G49" s="33" t="e">
        <f t="shared" si="22"/>
        <v>#DIV/0!</v>
      </c>
      <c r="H49" s="142" t="e">
        <f t="shared" si="22"/>
        <v>#DIV/0!</v>
      </c>
      <c r="I49" s="150" t="e">
        <f t="shared" si="22"/>
        <v>#DIV/0!</v>
      </c>
      <c r="J49" s="33" t="e">
        <f t="shared" si="22"/>
        <v>#DIV/0!</v>
      </c>
      <c r="K49" s="33" t="e">
        <f t="shared" si="22"/>
        <v>#DIV/0!</v>
      </c>
      <c r="L49" s="33" t="e">
        <f t="shared" si="22"/>
        <v>#DIV/0!</v>
      </c>
      <c r="M49" s="33" t="e">
        <f t="shared" si="22"/>
        <v>#DIV/0!</v>
      </c>
      <c r="P49" s="220"/>
    </row>
    <row r="50" spans="1:16" ht="16" customHeight="1" x14ac:dyDescent="0.2">
      <c r="A50" s="262" t="s">
        <v>114</v>
      </c>
      <c r="B50" s="37" t="s">
        <v>115</v>
      </c>
      <c r="C50" s="135">
        <v>4</v>
      </c>
      <c r="D50" s="135">
        <v>0</v>
      </c>
      <c r="E50" s="135">
        <v>0</v>
      </c>
      <c r="F50" s="135">
        <v>0</v>
      </c>
      <c r="G50" s="135">
        <v>0</v>
      </c>
      <c r="H50" s="32">
        <v>0</v>
      </c>
      <c r="I50" s="138">
        <v>0</v>
      </c>
      <c r="J50" s="138">
        <v>0</v>
      </c>
      <c r="K50" s="32">
        <v>0</v>
      </c>
      <c r="L50" s="32">
        <v>0</v>
      </c>
      <c r="M50" s="32">
        <v>0</v>
      </c>
      <c r="P50" s="220"/>
    </row>
    <row r="51" spans="1:16" x14ac:dyDescent="0.2">
      <c r="A51" s="263"/>
      <c r="B51" s="38" t="s">
        <v>116</v>
      </c>
      <c r="C51" s="135">
        <v>2</v>
      </c>
      <c r="D51" s="135">
        <v>0</v>
      </c>
      <c r="E51" s="135">
        <v>0</v>
      </c>
      <c r="F51" s="135">
        <v>0</v>
      </c>
      <c r="G51" s="135">
        <v>0</v>
      </c>
      <c r="H51" s="32">
        <v>0</v>
      </c>
      <c r="I51" s="138">
        <v>0</v>
      </c>
      <c r="J51" s="138">
        <v>0</v>
      </c>
      <c r="K51" s="32">
        <v>0</v>
      </c>
      <c r="L51" s="32">
        <v>0</v>
      </c>
      <c r="M51" s="32">
        <v>0</v>
      </c>
      <c r="P51" s="220"/>
    </row>
    <row r="52" spans="1:16" x14ac:dyDescent="0.2">
      <c r="A52" s="263"/>
      <c r="B52" s="242" t="s">
        <v>117</v>
      </c>
      <c r="C52" s="33">
        <f t="shared" ref="C52:M52" si="23">C51/C50</f>
        <v>0.5</v>
      </c>
      <c r="D52" s="33" t="e">
        <f t="shared" si="23"/>
        <v>#DIV/0!</v>
      </c>
      <c r="E52" s="33" t="e">
        <f t="shared" si="23"/>
        <v>#DIV/0!</v>
      </c>
      <c r="F52" s="33" t="e">
        <f t="shared" si="23"/>
        <v>#DIV/0!</v>
      </c>
      <c r="G52" s="33" t="e">
        <f t="shared" si="23"/>
        <v>#DIV/0!</v>
      </c>
      <c r="H52" s="142" t="e">
        <f t="shared" si="23"/>
        <v>#DIV/0!</v>
      </c>
      <c r="I52" s="150" t="e">
        <f t="shared" si="23"/>
        <v>#DIV/0!</v>
      </c>
      <c r="J52" s="33" t="e">
        <f t="shared" si="23"/>
        <v>#DIV/0!</v>
      </c>
      <c r="K52" s="33" t="e">
        <f t="shared" si="23"/>
        <v>#DIV/0!</v>
      </c>
      <c r="L52" s="33" t="e">
        <f t="shared" si="23"/>
        <v>#DIV/0!</v>
      </c>
      <c r="M52" s="33" t="e">
        <f t="shared" si="23"/>
        <v>#DIV/0!</v>
      </c>
      <c r="P52" s="220"/>
    </row>
    <row r="53" spans="1:16" x14ac:dyDescent="0.2">
      <c r="A53" s="263"/>
      <c r="B53" s="38" t="s">
        <v>118</v>
      </c>
      <c r="C53" s="136">
        <v>1</v>
      </c>
      <c r="D53" s="136">
        <v>0</v>
      </c>
      <c r="E53" s="136">
        <v>0</v>
      </c>
      <c r="F53" s="136">
        <v>0</v>
      </c>
      <c r="G53" s="136">
        <v>0</v>
      </c>
      <c r="H53" s="34">
        <v>0</v>
      </c>
      <c r="I53" s="139">
        <v>0</v>
      </c>
      <c r="J53" s="139">
        <v>0</v>
      </c>
      <c r="K53" s="34">
        <v>0</v>
      </c>
      <c r="L53" s="34">
        <v>0</v>
      </c>
      <c r="M53" s="34">
        <v>0</v>
      </c>
      <c r="P53" s="220"/>
    </row>
    <row r="54" spans="1:16" x14ac:dyDescent="0.2">
      <c r="A54" s="263"/>
      <c r="B54" s="38" t="s">
        <v>119</v>
      </c>
      <c r="C54" s="135">
        <v>0</v>
      </c>
      <c r="D54" s="135">
        <v>0</v>
      </c>
      <c r="E54" s="135">
        <v>0</v>
      </c>
      <c r="F54" s="135">
        <v>0</v>
      </c>
      <c r="G54" s="135">
        <v>0</v>
      </c>
      <c r="H54" s="32">
        <v>0</v>
      </c>
      <c r="I54" s="138">
        <v>0</v>
      </c>
      <c r="J54" s="138">
        <v>0</v>
      </c>
      <c r="K54" s="32">
        <v>0</v>
      </c>
      <c r="L54" s="32">
        <v>0</v>
      </c>
      <c r="M54" s="32">
        <v>0</v>
      </c>
      <c r="P54" s="220"/>
    </row>
    <row r="55" spans="1:16" x14ac:dyDescent="0.2">
      <c r="A55" s="263"/>
      <c r="B55" s="41" t="s">
        <v>120</v>
      </c>
      <c r="C55" s="33">
        <f t="shared" ref="C55:M55" si="24">C54/C53</f>
        <v>0</v>
      </c>
      <c r="D55" s="33" t="e">
        <f t="shared" si="24"/>
        <v>#DIV/0!</v>
      </c>
      <c r="E55" s="33" t="e">
        <f t="shared" si="24"/>
        <v>#DIV/0!</v>
      </c>
      <c r="F55" s="33" t="e">
        <f t="shared" si="24"/>
        <v>#DIV/0!</v>
      </c>
      <c r="G55" s="33" t="e">
        <f t="shared" si="24"/>
        <v>#DIV/0!</v>
      </c>
      <c r="H55" s="142" t="e">
        <f t="shared" si="24"/>
        <v>#DIV/0!</v>
      </c>
      <c r="I55" s="150" t="e">
        <f t="shared" si="24"/>
        <v>#DIV/0!</v>
      </c>
      <c r="J55" s="33" t="e">
        <f t="shared" si="24"/>
        <v>#DIV/0!</v>
      </c>
      <c r="K55" s="33" t="e">
        <f t="shared" si="24"/>
        <v>#DIV/0!</v>
      </c>
      <c r="L55" s="33" t="e">
        <f t="shared" si="24"/>
        <v>#DIV/0!</v>
      </c>
      <c r="M55" s="33" t="e">
        <f t="shared" si="24"/>
        <v>#DIV/0!</v>
      </c>
      <c r="P55" s="220"/>
    </row>
    <row r="56" spans="1:16" x14ac:dyDescent="0.2">
      <c r="A56" s="263"/>
      <c r="B56" s="38" t="s">
        <v>121</v>
      </c>
      <c r="C56" s="135">
        <v>1</v>
      </c>
      <c r="D56" s="135">
        <v>0</v>
      </c>
      <c r="E56" s="135">
        <v>0</v>
      </c>
      <c r="F56" s="135">
        <v>0</v>
      </c>
      <c r="G56" s="135">
        <v>0</v>
      </c>
      <c r="H56" s="32">
        <v>0</v>
      </c>
      <c r="I56" s="138">
        <v>0</v>
      </c>
      <c r="J56" s="138">
        <v>0</v>
      </c>
      <c r="K56" s="32">
        <v>0</v>
      </c>
      <c r="L56" s="32">
        <v>0</v>
      </c>
      <c r="M56" s="32">
        <v>0</v>
      </c>
      <c r="P56" s="220"/>
    </row>
    <row r="57" spans="1:16" x14ac:dyDescent="0.2">
      <c r="A57" s="263"/>
      <c r="B57" s="38" t="s">
        <v>122</v>
      </c>
      <c r="C57" s="135">
        <v>0</v>
      </c>
      <c r="D57" s="135">
        <v>0</v>
      </c>
      <c r="E57" s="135">
        <v>0</v>
      </c>
      <c r="F57" s="135">
        <v>0</v>
      </c>
      <c r="G57" s="135">
        <v>0</v>
      </c>
      <c r="H57" s="32">
        <v>0</v>
      </c>
      <c r="I57" s="138">
        <v>0</v>
      </c>
      <c r="J57" s="138">
        <v>0</v>
      </c>
      <c r="K57" s="32">
        <v>0</v>
      </c>
      <c r="L57" s="32">
        <v>0</v>
      </c>
      <c r="M57" s="32">
        <v>0</v>
      </c>
      <c r="P57" s="220"/>
    </row>
    <row r="58" spans="1:16" x14ac:dyDescent="0.2">
      <c r="A58" s="263"/>
      <c r="B58" s="179" t="s">
        <v>123</v>
      </c>
      <c r="C58" s="33">
        <f t="shared" ref="C58:M58" si="25">C57/C56</f>
        <v>0</v>
      </c>
      <c r="D58" s="33" t="e">
        <f t="shared" si="25"/>
        <v>#DIV/0!</v>
      </c>
      <c r="E58" s="33" t="e">
        <f t="shared" si="25"/>
        <v>#DIV/0!</v>
      </c>
      <c r="F58" s="33" t="e">
        <f t="shared" si="25"/>
        <v>#DIV/0!</v>
      </c>
      <c r="G58" s="33" t="e">
        <f t="shared" si="25"/>
        <v>#DIV/0!</v>
      </c>
      <c r="H58" s="142" t="e">
        <f t="shared" si="25"/>
        <v>#DIV/0!</v>
      </c>
      <c r="I58" s="150" t="e">
        <f t="shared" si="25"/>
        <v>#DIV/0!</v>
      </c>
      <c r="J58" s="33" t="e">
        <f t="shared" si="25"/>
        <v>#DIV/0!</v>
      </c>
      <c r="K58" s="33" t="e">
        <f t="shared" si="25"/>
        <v>#DIV/0!</v>
      </c>
      <c r="L58" s="33" t="e">
        <f t="shared" si="25"/>
        <v>#DIV/0!</v>
      </c>
      <c r="M58" s="33" t="e">
        <f t="shared" si="25"/>
        <v>#DIV/0!</v>
      </c>
      <c r="P58" s="220"/>
    </row>
    <row r="59" spans="1:16" x14ac:dyDescent="0.2">
      <c r="A59" s="263"/>
      <c r="B59" s="38" t="s">
        <v>124</v>
      </c>
      <c r="C59" s="135">
        <v>1</v>
      </c>
      <c r="D59" s="135">
        <v>0</v>
      </c>
      <c r="E59" s="135">
        <v>0</v>
      </c>
      <c r="F59" s="135">
        <v>0</v>
      </c>
      <c r="G59" s="135">
        <v>0</v>
      </c>
      <c r="H59" s="32">
        <v>0</v>
      </c>
      <c r="I59" s="138">
        <v>0</v>
      </c>
      <c r="J59" s="138">
        <v>0</v>
      </c>
      <c r="K59" s="32">
        <v>0</v>
      </c>
      <c r="L59" s="32">
        <v>0</v>
      </c>
      <c r="M59" s="32">
        <v>0</v>
      </c>
      <c r="P59" s="220"/>
    </row>
    <row r="60" spans="1:16" x14ac:dyDescent="0.2">
      <c r="A60" s="263"/>
      <c r="B60" s="38" t="s">
        <v>125</v>
      </c>
      <c r="C60" s="135">
        <v>1</v>
      </c>
      <c r="D60" s="135">
        <v>0</v>
      </c>
      <c r="E60" s="135">
        <v>0</v>
      </c>
      <c r="F60" s="135">
        <v>0</v>
      </c>
      <c r="G60" s="135">
        <v>0</v>
      </c>
      <c r="H60" s="32">
        <v>0</v>
      </c>
      <c r="I60" s="138">
        <v>0</v>
      </c>
      <c r="J60" s="138">
        <v>0</v>
      </c>
      <c r="K60" s="32">
        <v>0</v>
      </c>
      <c r="L60" s="32">
        <v>0</v>
      </c>
      <c r="M60" s="32">
        <v>0</v>
      </c>
      <c r="P60" s="220"/>
    </row>
    <row r="61" spans="1:16" ht="17" thickBot="1" x14ac:dyDescent="0.25">
      <c r="A61" s="264"/>
      <c r="B61" s="40" t="s">
        <v>126</v>
      </c>
      <c r="C61" s="33">
        <f t="shared" ref="C61:M61" si="26">C60/C59</f>
        <v>1</v>
      </c>
      <c r="D61" s="33" t="e">
        <f t="shared" si="26"/>
        <v>#DIV/0!</v>
      </c>
      <c r="E61" s="33" t="e">
        <f t="shared" si="26"/>
        <v>#DIV/0!</v>
      </c>
      <c r="F61" s="33" t="e">
        <f t="shared" si="26"/>
        <v>#DIV/0!</v>
      </c>
      <c r="G61" s="33" t="e">
        <f t="shared" si="26"/>
        <v>#DIV/0!</v>
      </c>
      <c r="H61" s="142" t="e">
        <f t="shared" si="26"/>
        <v>#DIV/0!</v>
      </c>
      <c r="I61" s="150" t="e">
        <f t="shared" si="26"/>
        <v>#DIV/0!</v>
      </c>
      <c r="J61" s="33" t="e">
        <f t="shared" si="26"/>
        <v>#DIV/0!</v>
      </c>
      <c r="K61" s="33" t="e">
        <f t="shared" si="26"/>
        <v>#DIV/0!</v>
      </c>
      <c r="L61" s="33" t="e">
        <f t="shared" si="26"/>
        <v>#DIV/0!</v>
      </c>
      <c r="M61" s="33" t="e">
        <f t="shared" si="26"/>
        <v>#DIV/0!</v>
      </c>
      <c r="P61" s="220"/>
    </row>
    <row r="62" spans="1:16" x14ac:dyDescent="0.2">
      <c r="A62" s="262" t="s">
        <v>216</v>
      </c>
      <c r="B62" s="210" t="s">
        <v>204</v>
      </c>
      <c r="C62" s="183">
        <f>AVERAGEIFS($F$90:$F$409,$B$90:$B$409,C$3,$E$90:$E$409,"FB 1")</f>
        <v>83.500171780000002</v>
      </c>
      <c r="D62" s="183" t="e">
        <f t="shared" ref="D62:J62" si="27">AVERAGEIFS($F$91:$F$409,$B$91:$B$409,D$3,$E$91:$E$409,"FB")</f>
        <v>#DIV/0!</v>
      </c>
      <c r="E62" s="183" t="e">
        <f t="shared" si="27"/>
        <v>#DIV/0!</v>
      </c>
      <c r="F62" s="183" t="e">
        <f t="shared" si="27"/>
        <v>#DIV/0!</v>
      </c>
      <c r="G62" s="183" t="e">
        <f t="shared" si="27"/>
        <v>#DIV/0!</v>
      </c>
      <c r="H62" s="183" t="e">
        <f t="shared" si="27"/>
        <v>#DIV/0!</v>
      </c>
      <c r="I62" s="183" t="e">
        <f t="shared" si="27"/>
        <v>#DIV/0!</v>
      </c>
      <c r="J62" s="190" t="e">
        <f t="shared" si="27"/>
        <v>#DIV/0!</v>
      </c>
      <c r="K62" s="194">
        <f>AVERAGEIFS(F90:F408, E90:E408,"FB 1")</f>
        <v>83.500171780000002</v>
      </c>
      <c r="L62" s="192"/>
      <c r="M62" s="184"/>
      <c r="N62" s="7"/>
      <c r="O62" s="7"/>
    </row>
    <row r="63" spans="1:16" x14ac:dyDescent="0.2">
      <c r="A63" s="263"/>
      <c r="B63" s="211" t="s">
        <v>208</v>
      </c>
      <c r="C63" s="183">
        <f>_xlfn.MINIFS($F$90:$F$409,$B$90:$B$409,C$3,$E$90:$E$409,"FB 1")</f>
        <v>80.5909561</v>
      </c>
      <c r="D63" s="183">
        <f t="shared" ref="D63:J63" si="28">_xlfn.MINIFS($F$91:$F$409,$B$91:$B$409,D$3,$E$91:$E$409,"FB")</f>
        <v>0</v>
      </c>
      <c r="E63" s="183">
        <f t="shared" si="28"/>
        <v>0</v>
      </c>
      <c r="F63" s="183">
        <f t="shared" si="28"/>
        <v>0</v>
      </c>
      <c r="G63" s="183">
        <f t="shared" si="28"/>
        <v>0</v>
      </c>
      <c r="H63" s="183">
        <f t="shared" si="28"/>
        <v>0</v>
      </c>
      <c r="I63" s="183">
        <f t="shared" si="28"/>
        <v>0</v>
      </c>
      <c r="J63" s="190">
        <f t="shared" si="28"/>
        <v>0</v>
      </c>
      <c r="K63" s="195">
        <f>_xlfn.MINIFS(F90:F408, E90:E408,"FB 1")</f>
        <v>80.5909561</v>
      </c>
      <c r="L63" s="192"/>
      <c r="M63" s="184"/>
      <c r="N63" s="7"/>
      <c r="O63" s="7"/>
    </row>
    <row r="64" spans="1:16" x14ac:dyDescent="0.2">
      <c r="A64" s="263"/>
      <c r="B64" s="211" t="s">
        <v>205</v>
      </c>
      <c r="C64" s="183">
        <f>_xlfn.MAXIFS($F$91:$F$409,$B$91:$B$409,C$3,$E$91:$E$409,"FB 1")</f>
        <v>85.116757000000007</v>
      </c>
      <c r="D64" s="183">
        <f t="shared" ref="D64:J64" si="29">_xlfn.MAXIFS($F$91:$F$409,$B$91:$B$409,D$3,$E$91:$E$409,"FB")</f>
        <v>0</v>
      </c>
      <c r="E64" s="183">
        <f t="shared" si="29"/>
        <v>0</v>
      </c>
      <c r="F64" s="183">
        <f t="shared" si="29"/>
        <v>0</v>
      </c>
      <c r="G64" s="183">
        <f t="shared" si="29"/>
        <v>0</v>
      </c>
      <c r="H64" s="183">
        <f t="shared" si="29"/>
        <v>0</v>
      </c>
      <c r="I64" s="183">
        <f t="shared" si="29"/>
        <v>0</v>
      </c>
      <c r="J64" s="190">
        <f t="shared" si="29"/>
        <v>0</v>
      </c>
      <c r="K64" s="195">
        <f>_xlfn.MAXIFS(F90:F408, E90:E408,"FB 1")</f>
        <v>85.116757000000007</v>
      </c>
      <c r="L64" s="192"/>
      <c r="M64" s="184"/>
      <c r="N64" s="7"/>
      <c r="O64" s="7"/>
    </row>
    <row r="65" spans="1:15" ht="17" thickBot="1" x14ac:dyDescent="0.25">
      <c r="A65" s="263"/>
      <c r="B65" s="211" t="s">
        <v>211</v>
      </c>
      <c r="C65" s="189">
        <f>AVERAGEIFS($G$91:$G$409,$B$91:$B$409,C$3,$E$91:$E$409,"FB 1")</f>
        <v>2012.1848880000002</v>
      </c>
      <c r="D65" s="189" t="e">
        <f t="shared" ref="D65:J65" si="30">AVERAGEIFS($G$91:$G$409,$B$91:$B$409,D$3,$E$91:$E$409,"FB")</f>
        <v>#DIV/0!</v>
      </c>
      <c r="E65" s="189" t="e">
        <f t="shared" si="30"/>
        <v>#DIV/0!</v>
      </c>
      <c r="F65" s="189" t="e">
        <f t="shared" si="30"/>
        <v>#DIV/0!</v>
      </c>
      <c r="G65" s="189" t="e">
        <f t="shared" si="30"/>
        <v>#DIV/0!</v>
      </c>
      <c r="H65" s="189" t="e">
        <f t="shared" si="30"/>
        <v>#DIV/0!</v>
      </c>
      <c r="I65" s="189" t="e">
        <f t="shared" si="30"/>
        <v>#DIV/0!</v>
      </c>
      <c r="J65" s="191" t="e">
        <f t="shared" si="30"/>
        <v>#DIV/0!</v>
      </c>
      <c r="K65" s="236">
        <f>AVERAGEIFS(G90:G408, E90:E408,"FB 1")</f>
        <v>2012.1848880000002</v>
      </c>
      <c r="L65" s="192"/>
      <c r="M65" s="184"/>
      <c r="N65" s="7"/>
      <c r="O65" s="7"/>
    </row>
    <row r="66" spans="1:15" x14ac:dyDescent="0.2">
      <c r="A66" s="263"/>
      <c r="B66" s="239" t="s">
        <v>236</v>
      </c>
      <c r="C66" s="183">
        <f>AVERAGEIFS($F$91:$F$409,$B$91:$B$409,C$3,$E$91:$E$409,"FB 2")</f>
        <v>81.329375233333337</v>
      </c>
      <c r="D66" s="183" t="e">
        <f t="shared" ref="D66:J66" si="31">AVERAGEIFS($F$91:$F$409,$B$91:$B$409,D$3,$E$91:$E$409,"SL")</f>
        <v>#DIV/0!</v>
      </c>
      <c r="E66" s="183" t="e">
        <f t="shared" si="31"/>
        <v>#DIV/0!</v>
      </c>
      <c r="F66" s="183" t="e">
        <f t="shared" si="31"/>
        <v>#DIV/0!</v>
      </c>
      <c r="G66" s="183" t="e">
        <f t="shared" si="31"/>
        <v>#DIV/0!</v>
      </c>
      <c r="H66" s="183" t="e">
        <f t="shared" si="31"/>
        <v>#DIV/0!</v>
      </c>
      <c r="I66" s="183" t="e">
        <f t="shared" si="31"/>
        <v>#DIV/0!</v>
      </c>
      <c r="J66" s="190" t="e">
        <f t="shared" si="31"/>
        <v>#DIV/0!</v>
      </c>
      <c r="K66" s="194">
        <f>AVERAGEIFS(F90:F408, E90:E408,"FB 2")</f>
        <v>81.598200728571427</v>
      </c>
      <c r="L66" s="192"/>
      <c r="M66" s="184"/>
      <c r="N66" s="7"/>
      <c r="O66" s="7"/>
    </row>
    <row r="67" spans="1:15" x14ac:dyDescent="0.2">
      <c r="A67" s="263"/>
      <c r="B67" s="239" t="s">
        <v>237</v>
      </c>
      <c r="C67" s="183">
        <f>_xlfn.MINIFS($F$91:$F$409,$B$91:$B$409,C$3,$E$91:$E$409,"FB 2")</f>
        <v>79.399955599999998</v>
      </c>
      <c r="D67" s="183">
        <f t="shared" ref="D67:J67" si="32">_xlfn.MINIFS($F$91:$F$409,$B$91:$B$409,D$3,$E$91:$E$409,"SL")</f>
        <v>0</v>
      </c>
      <c r="E67" s="183">
        <f t="shared" si="32"/>
        <v>0</v>
      </c>
      <c r="F67" s="183">
        <f t="shared" si="32"/>
        <v>0</v>
      </c>
      <c r="G67" s="183">
        <f t="shared" si="32"/>
        <v>0</v>
      </c>
      <c r="H67" s="183">
        <f t="shared" si="32"/>
        <v>0</v>
      </c>
      <c r="I67" s="183">
        <f t="shared" si="32"/>
        <v>0</v>
      </c>
      <c r="J67" s="190">
        <f t="shared" si="32"/>
        <v>0</v>
      </c>
      <c r="K67" s="195">
        <f>_xlfn.MINIFS(F90:F408, E90:E408,"FB 2")</f>
        <v>79.399955599999998</v>
      </c>
      <c r="L67" s="192"/>
      <c r="M67" s="184"/>
      <c r="N67" s="7"/>
      <c r="O67" s="7"/>
    </row>
    <row r="68" spans="1:15" x14ac:dyDescent="0.2">
      <c r="A68" s="263"/>
      <c r="B68" s="239" t="s">
        <v>238</v>
      </c>
      <c r="C68" s="183">
        <f>_xlfn.MAXIFS($F$91:$F$409,$B$91:$B$409,C$3,$E$91:$E$409,"FB 2")</f>
        <v>83.068230700000001</v>
      </c>
      <c r="D68" s="183">
        <f t="shared" ref="D68:J68" si="33">_xlfn.MAXIFS($F$91:$F$409,$B$91:$B$409,D$3,$E$91:$E$409,"SL")</f>
        <v>0</v>
      </c>
      <c r="E68" s="183">
        <f t="shared" si="33"/>
        <v>0</v>
      </c>
      <c r="F68" s="183">
        <f t="shared" si="33"/>
        <v>0</v>
      </c>
      <c r="G68" s="183">
        <f t="shared" si="33"/>
        <v>0</v>
      </c>
      <c r="H68" s="183">
        <f t="shared" si="33"/>
        <v>0</v>
      </c>
      <c r="I68" s="183">
        <f t="shared" si="33"/>
        <v>0</v>
      </c>
      <c r="J68" s="190">
        <f t="shared" si="33"/>
        <v>0</v>
      </c>
      <c r="K68" s="195">
        <f>_xlfn.MAXIFS(F90:F408, E90:E408,"FB 2")</f>
        <v>83.211153699999997</v>
      </c>
      <c r="L68" s="192"/>
      <c r="M68" s="184"/>
      <c r="N68" s="7"/>
      <c r="O68" s="7"/>
    </row>
    <row r="69" spans="1:15" ht="17" thickBot="1" x14ac:dyDescent="0.25">
      <c r="A69" s="263"/>
      <c r="B69" s="239" t="s">
        <v>239</v>
      </c>
      <c r="C69" s="189">
        <f>AVERAGEIFS($G$91:$G$409,$B$91:$B$409,C$3,$E$91:$E$409,"FB 2")</f>
        <v>1849.5235616666666</v>
      </c>
      <c r="D69" s="189" t="e">
        <f t="shared" ref="D69:J69" si="34">AVERAGEIFS($G$91:$G$409,$B$91:$B$409,D$3,$E$91:$E$409,"SL")</f>
        <v>#DIV/0!</v>
      </c>
      <c r="E69" s="189" t="e">
        <f t="shared" si="34"/>
        <v>#DIV/0!</v>
      </c>
      <c r="F69" s="189" t="e">
        <f t="shared" si="34"/>
        <v>#DIV/0!</v>
      </c>
      <c r="G69" s="189" t="e">
        <f t="shared" si="34"/>
        <v>#DIV/0!</v>
      </c>
      <c r="H69" s="189" t="e">
        <f t="shared" si="34"/>
        <v>#DIV/0!</v>
      </c>
      <c r="I69" s="189" t="e">
        <f t="shared" si="34"/>
        <v>#DIV/0!</v>
      </c>
      <c r="J69" s="191" t="e">
        <f t="shared" si="34"/>
        <v>#DIV/0!</v>
      </c>
      <c r="K69" s="236">
        <f>AVERAGEIFS(G90:G408, E90:E408,"FB 2")</f>
        <v>1889.9275271428571</v>
      </c>
      <c r="L69" s="192"/>
      <c r="M69" s="184"/>
      <c r="N69" s="7"/>
      <c r="O69" s="7"/>
    </row>
    <row r="70" spans="1:15" x14ac:dyDescent="0.2">
      <c r="A70" s="263"/>
      <c r="B70" s="213" t="s">
        <v>227</v>
      </c>
      <c r="C70" s="183">
        <f>AVERAGEIFS($F$91:$F$409,$B$91:$B$409,C$3,$E$91:$E$409,"CB")</f>
        <v>69.914307899999997</v>
      </c>
      <c r="D70" s="183" t="e">
        <f t="shared" ref="D70:J70" si="35">AVERAGEIFS($F$91:$F$409,$B$91:$B$409,D$3,$E$91:$E$409,"SL")</f>
        <v>#DIV/0!</v>
      </c>
      <c r="E70" s="183" t="e">
        <f t="shared" si="35"/>
        <v>#DIV/0!</v>
      </c>
      <c r="F70" s="183" t="e">
        <f t="shared" si="35"/>
        <v>#DIV/0!</v>
      </c>
      <c r="G70" s="183" t="e">
        <f t="shared" si="35"/>
        <v>#DIV/0!</v>
      </c>
      <c r="H70" s="183" t="e">
        <f t="shared" si="35"/>
        <v>#DIV/0!</v>
      </c>
      <c r="I70" s="183" t="e">
        <f t="shared" si="35"/>
        <v>#DIV/0!</v>
      </c>
      <c r="J70" s="190" t="e">
        <f t="shared" si="35"/>
        <v>#DIV/0!</v>
      </c>
      <c r="K70" s="194">
        <f>AVERAGEIFS(F94:F412, E94:E412,"CB")</f>
        <v>69.935481699999997</v>
      </c>
      <c r="L70" s="192"/>
      <c r="M70" s="184"/>
      <c r="N70" s="7"/>
      <c r="O70" s="7"/>
    </row>
    <row r="71" spans="1:15" x14ac:dyDescent="0.2">
      <c r="A71" s="263"/>
      <c r="B71" s="213" t="s">
        <v>228</v>
      </c>
      <c r="C71" s="183">
        <f>_xlfn.MINIFS($F$91:$F$409,$B$91:$B$409,C$3,$E$91:$E$409,"CB")</f>
        <v>69.871960299999998</v>
      </c>
      <c r="D71" s="183">
        <f t="shared" ref="D71:J71" si="36">_xlfn.MINIFS($F$91:$F$409,$B$91:$B$409,D$3,$E$91:$E$409,"SL")</f>
        <v>0</v>
      </c>
      <c r="E71" s="183">
        <f t="shared" si="36"/>
        <v>0</v>
      </c>
      <c r="F71" s="183">
        <f t="shared" si="36"/>
        <v>0</v>
      </c>
      <c r="G71" s="183">
        <f t="shared" si="36"/>
        <v>0</v>
      </c>
      <c r="H71" s="183">
        <f t="shared" si="36"/>
        <v>0</v>
      </c>
      <c r="I71" s="183">
        <f t="shared" si="36"/>
        <v>0</v>
      </c>
      <c r="J71" s="190">
        <f t="shared" si="36"/>
        <v>0</v>
      </c>
      <c r="K71" s="195">
        <f>_xlfn.MINIFS(F94:F412, E94:E412,"CB")</f>
        <v>69.935481699999997</v>
      </c>
      <c r="L71" s="192"/>
      <c r="M71" s="184"/>
      <c r="N71" s="7"/>
      <c r="O71" s="7"/>
    </row>
    <row r="72" spans="1:15" x14ac:dyDescent="0.2">
      <c r="A72" s="263"/>
      <c r="B72" s="213" t="s">
        <v>229</v>
      </c>
      <c r="C72" s="183">
        <f>_xlfn.MAXIFS($F$91:$F$409,$B$91:$B$409,C$3,$E$91:$E$409,"CB")</f>
        <v>69.935481699999997</v>
      </c>
      <c r="D72" s="183">
        <f t="shared" ref="D72:J72" si="37">_xlfn.MAXIFS($F$91:$F$409,$B$91:$B$409,D$3,$E$91:$E$409,"SL")</f>
        <v>0</v>
      </c>
      <c r="E72" s="183">
        <f t="shared" si="37"/>
        <v>0</v>
      </c>
      <c r="F72" s="183">
        <f t="shared" si="37"/>
        <v>0</v>
      </c>
      <c r="G72" s="183">
        <f t="shared" si="37"/>
        <v>0</v>
      </c>
      <c r="H72" s="183">
        <f t="shared" si="37"/>
        <v>0</v>
      </c>
      <c r="I72" s="183">
        <f t="shared" si="37"/>
        <v>0</v>
      </c>
      <c r="J72" s="190">
        <f t="shared" si="37"/>
        <v>0</v>
      </c>
      <c r="K72" s="195">
        <f>_xlfn.MAXIFS(F94:F412, E94:E412,"CB")</f>
        <v>69.935481699999997</v>
      </c>
      <c r="L72" s="192"/>
      <c r="M72" s="184"/>
      <c r="N72" s="7"/>
      <c r="O72" s="7"/>
    </row>
    <row r="73" spans="1:15" ht="17" thickBot="1" x14ac:dyDescent="0.25">
      <c r="A73" s="263"/>
      <c r="B73" s="213" t="s">
        <v>230</v>
      </c>
      <c r="C73" s="189">
        <f>AVERAGEIFS($G$91:$G$409,$B$91:$B$409,C$3,$E$91:$E$409,"CB")</f>
        <v>2017.8647066666665</v>
      </c>
      <c r="D73" s="189" t="e">
        <f t="shared" ref="D73:J73" si="38">AVERAGEIFS($G$91:$G$409,$B$91:$B$409,D$3,$E$91:$E$409,"SL")</f>
        <v>#DIV/0!</v>
      </c>
      <c r="E73" s="189" t="e">
        <f t="shared" si="38"/>
        <v>#DIV/0!</v>
      </c>
      <c r="F73" s="189" t="e">
        <f t="shared" si="38"/>
        <v>#DIV/0!</v>
      </c>
      <c r="G73" s="189" t="e">
        <f t="shared" si="38"/>
        <v>#DIV/0!</v>
      </c>
      <c r="H73" s="189" t="e">
        <f t="shared" si="38"/>
        <v>#DIV/0!</v>
      </c>
      <c r="I73" s="189" t="e">
        <f t="shared" si="38"/>
        <v>#DIV/0!</v>
      </c>
      <c r="J73" s="191" t="e">
        <f t="shared" si="38"/>
        <v>#DIV/0!</v>
      </c>
      <c r="K73" s="236">
        <f>AVERAGEIFS(G94:G412, E94:E412,"CB")</f>
        <v>2010.443665</v>
      </c>
      <c r="L73" s="192"/>
      <c r="M73" s="184"/>
      <c r="N73" s="7"/>
      <c r="O73" s="7"/>
    </row>
    <row r="74" spans="1:15" x14ac:dyDescent="0.2">
      <c r="A74" s="263"/>
      <c r="B74" s="241" t="s">
        <v>206</v>
      </c>
      <c r="C74" s="183">
        <f>AVERAGEIFS($F$91:$F$409,$B$91:$B$409,C$3,$E$91:$E$409,"SL")</f>
        <v>71.074870974999996</v>
      </c>
      <c r="D74" s="183" t="e">
        <f t="shared" ref="D74:J74" si="39">AVERAGEIFS($F$91:$F$409,$B$91:$B$409,D$3,$E$91:$E$409,"CB")</f>
        <v>#DIV/0!</v>
      </c>
      <c r="E74" s="183" t="e">
        <f t="shared" si="39"/>
        <v>#DIV/0!</v>
      </c>
      <c r="F74" s="183" t="e">
        <f t="shared" si="39"/>
        <v>#DIV/0!</v>
      </c>
      <c r="G74" s="183" t="e">
        <f t="shared" si="39"/>
        <v>#DIV/0!</v>
      </c>
      <c r="H74" s="183" t="e">
        <f t="shared" si="39"/>
        <v>#DIV/0!</v>
      </c>
      <c r="I74" s="183" t="e">
        <f t="shared" si="39"/>
        <v>#DIV/0!</v>
      </c>
      <c r="J74" s="183" t="e">
        <f t="shared" si="39"/>
        <v>#DIV/0!</v>
      </c>
      <c r="K74" s="194">
        <f>AVERAGEIFS(F90:F408, E90:E408,"SL")</f>
        <v>71.074870974999996</v>
      </c>
      <c r="L74" s="192"/>
      <c r="M74" s="184"/>
      <c r="N74" s="7"/>
      <c r="O74" s="7"/>
    </row>
    <row r="75" spans="1:15" x14ac:dyDescent="0.2">
      <c r="A75" s="263"/>
      <c r="B75" s="241" t="s">
        <v>209</v>
      </c>
      <c r="C75" s="183">
        <f>_xlfn.MINIFS($F$91:$F$409,$B$91:$B$409,C$3,$E$91:$E$409,"SL")</f>
        <v>70.443639899999994</v>
      </c>
      <c r="D75" s="183">
        <f t="shared" ref="D75:J75" si="40">_xlfn.MINIFS($F$91:$F$409,$B$91:$B$409,D$3,$E$91:$E$409,"CB")</f>
        <v>0</v>
      </c>
      <c r="E75" s="183">
        <f t="shared" si="40"/>
        <v>0</v>
      </c>
      <c r="F75" s="183">
        <f t="shared" si="40"/>
        <v>0</v>
      </c>
      <c r="G75" s="183">
        <f t="shared" si="40"/>
        <v>0</v>
      </c>
      <c r="H75" s="183">
        <f t="shared" si="40"/>
        <v>0</v>
      </c>
      <c r="I75" s="183">
        <f t="shared" si="40"/>
        <v>0</v>
      </c>
      <c r="J75" s="183">
        <f t="shared" si="40"/>
        <v>0</v>
      </c>
      <c r="K75" s="195">
        <f>_xlfn.MINIFS(F90:F408, E90:E408,"SL")</f>
        <v>70.443639899999994</v>
      </c>
      <c r="L75" s="192"/>
      <c r="M75" s="184"/>
      <c r="N75" s="7"/>
      <c r="O75" s="7"/>
    </row>
    <row r="76" spans="1:15" x14ac:dyDescent="0.2">
      <c r="A76" s="263"/>
      <c r="B76" s="241" t="s">
        <v>207</v>
      </c>
      <c r="C76" s="183">
        <f>_xlfn.MAXIFS($F$91:$F$409,$B$91:$B$409,C$3,$E$91:$E$409,"SL")</f>
        <v>71.841080700000006</v>
      </c>
      <c r="D76" s="183">
        <f t="shared" ref="D76:J76" si="41">_xlfn.MAXIFS($F$91:$F$409,$B$91:$B$409,D$3,$E$91:$E$409,"CB")</f>
        <v>0</v>
      </c>
      <c r="E76" s="183">
        <f t="shared" si="41"/>
        <v>0</v>
      </c>
      <c r="F76" s="183">
        <f t="shared" si="41"/>
        <v>0</v>
      </c>
      <c r="G76" s="183">
        <f t="shared" si="41"/>
        <v>0</v>
      </c>
      <c r="H76" s="183">
        <f t="shared" si="41"/>
        <v>0</v>
      </c>
      <c r="I76" s="183">
        <f t="shared" si="41"/>
        <v>0</v>
      </c>
      <c r="J76" s="183">
        <f t="shared" si="41"/>
        <v>0</v>
      </c>
      <c r="K76" s="195">
        <f>_xlfn.MAXIFS(F90:F408, E90:E408,"SL")</f>
        <v>71.841080700000006</v>
      </c>
      <c r="L76" s="192"/>
      <c r="M76" s="184"/>
      <c r="N76" s="7"/>
      <c r="O76" s="7"/>
    </row>
    <row r="77" spans="1:15" ht="17" thickBot="1" x14ac:dyDescent="0.25">
      <c r="A77" s="263"/>
      <c r="B77" s="241" t="s">
        <v>212</v>
      </c>
      <c r="C77" s="183">
        <f>AVERAGEIFS($G$91:$G$409,$B$91:$B$409,C$3,$E$91:$E$409,"SL")</f>
        <v>2056.1246325000002</v>
      </c>
      <c r="D77" s="183" t="e">
        <f t="shared" ref="D77:J77" si="42">AVERAGEIFS($G$91:$G$409,$B$91:$B$409,D$3,$E$91:$E$409,"CB")</f>
        <v>#DIV/0!</v>
      </c>
      <c r="E77" s="183" t="e">
        <f t="shared" si="42"/>
        <v>#DIV/0!</v>
      </c>
      <c r="F77" s="183" t="e">
        <f t="shared" si="42"/>
        <v>#DIV/0!</v>
      </c>
      <c r="G77" s="183" t="e">
        <f t="shared" si="42"/>
        <v>#DIV/0!</v>
      </c>
      <c r="H77" s="183" t="e">
        <f t="shared" si="42"/>
        <v>#DIV/0!</v>
      </c>
      <c r="I77" s="183" t="e">
        <f t="shared" si="42"/>
        <v>#DIV/0!</v>
      </c>
      <c r="J77" s="183" t="e">
        <f t="shared" si="42"/>
        <v>#DIV/0!</v>
      </c>
      <c r="K77" s="236">
        <f>AVERAGEIFS(G90:G408, E90:E408,"SL")</f>
        <v>2056.1246325000002</v>
      </c>
      <c r="L77" s="192"/>
      <c r="M77" s="184"/>
      <c r="N77" s="7"/>
      <c r="O77" s="7"/>
    </row>
    <row r="78" spans="1:15" ht="16" customHeight="1" x14ac:dyDescent="0.2">
      <c r="A78" s="263"/>
      <c r="B78" s="214" t="s">
        <v>215</v>
      </c>
      <c r="C78" s="183">
        <f t="shared" ref="C78:J78" si="43">AVERAGEIFS($F$91:$F$409,$B$91:$B$409,C$3,$E$91:$E$409,"CH")</f>
        <v>76.806222300000002</v>
      </c>
      <c r="D78" s="183" t="e">
        <f t="shared" si="43"/>
        <v>#DIV/0!</v>
      </c>
      <c r="E78" s="183" t="e">
        <f t="shared" si="43"/>
        <v>#DIV/0!</v>
      </c>
      <c r="F78" s="183" t="e">
        <f t="shared" si="43"/>
        <v>#DIV/0!</v>
      </c>
      <c r="G78" s="183" t="e">
        <f t="shared" si="43"/>
        <v>#DIV/0!</v>
      </c>
      <c r="H78" s="183" t="e">
        <f t="shared" si="43"/>
        <v>#DIV/0!</v>
      </c>
      <c r="I78" s="183" t="e">
        <f t="shared" si="43"/>
        <v>#DIV/0!</v>
      </c>
      <c r="J78" s="190" t="e">
        <f t="shared" si="43"/>
        <v>#DIV/0!</v>
      </c>
      <c r="K78" s="194">
        <f>AVERAGEIFS(F90:F408, E90:E408,"CH")</f>
        <v>76.806222300000002</v>
      </c>
      <c r="L78" s="192"/>
      <c r="M78" s="184"/>
      <c r="N78" s="7"/>
      <c r="O78" s="265"/>
    </row>
    <row r="79" spans="1:15" ht="17" customHeight="1" thickBot="1" x14ac:dyDescent="0.25">
      <c r="A79" s="263"/>
      <c r="B79" s="214" t="s">
        <v>210</v>
      </c>
      <c r="C79" s="183">
        <f t="shared" ref="C79:J79" si="44">_xlfn.MINIFS($F$91:$F$409,$B$91:$B$409,C$3,$E$91:$E$409,"CH")</f>
        <v>76.065159399999999</v>
      </c>
      <c r="D79" s="183">
        <f t="shared" si="44"/>
        <v>0</v>
      </c>
      <c r="E79" s="183">
        <f t="shared" si="44"/>
        <v>0</v>
      </c>
      <c r="F79" s="183">
        <f t="shared" si="44"/>
        <v>0</v>
      </c>
      <c r="G79" s="183">
        <f t="shared" si="44"/>
        <v>0</v>
      </c>
      <c r="H79" s="183">
        <f t="shared" si="44"/>
        <v>0</v>
      </c>
      <c r="I79" s="183">
        <f t="shared" si="44"/>
        <v>0</v>
      </c>
      <c r="J79" s="190">
        <f t="shared" si="44"/>
        <v>0</v>
      </c>
      <c r="K79" s="195">
        <f>_xlfn.MINIFS(F90:F408, E90:E408,"CH")</f>
        <v>76.065159399999999</v>
      </c>
      <c r="L79" s="192"/>
      <c r="M79" s="184"/>
      <c r="N79" s="7"/>
      <c r="O79" s="266"/>
    </row>
    <row r="80" spans="1:15" x14ac:dyDescent="0.2">
      <c r="A80" s="263"/>
      <c r="B80" s="214" t="s">
        <v>214</v>
      </c>
      <c r="C80" s="183">
        <f t="shared" ref="C80:J80" si="45">_xlfn.MAXIFS($F$91:$F$409,$B$91:$B$409,C$3,$E$91:$E$409,"CH")</f>
        <v>78.113672899999997</v>
      </c>
      <c r="D80" s="183">
        <f t="shared" si="45"/>
        <v>0</v>
      </c>
      <c r="E80" s="183">
        <f t="shared" si="45"/>
        <v>0</v>
      </c>
      <c r="F80" s="183">
        <f t="shared" si="45"/>
        <v>0</v>
      </c>
      <c r="G80" s="183">
        <f t="shared" si="45"/>
        <v>0</v>
      </c>
      <c r="H80" s="183">
        <f t="shared" si="45"/>
        <v>0</v>
      </c>
      <c r="I80" s="183">
        <f t="shared" si="45"/>
        <v>0</v>
      </c>
      <c r="J80" s="190">
        <f t="shared" si="45"/>
        <v>0</v>
      </c>
      <c r="K80" s="195">
        <f>_xlfn.MAXIFS(F90:F408, E90:E408,"CH")</f>
        <v>78.113672899999997</v>
      </c>
      <c r="L80" s="192"/>
      <c r="M80" s="184"/>
      <c r="N80" s="7"/>
      <c r="O80" s="7"/>
    </row>
    <row r="81" spans="1:21" ht="17" thickBot="1" x14ac:dyDescent="0.25">
      <c r="A81" s="264"/>
      <c r="B81" s="215" t="s">
        <v>213</v>
      </c>
      <c r="C81" s="189">
        <f t="shared" ref="C81:J81" si="46">AVERAGEIFS($G$91:$G$409,$B$91:$B$409,C$3,$E$91:$E$409,"CH")</f>
        <v>1346.0101066666668</v>
      </c>
      <c r="D81" s="189" t="e">
        <f t="shared" si="46"/>
        <v>#DIV/0!</v>
      </c>
      <c r="E81" s="189" t="e">
        <f t="shared" si="46"/>
        <v>#DIV/0!</v>
      </c>
      <c r="F81" s="189" t="e">
        <f t="shared" si="46"/>
        <v>#DIV/0!</v>
      </c>
      <c r="G81" s="189" t="e">
        <f t="shared" si="46"/>
        <v>#DIV/0!</v>
      </c>
      <c r="H81" s="189" t="e">
        <f t="shared" si="46"/>
        <v>#DIV/0!</v>
      </c>
      <c r="I81" s="189" t="e">
        <f t="shared" si="46"/>
        <v>#DIV/0!</v>
      </c>
      <c r="J81" s="191" t="e">
        <f t="shared" si="46"/>
        <v>#DIV/0!</v>
      </c>
      <c r="K81" s="237">
        <f>AVERAGEIFS(G90:G408, E90:E408,"CH")</f>
        <v>1346.0101066666668</v>
      </c>
      <c r="L81" s="193"/>
      <c r="M81" s="185"/>
      <c r="N81" s="7"/>
      <c r="O81" s="7"/>
    </row>
    <row r="82" spans="1:21" x14ac:dyDescent="0.2">
      <c r="A82" s="267" t="s">
        <v>221</v>
      </c>
      <c r="B82" s="12" t="s">
        <v>217</v>
      </c>
      <c r="C82" s="11">
        <f>AVERAGEIFS($K$90:$K$409,$B$90:$B$409,C$3)</f>
        <v>83.481921849999992</v>
      </c>
      <c r="D82" s="11" t="e">
        <f t="shared" ref="D82:J82" si="47">AVERAGEIFS($K$91:$K$409,$B$91:$B$409,D$3)</f>
        <v>#DIV/0!</v>
      </c>
      <c r="E82" s="11" t="e">
        <f t="shared" si="47"/>
        <v>#DIV/0!</v>
      </c>
      <c r="F82" s="11" t="e">
        <f t="shared" si="47"/>
        <v>#DIV/0!</v>
      </c>
      <c r="G82" s="11" t="e">
        <f t="shared" si="47"/>
        <v>#DIV/0!</v>
      </c>
      <c r="H82" s="11" t="e">
        <f t="shared" si="47"/>
        <v>#DIV/0!</v>
      </c>
      <c r="I82" s="11" t="e">
        <f t="shared" si="47"/>
        <v>#DIV/0!</v>
      </c>
      <c r="J82" s="11" t="e">
        <f t="shared" si="47"/>
        <v>#DIV/0!</v>
      </c>
      <c r="K82" s="198">
        <f>AVERAGE(K90:K408)</f>
        <v>83.481921849999992</v>
      </c>
      <c r="L82" s="10"/>
      <c r="M82" s="10"/>
      <c r="N82" s="7"/>
      <c r="O82" s="7"/>
    </row>
    <row r="83" spans="1:21" x14ac:dyDescent="0.2">
      <c r="A83" s="268"/>
      <c r="B83" s="12" t="s">
        <v>218</v>
      </c>
      <c r="C83" s="11">
        <f>AVERAGEIFS($L$90:$L$409,$B$90:$B$409,C$3)</f>
        <v>8.0121777333333384</v>
      </c>
      <c r="D83" s="11" t="e">
        <f t="shared" ref="D83:J83" si="48">AVERAGEIFS($L$91:$L$409,$B$91:$B$409,D$3)</f>
        <v>#DIV/0!</v>
      </c>
      <c r="E83" s="11" t="e">
        <f t="shared" si="48"/>
        <v>#DIV/0!</v>
      </c>
      <c r="F83" s="11" t="e">
        <f t="shared" si="48"/>
        <v>#DIV/0!</v>
      </c>
      <c r="G83" s="11" t="e">
        <f t="shared" si="48"/>
        <v>#DIV/0!</v>
      </c>
      <c r="H83" s="11" t="e">
        <f t="shared" si="48"/>
        <v>#DIV/0!</v>
      </c>
      <c r="I83" s="11" t="e">
        <f t="shared" si="48"/>
        <v>#DIV/0!</v>
      </c>
      <c r="J83" s="11" t="e">
        <f t="shared" si="48"/>
        <v>#DIV/0!</v>
      </c>
      <c r="K83" s="198">
        <f>AVERAGE(L90:L408)</f>
        <v>8.0121777333333384</v>
      </c>
      <c r="L83" s="10"/>
      <c r="M83" s="10"/>
      <c r="N83" s="7"/>
      <c r="O83" s="7"/>
    </row>
    <row r="84" spans="1:21" x14ac:dyDescent="0.2">
      <c r="A84" s="268"/>
      <c r="B84" s="218" t="s">
        <v>219</v>
      </c>
      <c r="C84" s="11">
        <f>AVERAGEIFS($O$90:$O$409,$B$90:$B$409,C$3)</f>
        <v>293.5</v>
      </c>
      <c r="D84" s="11" t="e">
        <f t="shared" ref="D84:J84" si="49">AVERAGEIFS($O$111:$O$409,$B$91:$B$409,D$3)</f>
        <v>#VALUE!</v>
      </c>
      <c r="E84" s="11" t="e">
        <f t="shared" si="49"/>
        <v>#VALUE!</v>
      </c>
      <c r="F84" s="11" t="e">
        <f t="shared" si="49"/>
        <v>#VALUE!</v>
      </c>
      <c r="G84" s="11" t="e">
        <f t="shared" si="49"/>
        <v>#VALUE!</v>
      </c>
      <c r="H84" s="11" t="e">
        <f t="shared" si="49"/>
        <v>#VALUE!</v>
      </c>
      <c r="I84" s="11" t="e">
        <f t="shared" si="49"/>
        <v>#VALUE!</v>
      </c>
      <c r="J84" s="11" t="e">
        <f t="shared" si="49"/>
        <v>#VALUE!</v>
      </c>
      <c r="K84" s="234" t="e">
        <f>AVERAGE(O378:O408)</f>
        <v>#DIV/0!</v>
      </c>
      <c r="N84" s="7"/>
      <c r="O84" s="7"/>
    </row>
    <row r="85" spans="1:21" x14ac:dyDescent="0.2">
      <c r="A85" s="268"/>
      <c r="B85" s="12" t="s">
        <v>231</v>
      </c>
      <c r="C85" s="33">
        <f>AVERAGEIFS($P$90:$P$409,$B$90:$B$409,C$3)</f>
        <v>0.84485946500000009</v>
      </c>
      <c r="D85" s="33" t="e">
        <f t="shared" ref="D85:J85" si="50">AVERAGEIFS($P$91:$P$409,$B$91:$B$409,D$3)</f>
        <v>#DIV/0!</v>
      </c>
      <c r="E85" s="33" t="e">
        <f t="shared" si="50"/>
        <v>#DIV/0!</v>
      </c>
      <c r="F85" s="33" t="e">
        <f t="shared" si="50"/>
        <v>#DIV/0!</v>
      </c>
      <c r="G85" s="33" t="e">
        <f t="shared" si="50"/>
        <v>#DIV/0!</v>
      </c>
      <c r="H85" s="33" t="e">
        <f t="shared" si="50"/>
        <v>#DIV/0!</v>
      </c>
      <c r="I85" s="33" t="e">
        <f t="shared" si="50"/>
        <v>#DIV/0!</v>
      </c>
      <c r="J85" s="33" t="e">
        <f t="shared" si="50"/>
        <v>#DIV/0!</v>
      </c>
      <c r="K85" s="235" t="e">
        <f>AVERAGE(P378:P408)</f>
        <v>#DIV/0!</v>
      </c>
    </row>
    <row r="86" spans="1:21" ht="17" thickBot="1" x14ac:dyDescent="0.25">
      <c r="A86" s="269"/>
      <c r="B86" s="12" t="s">
        <v>220</v>
      </c>
      <c r="C86" s="33">
        <f>(SUM(C51,C54,C57,C60)/(SUM(C50,C53,C56,C59)))</f>
        <v>0.42857142857142855</v>
      </c>
      <c r="D86" s="33" t="e">
        <f t="shared" ref="D86:J86" si="51">(SUM(D51,D54,D57,D60)/(SUM(D50,D53,D56,D59)))</f>
        <v>#DIV/0!</v>
      </c>
      <c r="E86" s="33" t="e">
        <f t="shared" si="51"/>
        <v>#DIV/0!</v>
      </c>
      <c r="F86" s="33" t="e">
        <f t="shared" si="51"/>
        <v>#DIV/0!</v>
      </c>
      <c r="G86" s="33" t="e">
        <f t="shared" si="51"/>
        <v>#DIV/0!</v>
      </c>
      <c r="H86" s="33" t="e">
        <f t="shared" si="51"/>
        <v>#DIV/0!</v>
      </c>
      <c r="I86" s="33" t="e">
        <f t="shared" si="51"/>
        <v>#DIV/0!</v>
      </c>
      <c r="J86" s="33" t="e">
        <f t="shared" si="51"/>
        <v>#DIV/0!</v>
      </c>
      <c r="K86" s="200">
        <f>(SUM(C51:G51)+SUM(C54:G54)+SUM(C57:G57)+SUM(C60:G60))/(SUM(C50:G50)+SUM(C53:G53)+SUM(C56:G56)+SUM(C59:G59))</f>
        <v>0.42857142857142855</v>
      </c>
    </row>
    <row r="89" spans="1:21" s="6" customFormat="1" x14ac:dyDescent="0.2">
      <c r="A89" s="6" t="s">
        <v>0</v>
      </c>
      <c r="B89" s="6" t="s">
        <v>1</v>
      </c>
      <c r="C89" s="6" t="s">
        <v>2</v>
      </c>
      <c r="D89" s="6" t="s">
        <v>3</v>
      </c>
      <c r="E89" s="12" t="s">
        <v>31</v>
      </c>
      <c r="F89" s="15" t="s">
        <v>30</v>
      </c>
      <c r="G89" s="202" t="s">
        <v>5</v>
      </c>
      <c r="H89" s="21" t="s">
        <v>32</v>
      </c>
      <c r="I89" s="18" t="s">
        <v>203</v>
      </c>
      <c r="J89" s="6" t="s">
        <v>4</v>
      </c>
      <c r="K89" s="15" t="s">
        <v>6</v>
      </c>
      <c r="L89" s="15" t="s">
        <v>7</v>
      </c>
      <c r="M89" s="15" t="s">
        <v>8</v>
      </c>
      <c r="N89" s="15" t="s">
        <v>9</v>
      </c>
      <c r="O89" s="15" t="s">
        <v>11</v>
      </c>
      <c r="P89" s="171" t="s">
        <v>15</v>
      </c>
    </row>
    <row r="90" spans="1:21" x14ac:dyDescent="0.2">
      <c r="A90">
        <v>736</v>
      </c>
      <c r="B90" s="8">
        <v>46214</v>
      </c>
      <c r="C90" s="9">
        <v>0.51364583333333336</v>
      </c>
      <c r="D90" s="7" t="s">
        <v>22</v>
      </c>
      <c r="E90" s="13" t="s">
        <v>54</v>
      </c>
      <c r="F90" s="16">
        <v>83.211153699999997</v>
      </c>
      <c r="G90" s="129">
        <v>2132.3513200000002</v>
      </c>
      <c r="H90" s="22">
        <v>1</v>
      </c>
      <c r="I90" s="19"/>
      <c r="J90" s="7" t="s">
        <v>21</v>
      </c>
      <c r="K90" s="16"/>
      <c r="L90" s="16"/>
      <c r="M90" s="16"/>
      <c r="N90" s="16"/>
      <c r="O90" s="16"/>
      <c r="P90" s="175"/>
      <c r="S90" s="13" t="s">
        <v>49</v>
      </c>
      <c r="T90" s="22">
        <v>1</v>
      </c>
      <c r="U90" s="19"/>
    </row>
    <row r="91" spans="1:21" x14ac:dyDescent="0.2">
      <c r="A91">
        <v>737</v>
      </c>
      <c r="B91" s="8">
        <v>46214</v>
      </c>
      <c r="C91" s="9">
        <v>0.51398148148148148</v>
      </c>
      <c r="D91" s="7" t="s">
        <v>22</v>
      </c>
      <c r="E91" s="13" t="s">
        <v>35</v>
      </c>
      <c r="F91" s="16">
        <v>78.113672899999997</v>
      </c>
      <c r="G91" s="129">
        <v>1513.4408000000001</v>
      </c>
      <c r="H91" s="22">
        <v>1</v>
      </c>
      <c r="I91" s="19" t="s">
        <v>255</v>
      </c>
      <c r="J91" s="7" t="s">
        <v>21</v>
      </c>
      <c r="K91" s="16">
        <v>79.7485298</v>
      </c>
      <c r="L91" s="16">
        <v>51.801097900000002</v>
      </c>
      <c r="M91" s="16">
        <v>26.073770499999998</v>
      </c>
      <c r="N91" s="16">
        <v>59.580103800000003</v>
      </c>
      <c r="O91" s="16">
        <v>275</v>
      </c>
      <c r="P91" s="175">
        <v>0.81757858000000005</v>
      </c>
      <c r="S91" s="13" t="s">
        <v>49</v>
      </c>
      <c r="T91" s="22">
        <v>1</v>
      </c>
      <c r="U91" s="19"/>
    </row>
    <row r="92" spans="1:21" x14ac:dyDescent="0.2">
      <c r="A92">
        <v>738</v>
      </c>
      <c r="B92" s="8">
        <v>46214</v>
      </c>
      <c r="C92" s="9">
        <v>0.51442129629629629</v>
      </c>
      <c r="D92" s="7" t="s">
        <v>22</v>
      </c>
      <c r="E92" s="13" t="s">
        <v>54</v>
      </c>
      <c r="F92" s="16">
        <v>82.560076499999994</v>
      </c>
      <c r="G92" s="129">
        <v>1058.14905</v>
      </c>
      <c r="H92" s="22">
        <v>0</v>
      </c>
      <c r="I92" s="19"/>
      <c r="J92" s="7" t="s">
        <v>27</v>
      </c>
      <c r="K92" s="16"/>
      <c r="L92" s="16"/>
      <c r="M92" s="16"/>
      <c r="N92" s="16"/>
      <c r="O92" s="16"/>
      <c r="P92" s="175"/>
      <c r="S92" s="13" t="s">
        <v>49</v>
      </c>
      <c r="T92" s="22">
        <v>1</v>
      </c>
      <c r="U92" s="19" t="s">
        <v>42</v>
      </c>
    </row>
    <row r="93" spans="1:21" x14ac:dyDescent="0.2">
      <c r="A93">
        <v>739</v>
      </c>
      <c r="B93" s="8">
        <v>46214</v>
      </c>
      <c r="C93" s="9">
        <v>0.51469907407407411</v>
      </c>
      <c r="D93" s="7" t="s">
        <v>22</v>
      </c>
      <c r="E93" s="13" t="s">
        <v>49</v>
      </c>
      <c r="F93" s="16">
        <v>69.871960299999998</v>
      </c>
      <c r="G93" s="129">
        <v>2032.70679</v>
      </c>
      <c r="H93" s="22">
        <v>1</v>
      </c>
      <c r="I93" s="19"/>
      <c r="J93" s="7" t="s">
        <v>27</v>
      </c>
      <c r="K93" s="16"/>
      <c r="L93" s="16"/>
      <c r="M93" s="16"/>
      <c r="N93" s="16"/>
      <c r="O93" s="16"/>
      <c r="P93" s="175"/>
      <c r="S93" s="13" t="s">
        <v>35</v>
      </c>
      <c r="T93" s="22">
        <v>1</v>
      </c>
      <c r="U93" s="19" t="s">
        <v>255</v>
      </c>
    </row>
    <row r="94" spans="1:21" x14ac:dyDescent="0.2">
      <c r="A94">
        <v>740</v>
      </c>
      <c r="B94" s="8">
        <v>46214</v>
      </c>
      <c r="C94" s="9">
        <v>0.51497685185185182</v>
      </c>
      <c r="D94" s="7" t="s">
        <v>22</v>
      </c>
      <c r="E94" s="13" t="s">
        <v>54</v>
      </c>
      <c r="F94" s="16">
        <v>83.068230700000001</v>
      </c>
      <c r="G94" s="129">
        <v>2112.22876</v>
      </c>
      <c r="H94" s="22">
        <v>0</v>
      </c>
      <c r="I94" s="19"/>
      <c r="J94" s="7" t="s">
        <v>27</v>
      </c>
      <c r="K94" s="16"/>
      <c r="L94" s="16"/>
      <c r="M94" s="16"/>
      <c r="N94" s="16"/>
      <c r="O94" s="16"/>
      <c r="P94" s="175"/>
      <c r="S94" s="13" t="s">
        <v>35</v>
      </c>
      <c r="T94" s="22">
        <v>0</v>
      </c>
      <c r="U94" s="19"/>
    </row>
    <row r="95" spans="1:21" x14ac:dyDescent="0.2">
      <c r="A95">
        <v>741</v>
      </c>
      <c r="B95" s="8">
        <v>46214</v>
      </c>
      <c r="C95" s="9">
        <v>0.51530092592592591</v>
      </c>
      <c r="D95" s="7" t="s">
        <v>22</v>
      </c>
      <c r="E95" s="13" t="s">
        <v>54</v>
      </c>
      <c r="F95" s="16">
        <v>80.797392099999996</v>
      </c>
      <c r="G95" s="129">
        <v>2012.5072</v>
      </c>
      <c r="H95" s="22">
        <v>1</v>
      </c>
      <c r="I95" s="19" t="s">
        <v>38</v>
      </c>
      <c r="J95" s="7" t="s">
        <v>27</v>
      </c>
      <c r="K95" s="16"/>
      <c r="L95" s="16"/>
      <c r="M95" s="16"/>
      <c r="N95" s="16">
        <v>69.022988900000001</v>
      </c>
      <c r="O95" s="16"/>
      <c r="P95" s="175"/>
      <c r="S95" s="13" t="s">
        <v>35</v>
      </c>
      <c r="T95" s="22">
        <v>0</v>
      </c>
      <c r="U95" s="19"/>
    </row>
    <row r="96" spans="1:21" x14ac:dyDescent="0.2">
      <c r="A96">
        <v>742</v>
      </c>
      <c r="B96" s="8">
        <v>46214</v>
      </c>
      <c r="C96" s="9">
        <v>0.5158449074074074</v>
      </c>
      <c r="D96" s="7" t="s">
        <v>22</v>
      </c>
      <c r="E96" s="13" t="s">
        <v>35</v>
      </c>
      <c r="F96" s="16">
        <v>76.065159399999999</v>
      </c>
      <c r="G96" s="129">
        <v>1277.96</v>
      </c>
      <c r="H96" s="22">
        <v>0</v>
      </c>
      <c r="I96" s="19"/>
      <c r="J96" s="7" t="s">
        <v>27</v>
      </c>
      <c r="K96" s="16"/>
      <c r="L96" s="16"/>
      <c r="M96" s="16"/>
      <c r="N96" s="16"/>
      <c r="O96" s="16"/>
      <c r="P96" s="175"/>
      <c r="S96" s="13" t="s">
        <v>58</v>
      </c>
      <c r="T96" s="22">
        <v>1</v>
      </c>
      <c r="U96" s="19" t="s">
        <v>39</v>
      </c>
    </row>
    <row r="97" spans="1:21" x14ac:dyDescent="0.2">
      <c r="A97">
        <v>743</v>
      </c>
      <c r="B97" s="8">
        <v>46214</v>
      </c>
      <c r="C97" s="9">
        <v>0.51620370370370372</v>
      </c>
      <c r="D97" s="7" t="s">
        <v>22</v>
      </c>
      <c r="E97" s="13" t="s">
        <v>37</v>
      </c>
      <c r="F97" s="16">
        <v>71.841080700000006</v>
      </c>
      <c r="G97" s="129">
        <v>2081.5102499999998</v>
      </c>
      <c r="H97" s="22">
        <v>0</v>
      </c>
      <c r="I97" s="19" t="s">
        <v>48</v>
      </c>
      <c r="J97" s="7" t="s">
        <v>27</v>
      </c>
      <c r="K97" s="16"/>
      <c r="L97" s="16"/>
      <c r="M97" s="16"/>
      <c r="N97" s="16"/>
      <c r="O97" s="16"/>
      <c r="P97" s="175"/>
      <c r="S97" s="13" t="s">
        <v>58</v>
      </c>
      <c r="T97" s="22">
        <v>0</v>
      </c>
      <c r="U97" s="19"/>
    </row>
    <row r="98" spans="1:21" x14ac:dyDescent="0.2">
      <c r="A98">
        <v>744</v>
      </c>
      <c r="B98" s="8">
        <v>46214</v>
      </c>
      <c r="C98" s="9">
        <v>0.51646990740740739</v>
      </c>
      <c r="D98" s="7" t="s">
        <v>22</v>
      </c>
      <c r="E98" s="13" t="s">
        <v>58</v>
      </c>
      <c r="F98" s="16">
        <v>80.5909561</v>
      </c>
      <c r="G98" s="129">
        <v>1960.67688</v>
      </c>
      <c r="H98" s="22">
        <v>1</v>
      </c>
      <c r="I98" s="19" t="s">
        <v>39</v>
      </c>
      <c r="J98" s="7" t="s">
        <v>27</v>
      </c>
      <c r="K98" s="16"/>
      <c r="L98" s="16"/>
      <c r="M98" s="16"/>
      <c r="N98" s="16">
        <v>67.730212399999999</v>
      </c>
      <c r="O98" s="16"/>
      <c r="P98" s="175"/>
      <c r="S98" s="13" t="s">
        <v>58</v>
      </c>
      <c r="T98" s="22">
        <v>1</v>
      </c>
      <c r="U98" s="19" t="s">
        <v>254</v>
      </c>
    </row>
    <row r="99" spans="1:21" x14ac:dyDescent="0.2">
      <c r="A99">
        <v>745</v>
      </c>
      <c r="B99" s="8">
        <v>46214</v>
      </c>
      <c r="C99" s="9">
        <v>0.51682870370370371</v>
      </c>
      <c r="D99" s="7" t="s">
        <v>22</v>
      </c>
      <c r="E99" s="13" t="s">
        <v>37</v>
      </c>
      <c r="F99" s="16">
        <v>71.269401000000002</v>
      </c>
      <c r="G99" s="129">
        <v>2058.6286599999999</v>
      </c>
      <c r="H99" s="22">
        <v>1</v>
      </c>
      <c r="I99" s="19" t="s">
        <v>39</v>
      </c>
      <c r="J99" s="7" t="s">
        <v>19</v>
      </c>
      <c r="K99" s="16"/>
      <c r="L99" s="16"/>
      <c r="M99" s="16"/>
      <c r="N99" s="16">
        <v>59.0180285</v>
      </c>
      <c r="O99" s="16"/>
      <c r="P99" s="175"/>
      <c r="S99" s="13" t="s">
        <v>58</v>
      </c>
      <c r="T99" s="22">
        <v>1</v>
      </c>
      <c r="U99" s="19" t="s">
        <v>39</v>
      </c>
    </row>
    <row r="100" spans="1:21" x14ac:dyDescent="0.2">
      <c r="A100">
        <v>746</v>
      </c>
      <c r="B100" s="8">
        <v>46214</v>
      </c>
      <c r="C100" s="9">
        <v>0.51712962962962961</v>
      </c>
      <c r="D100" s="7" t="s">
        <v>22</v>
      </c>
      <c r="E100" s="13" t="s">
        <v>49</v>
      </c>
      <c r="F100" s="16">
        <v>69.935481699999997</v>
      </c>
      <c r="G100" s="129">
        <v>2053.5859399999999</v>
      </c>
      <c r="H100" s="22">
        <v>1</v>
      </c>
      <c r="I100" s="19"/>
      <c r="J100" s="7" t="s">
        <v>19</v>
      </c>
      <c r="K100" s="16"/>
      <c r="L100" s="16"/>
      <c r="M100" s="16"/>
      <c r="N100" s="16"/>
      <c r="O100" s="16"/>
      <c r="P100" s="175"/>
      <c r="S100" s="13" t="s">
        <v>58</v>
      </c>
      <c r="T100" s="22">
        <v>1</v>
      </c>
      <c r="U100" s="19" t="s">
        <v>42</v>
      </c>
    </row>
    <row r="101" spans="1:21" x14ac:dyDescent="0.2">
      <c r="A101">
        <v>747</v>
      </c>
      <c r="B101" s="8">
        <v>46214</v>
      </c>
      <c r="C101" s="9">
        <v>0.51775462962962959</v>
      </c>
      <c r="D101" s="7" t="s">
        <v>22</v>
      </c>
      <c r="E101" s="13" t="s">
        <v>58</v>
      </c>
      <c r="F101" s="16">
        <v>84.799154299999998</v>
      </c>
      <c r="G101" s="129">
        <v>1994.0684799999999</v>
      </c>
      <c r="H101" s="22">
        <v>0</v>
      </c>
      <c r="I101" s="19"/>
      <c r="J101" s="7" t="s">
        <v>19</v>
      </c>
      <c r="K101" s="16"/>
      <c r="L101" s="16"/>
      <c r="M101" s="16"/>
      <c r="N101" s="16"/>
      <c r="O101" s="16"/>
      <c r="P101" s="175"/>
      <c r="S101" s="13" t="s">
        <v>54</v>
      </c>
      <c r="T101" s="22">
        <v>1</v>
      </c>
      <c r="U101" s="19"/>
    </row>
    <row r="102" spans="1:21" x14ac:dyDescent="0.2">
      <c r="A102">
        <v>748</v>
      </c>
      <c r="B102" s="8">
        <v>46214</v>
      </c>
      <c r="C102" s="9">
        <v>0.51811342592592591</v>
      </c>
      <c r="D102" s="7" t="s">
        <v>22</v>
      </c>
      <c r="E102" s="13" t="s">
        <v>49</v>
      </c>
      <c r="F102" s="16">
        <v>69.935481699999997</v>
      </c>
      <c r="G102" s="129">
        <v>1967.3013900000001</v>
      </c>
      <c r="H102" s="22">
        <v>1</v>
      </c>
      <c r="I102" s="19" t="s">
        <v>42</v>
      </c>
      <c r="J102" s="7" t="s">
        <v>19</v>
      </c>
      <c r="K102" s="16"/>
      <c r="L102" s="16"/>
      <c r="M102" s="16"/>
      <c r="N102" s="16"/>
      <c r="O102" s="16"/>
      <c r="P102" s="175"/>
      <c r="S102" s="13" t="s">
        <v>54</v>
      </c>
      <c r="T102" s="22">
        <v>0</v>
      </c>
      <c r="U102" s="19"/>
    </row>
    <row r="103" spans="1:21" x14ac:dyDescent="0.2">
      <c r="A103">
        <v>749</v>
      </c>
      <c r="B103" s="8">
        <v>46214</v>
      </c>
      <c r="C103" s="9">
        <v>0.51853009259259264</v>
      </c>
      <c r="D103" s="7" t="s">
        <v>22</v>
      </c>
      <c r="E103" s="13" t="s">
        <v>54</v>
      </c>
      <c r="F103" s="16">
        <v>81.416717199999994</v>
      </c>
      <c r="G103" s="129">
        <v>2013.2243699999999</v>
      </c>
      <c r="H103" s="22">
        <v>0</v>
      </c>
      <c r="I103" s="19"/>
      <c r="J103" s="7" t="s">
        <v>29</v>
      </c>
      <c r="K103" s="16"/>
      <c r="L103" s="16"/>
      <c r="M103" s="16"/>
      <c r="N103" s="16"/>
      <c r="O103" s="16"/>
      <c r="P103" s="175"/>
      <c r="S103" s="13" t="s">
        <v>54</v>
      </c>
      <c r="T103" s="22">
        <v>0</v>
      </c>
      <c r="U103" s="19"/>
    </row>
    <row r="104" spans="1:21" x14ac:dyDescent="0.2">
      <c r="A104">
        <v>750</v>
      </c>
      <c r="B104" s="8">
        <v>46214</v>
      </c>
      <c r="C104" s="9">
        <v>0.5188194444444445</v>
      </c>
      <c r="D104" s="7" t="s">
        <v>22</v>
      </c>
      <c r="E104" s="13" t="s">
        <v>54</v>
      </c>
      <c r="F104" s="16">
        <v>79.399955599999998</v>
      </c>
      <c r="G104" s="129">
        <v>1957.25037</v>
      </c>
      <c r="H104" s="22">
        <v>0</v>
      </c>
      <c r="I104" s="19"/>
      <c r="J104" s="7" t="s">
        <v>29</v>
      </c>
      <c r="K104" s="16"/>
      <c r="L104" s="16"/>
      <c r="M104" s="16"/>
      <c r="N104" s="16"/>
      <c r="O104" s="16"/>
      <c r="P104" s="175"/>
      <c r="S104" s="13" t="s">
        <v>54</v>
      </c>
      <c r="T104" s="22">
        <v>1</v>
      </c>
      <c r="U104" s="19" t="s">
        <v>38</v>
      </c>
    </row>
    <row r="105" spans="1:21" x14ac:dyDescent="0.2">
      <c r="A105">
        <v>751</v>
      </c>
      <c r="B105" s="8">
        <v>46214</v>
      </c>
      <c r="C105" s="9">
        <v>0.51932870370370365</v>
      </c>
      <c r="D105" s="7" t="s">
        <v>22</v>
      </c>
      <c r="E105" s="13" t="s">
        <v>54</v>
      </c>
      <c r="F105" s="16">
        <v>80.733879299999998</v>
      </c>
      <c r="G105" s="129">
        <v>1943.78162</v>
      </c>
      <c r="H105" s="22">
        <v>0</v>
      </c>
      <c r="I105" s="19"/>
      <c r="J105" s="7" t="s">
        <v>29</v>
      </c>
      <c r="K105" s="16"/>
      <c r="L105" s="16"/>
      <c r="M105" s="16"/>
      <c r="N105" s="16"/>
      <c r="O105" s="16"/>
      <c r="P105" s="175"/>
      <c r="S105" s="13" t="s">
        <v>54</v>
      </c>
      <c r="T105" s="22">
        <v>0</v>
      </c>
      <c r="U105" s="19"/>
    </row>
    <row r="106" spans="1:21" x14ac:dyDescent="0.2">
      <c r="A106">
        <v>752</v>
      </c>
      <c r="B106" s="8">
        <v>46214</v>
      </c>
      <c r="C106" s="9">
        <v>0.51960648148148147</v>
      </c>
      <c r="D106" s="7" t="s">
        <v>22</v>
      </c>
      <c r="E106" s="13" t="s">
        <v>58</v>
      </c>
      <c r="F106" s="16">
        <v>82.575956899999994</v>
      </c>
      <c r="G106" s="129">
        <v>2012.5124499999999</v>
      </c>
      <c r="H106" s="22">
        <v>1</v>
      </c>
      <c r="I106" s="19" t="s">
        <v>254</v>
      </c>
      <c r="J106" s="7" t="s">
        <v>29</v>
      </c>
      <c r="K106" s="16">
        <v>87.215313899999998</v>
      </c>
      <c r="L106" s="16">
        <v>33.304485300000003</v>
      </c>
      <c r="M106" s="16">
        <v>-17.669716000000001</v>
      </c>
      <c r="N106" s="16">
        <v>60.423220499999999</v>
      </c>
      <c r="O106" s="16">
        <v>312</v>
      </c>
      <c r="P106" s="175">
        <v>0.87214035000000001</v>
      </c>
      <c r="S106" s="13" t="s">
        <v>54</v>
      </c>
      <c r="T106" s="22">
        <v>0</v>
      </c>
      <c r="U106" s="19"/>
    </row>
    <row r="107" spans="1:21" x14ac:dyDescent="0.2">
      <c r="A107">
        <v>753</v>
      </c>
      <c r="B107" s="8">
        <v>46214</v>
      </c>
      <c r="C107" s="9">
        <v>0.52012731481481478</v>
      </c>
      <c r="D107" s="7" t="s">
        <v>22</v>
      </c>
      <c r="E107" s="13" t="s">
        <v>37</v>
      </c>
      <c r="F107" s="16">
        <v>70.745362299999996</v>
      </c>
      <c r="G107" s="129">
        <v>2008.1374499999999</v>
      </c>
      <c r="H107" s="22">
        <v>0</v>
      </c>
      <c r="I107" s="19"/>
      <c r="J107" s="7" t="s">
        <v>20</v>
      </c>
      <c r="K107" s="16"/>
      <c r="L107" s="16"/>
      <c r="M107" s="16"/>
      <c r="N107" s="16"/>
      <c r="O107" s="16"/>
      <c r="P107" s="177"/>
      <c r="S107" s="13" t="s">
        <v>54</v>
      </c>
      <c r="T107" s="22">
        <v>0</v>
      </c>
      <c r="U107" s="19"/>
    </row>
    <row r="108" spans="1:21" x14ac:dyDescent="0.2">
      <c r="A108">
        <v>754</v>
      </c>
      <c r="B108" s="8">
        <v>46214</v>
      </c>
      <c r="C108" s="9">
        <v>0.52033564814814814</v>
      </c>
      <c r="D108" s="7" t="s">
        <v>22</v>
      </c>
      <c r="E108" s="13" t="s">
        <v>37</v>
      </c>
      <c r="F108" s="16">
        <v>70.443639899999994</v>
      </c>
      <c r="G108" s="129">
        <v>2076.22217</v>
      </c>
      <c r="H108" s="22">
        <v>1</v>
      </c>
      <c r="I108" s="19"/>
      <c r="J108" s="7" t="s">
        <v>20</v>
      </c>
      <c r="K108" s="16"/>
      <c r="L108" s="16"/>
      <c r="M108" s="16"/>
      <c r="N108" s="16"/>
      <c r="O108" s="16"/>
      <c r="P108" s="175"/>
      <c r="S108" s="13" t="s">
        <v>37</v>
      </c>
      <c r="T108" s="22">
        <v>0</v>
      </c>
      <c r="U108" s="19" t="s">
        <v>48</v>
      </c>
    </row>
    <row r="109" spans="1:21" x14ac:dyDescent="0.2">
      <c r="A109">
        <v>755</v>
      </c>
      <c r="B109" s="8">
        <v>46214</v>
      </c>
      <c r="C109" s="9">
        <v>0.52069444444444446</v>
      </c>
      <c r="D109" s="7" t="s">
        <v>22</v>
      </c>
      <c r="E109" s="13" t="s">
        <v>35</v>
      </c>
      <c r="F109" s="16">
        <v>76.239834599999995</v>
      </c>
      <c r="G109" s="129">
        <v>1246.62952</v>
      </c>
      <c r="H109" s="22">
        <v>0</v>
      </c>
      <c r="I109" s="19"/>
      <c r="J109" s="7" t="s">
        <v>20</v>
      </c>
      <c r="K109" s="16"/>
      <c r="L109" s="16"/>
      <c r="M109" s="16"/>
      <c r="N109" s="16"/>
      <c r="O109" s="16"/>
      <c r="P109" s="175"/>
      <c r="S109" s="13" t="s">
        <v>37</v>
      </c>
      <c r="T109" s="22">
        <v>1</v>
      </c>
      <c r="U109" s="19" t="s">
        <v>39</v>
      </c>
    </row>
    <row r="110" spans="1:21" x14ac:dyDescent="0.2">
      <c r="A110">
        <v>756</v>
      </c>
      <c r="B110" s="8">
        <v>46214</v>
      </c>
      <c r="C110" s="9">
        <v>0.52097222222222217</v>
      </c>
      <c r="D110" s="7" t="s">
        <v>22</v>
      </c>
      <c r="E110" s="13" t="s">
        <v>58</v>
      </c>
      <c r="F110" s="16">
        <v>84.418034599999999</v>
      </c>
      <c r="G110" s="129">
        <v>1995.7374299999999</v>
      </c>
      <c r="H110" s="22">
        <v>1</v>
      </c>
      <c r="I110" s="19" t="s">
        <v>39</v>
      </c>
      <c r="J110" s="7" t="s">
        <v>20</v>
      </c>
      <c r="K110" s="16"/>
      <c r="L110" s="16">
        <v>-61.069049999999997</v>
      </c>
      <c r="M110" s="16">
        <v>-3.003314</v>
      </c>
      <c r="N110" s="16">
        <v>64.919830500000003</v>
      </c>
      <c r="O110" s="16"/>
      <c r="P110" s="175"/>
      <c r="S110" s="13" t="s">
        <v>37</v>
      </c>
      <c r="T110" s="22">
        <v>0</v>
      </c>
      <c r="U110" s="19"/>
    </row>
    <row r="111" spans="1:21" x14ac:dyDescent="0.2">
      <c r="A111">
        <v>757</v>
      </c>
      <c r="B111" s="8">
        <v>46214</v>
      </c>
      <c r="C111" s="9">
        <v>0.52129629629629626</v>
      </c>
      <c r="D111" s="7" t="s">
        <v>22</v>
      </c>
      <c r="E111" s="13" t="s">
        <v>58</v>
      </c>
      <c r="F111" s="16">
        <v>85.116757000000007</v>
      </c>
      <c r="G111" s="129">
        <v>2097.9292</v>
      </c>
      <c r="H111" s="22">
        <v>1</v>
      </c>
      <c r="I111" s="19" t="s">
        <v>42</v>
      </c>
      <c r="J111" s="7" t="s">
        <v>20</v>
      </c>
      <c r="K111" s="16"/>
      <c r="L111" s="16"/>
      <c r="M111" s="16"/>
      <c r="N111" s="16"/>
      <c r="O111" s="16"/>
      <c r="P111" s="175"/>
      <c r="Q111" s="16"/>
      <c r="R111" s="16"/>
      <c r="S111" s="13" t="s">
        <v>37</v>
      </c>
      <c r="T111" s="22">
        <v>1</v>
      </c>
      <c r="U111" s="19"/>
    </row>
  </sheetData>
  <sortState xmlns:xlrd2="http://schemas.microsoft.com/office/spreadsheetml/2017/richdata2" ref="S90:U111">
    <sortCondition ref="S90:S111"/>
  </sortState>
  <mergeCells count="9">
    <mergeCell ref="O78:O79"/>
    <mergeCell ref="B1:M1"/>
    <mergeCell ref="B2:M2"/>
    <mergeCell ref="A82:A86"/>
    <mergeCell ref="A5:A25"/>
    <mergeCell ref="A26:A33"/>
    <mergeCell ref="A34:A49"/>
    <mergeCell ref="A50:A61"/>
    <mergeCell ref="A62:A81"/>
  </mergeCells>
  <conditionalFormatting sqref="C9:M9">
    <cfRule type="cellIs" dxfId="27" priority="27" operator="lessThan">
      <formula>0.625</formula>
    </cfRule>
    <cfRule type="cellIs" dxfId="26" priority="28" operator="greaterThanOrEqual">
      <formula>0.625</formula>
    </cfRule>
  </conditionalFormatting>
  <conditionalFormatting sqref="C37:M37">
    <cfRule type="cellIs" dxfId="25" priority="30" operator="greaterThanOrEqual">
      <formula>0.625</formula>
    </cfRule>
    <cfRule type="cellIs" dxfId="24" priority="29" operator="lessThan">
      <formula>0.625</formula>
    </cfRule>
  </conditionalFormatting>
  <conditionalFormatting sqref="C41:M41 C45:M45 C49:M49">
    <cfRule type="cellIs" dxfId="23" priority="31" operator="lessThan">
      <formula>0.6</formula>
    </cfRule>
    <cfRule type="cellIs" dxfId="22" priority="32" operator="greaterThanOrEqual">
      <formula>0.6</formula>
    </cfRule>
  </conditionalFormatting>
  <conditionalFormatting sqref="D89:D111">
    <cfRule type="containsText" dxfId="21" priority="13" operator="containsText" text="Jonathon Van Ness">
      <formula>NOT(ISERROR(SEARCH("Jonathon Van Ness",D89)))</formula>
    </cfRule>
    <cfRule type="containsText" dxfId="20" priority="14" operator="containsText" text="Reagan Samples">
      <formula>NOT(ISERROR(SEARCH("Reagan Samples",D89)))</formula>
    </cfRule>
    <cfRule type="containsText" dxfId="19" priority="15" operator="containsText" text="Gabriel Esteban">
      <formula>NOT(ISERROR(SEARCH("Gabriel Esteban",D89)))</formula>
    </cfRule>
    <cfRule type="containsText" dxfId="18" priority="16" operator="containsText" text="Drew Craig">
      <formula>NOT(ISERROR(SEARCH("Drew Craig",D89)))</formula>
    </cfRule>
    <cfRule type="containsText" dxfId="17" priority="17" operator="containsText" text="Sebastian Garcia">
      <formula>NOT(ISERROR(SEARCH("Sebastian Garcia",D89)))</formula>
    </cfRule>
  </conditionalFormatting>
  <conditionalFormatting sqref="I89:I111">
    <cfRule type="containsText" dxfId="16" priority="9" operator="containsText" text="In Play">
      <formula>NOT(ISERROR(SEARCH("In Play",I89)))</formula>
    </cfRule>
    <cfRule type="containsText" dxfId="15" priority="10" operator="containsText" text="bK">
      <formula>NOT(ISERROR(SEARCH("bK",I89)))</formula>
    </cfRule>
    <cfRule type="containsText" dxfId="14" priority="11" operator="containsText" text="K">
      <formula>NOT(ISERROR(SEARCH("K",I89)))</formula>
    </cfRule>
    <cfRule type="containsText" dxfId="13" priority="12" operator="containsText" text="BB">
      <formula>NOT(ISERROR(SEARCH("BB",I89)))</formula>
    </cfRule>
  </conditionalFormatting>
  <conditionalFormatting sqref="J89:J111">
    <cfRule type="containsText" dxfId="12" priority="19" operator="containsText" text="Ryan Han">
      <formula>NOT(ISERROR(SEARCH("Ryan Han",J89)))</formula>
    </cfRule>
    <cfRule type="containsText" dxfId="11" priority="21" operator="containsText" text="Jackson Orr">
      <formula>NOT(ISERROR(SEARCH("Jackson Orr",J89)))</formula>
    </cfRule>
    <cfRule type="containsText" dxfId="10" priority="22" operator="containsText" text="Carter Walsh">
      <formula>NOT(ISERROR(SEARCH("Carter Walsh",J89)))</formula>
    </cfRule>
    <cfRule type="containsText" dxfId="9" priority="23" operator="containsText" text="Easton Steck">
      <formula>NOT(ISERROR(SEARCH("Easton Steck",J89)))</formula>
    </cfRule>
    <cfRule type="containsText" dxfId="8" priority="24" operator="containsText" text="Michael Caranna">
      <formula>NOT(ISERROR(SEARCH("Michael Caranna",J89)))</formula>
    </cfRule>
    <cfRule type="containsText" dxfId="7" priority="25" operator="containsText" text="Michael Chang">
      <formula>NOT(ISERROR(SEARCH("Michael Chang",J89)))</formula>
    </cfRule>
    <cfRule type="containsText" dxfId="6" priority="26" operator="containsText" text="Aidan Young">
      <formula>NOT(ISERROR(SEARCH("Aidan Young",J89)))</formula>
    </cfRule>
    <cfRule type="containsText" dxfId="5" priority="20" operator="containsText" text="Reagan Samples">
      <formula>NOT(ISERROR(SEARCH("Reagan Samples",J89)))</formula>
    </cfRule>
    <cfRule type="containsText" dxfId="4" priority="18" operator="containsText" text="Caleb Koontz">
      <formula>NOT(ISERROR(SEARCH("Caleb Koontz",J89)))</formula>
    </cfRule>
  </conditionalFormatting>
  <conditionalFormatting sqref="U90:U111">
    <cfRule type="containsText" dxfId="3" priority="4" operator="containsText" text="BB">
      <formula>NOT(ISERROR(SEARCH("BB",U90)))</formula>
    </cfRule>
    <cfRule type="containsText" dxfId="2" priority="3" operator="containsText" text="K">
      <formula>NOT(ISERROR(SEARCH("K",U90)))</formula>
    </cfRule>
    <cfRule type="containsText" dxfId="1" priority="2" operator="containsText" text="bK">
      <formula>NOT(ISERROR(SEARCH("bK",U90)))</formula>
    </cfRule>
    <cfRule type="containsText" dxfId="0" priority="1" operator="containsText" text="In Play">
      <formula>NOT(ISERROR(SEARCH("In Play",U90)))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053A7-D80A-8C44-B591-F58DE824BABE}">
  <dimension ref="A1:O80"/>
  <sheetViews>
    <sheetView workbookViewId="0"/>
  </sheetViews>
  <sheetFormatPr baseColWidth="10" defaultRowHeight="16" x14ac:dyDescent="0.2"/>
  <sheetData>
    <row r="1" spans="1:15" ht="33" thickBot="1" x14ac:dyDescent="0.45">
      <c r="A1" s="7"/>
      <c r="B1" s="278" t="s">
        <v>128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80"/>
      <c r="N1" s="7"/>
      <c r="O1" s="7"/>
    </row>
    <row r="2" spans="1:15" ht="23" thickBot="1" x14ac:dyDescent="0.25">
      <c r="A2" s="7"/>
      <c r="B2" s="281" t="s">
        <v>135</v>
      </c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3"/>
      <c r="N2" s="7"/>
      <c r="O2" s="7"/>
    </row>
    <row r="3" spans="1:15" x14ac:dyDescent="0.2">
      <c r="A3" s="7"/>
      <c r="B3" s="42" t="s">
        <v>1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4"/>
      <c r="N3" s="7"/>
      <c r="O3" s="7"/>
    </row>
    <row r="4" spans="1:15" ht="17" thickBot="1" x14ac:dyDescent="0.25">
      <c r="A4" s="7"/>
      <c r="B4" s="45" t="s">
        <v>61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7"/>
      <c r="N4" s="7"/>
      <c r="O4" s="7"/>
    </row>
    <row r="5" spans="1:15" ht="16" customHeight="1" x14ac:dyDescent="0.2">
      <c r="A5" s="284" t="s">
        <v>62</v>
      </c>
      <c r="B5" s="48" t="s">
        <v>63</v>
      </c>
      <c r="C5" s="49">
        <v>0</v>
      </c>
      <c r="D5" s="50">
        <v>0</v>
      </c>
      <c r="E5" s="50">
        <v>0</v>
      </c>
      <c r="F5" s="50">
        <v>0</v>
      </c>
      <c r="G5" s="50">
        <v>0</v>
      </c>
      <c r="H5" s="50">
        <v>0</v>
      </c>
      <c r="I5" s="50">
        <v>0</v>
      </c>
      <c r="J5" s="50">
        <v>0</v>
      </c>
      <c r="K5" s="50">
        <v>0</v>
      </c>
      <c r="L5" s="50">
        <v>0</v>
      </c>
      <c r="M5" s="50">
        <v>0</v>
      </c>
      <c r="N5" s="7"/>
      <c r="O5" s="7"/>
    </row>
    <row r="6" spans="1:15" x14ac:dyDescent="0.2">
      <c r="A6" s="285"/>
      <c r="B6" s="48" t="s">
        <v>64</v>
      </c>
      <c r="C6" s="49">
        <v>0</v>
      </c>
      <c r="D6" s="50">
        <v>0</v>
      </c>
      <c r="E6" s="50">
        <v>0</v>
      </c>
      <c r="F6" s="50">
        <v>0</v>
      </c>
      <c r="G6" s="50">
        <v>0</v>
      </c>
      <c r="H6" s="50">
        <v>0</v>
      </c>
      <c r="I6" s="50">
        <v>0</v>
      </c>
      <c r="J6" s="50">
        <v>0</v>
      </c>
      <c r="K6" s="50">
        <v>0</v>
      </c>
      <c r="L6" s="50">
        <v>0</v>
      </c>
      <c r="M6" s="50">
        <v>0</v>
      </c>
      <c r="N6" s="7"/>
      <c r="O6" s="7"/>
    </row>
    <row r="7" spans="1:15" x14ac:dyDescent="0.2">
      <c r="A7" s="285"/>
      <c r="B7" s="48" t="s">
        <v>65</v>
      </c>
      <c r="C7" s="51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7"/>
      <c r="O7" s="7"/>
    </row>
    <row r="8" spans="1:15" x14ac:dyDescent="0.2">
      <c r="A8" s="285"/>
      <c r="B8" s="48" t="s">
        <v>66</v>
      </c>
      <c r="C8" s="51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7"/>
      <c r="O8" s="7"/>
    </row>
    <row r="9" spans="1:15" x14ac:dyDescent="0.2">
      <c r="A9" s="285"/>
      <c r="B9" s="48" t="s">
        <v>59</v>
      </c>
      <c r="C9" s="51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7"/>
      <c r="O9" s="7"/>
    </row>
    <row r="10" spans="1:15" x14ac:dyDescent="0.2">
      <c r="A10" s="285"/>
      <c r="B10" s="48" t="s">
        <v>67</v>
      </c>
      <c r="C10" s="51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7"/>
      <c r="O10" s="7"/>
    </row>
    <row r="11" spans="1:15" x14ac:dyDescent="0.2">
      <c r="A11" s="285"/>
      <c r="B11" s="48" t="s">
        <v>68</v>
      </c>
      <c r="C11" s="51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7"/>
      <c r="O11" s="7"/>
    </row>
    <row r="12" spans="1:15" x14ac:dyDescent="0.2">
      <c r="A12" s="285"/>
      <c r="B12" s="48" t="s">
        <v>69</v>
      </c>
      <c r="C12" s="51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7"/>
      <c r="O12" s="7"/>
    </row>
    <row r="13" spans="1:15" x14ac:dyDescent="0.2">
      <c r="A13" s="285"/>
      <c r="B13" s="48" t="s">
        <v>59</v>
      </c>
      <c r="C13" s="51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7"/>
      <c r="O13" s="7"/>
    </row>
    <row r="14" spans="1:15" x14ac:dyDescent="0.2">
      <c r="A14" s="285"/>
      <c r="B14" s="48" t="s">
        <v>70</v>
      </c>
      <c r="C14" s="53" t="e">
        <v>#DIV/0!</v>
      </c>
      <c r="D14" s="53" t="e">
        <v>#DIV/0!</v>
      </c>
      <c r="E14" s="53" t="e">
        <v>#DIV/0!</v>
      </c>
      <c r="F14" s="53" t="e">
        <v>#DIV/0!</v>
      </c>
      <c r="G14" s="53" t="e">
        <v>#DIV/0!</v>
      </c>
      <c r="H14" s="53" t="e">
        <v>#DIV/0!</v>
      </c>
      <c r="I14" s="53" t="e">
        <v>#DIV/0!</v>
      </c>
      <c r="J14" s="53" t="e">
        <v>#DIV/0!</v>
      </c>
      <c r="K14" s="53" t="e">
        <v>#DIV/0!</v>
      </c>
      <c r="L14" s="53" t="e">
        <v>#DIV/0!</v>
      </c>
      <c r="M14" s="53" t="e">
        <v>#DIV/0!</v>
      </c>
      <c r="N14" s="7"/>
      <c r="O14" s="7"/>
    </row>
    <row r="15" spans="1:15" x14ac:dyDescent="0.2">
      <c r="A15" s="285"/>
      <c r="B15" s="48" t="s">
        <v>71</v>
      </c>
      <c r="C15" s="16" t="e">
        <v>#DIV/0!</v>
      </c>
      <c r="D15" s="16" t="e">
        <v>#DIV/0!</v>
      </c>
      <c r="E15" s="16" t="e">
        <v>#DIV/0!</v>
      </c>
      <c r="F15" s="16" t="e">
        <v>#DIV/0!</v>
      </c>
      <c r="G15" s="16" t="e">
        <v>#DIV/0!</v>
      </c>
      <c r="H15" s="16" t="e">
        <v>#DIV/0!</v>
      </c>
      <c r="I15" s="16" t="e">
        <v>#DIV/0!</v>
      </c>
      <c r="J15" s="16" t="e">
        <v>#DIV/0!</v>
      </c>
      <c r="K15" s="16" t="e">
        <v>#DIV/0!</v>
      </c>
      <c r="L15" s="16" t="e">
        <v>#DIV/0!</v>
      </c>
      <c r="M15" s="16" t="e">
        <v>#DIV/0!</v>
      </c>
      <c r="N15" s="7"/>
      <c r="O15" s="7"/>
    </row>
    <row r="16" spans="1:15" x14ac:dyDescent="0.2">
      <c r="A16" s="285"/>
      <c r="B16" s="48" t="s">
        <v>72</v>
      </c>
      <c r="C16" s="16" t="e">
        <v>#DIV/0!</v>
      </c>
      <c r="D16" s="16" t="e">
        <v>#DIV/0!</v>
      </c>
      <c r="E16" s="16" t="e">
        <v>#DIV/0!</v>
      </c>
      <c r="F16" s="16" t="e">
        <v>#DIV/0!</v>
      </c>
      <c r="G16" s="16" t="e">
        <v>#DIV/0!</v>
      </c>
      <c r="H16" s="16" t="e">
        <v>#DIV/0!</v>
      </c>
      <c r="I16" s="16" t="e">
        <v>#DIV/0!</v>
      </c>
      <c r="J16" s="16" t="e">
        <v>#DIV/0!</v>
      </c>
      <c r="K16" s="16" t="e">
        <v>#DIV/0!</v>
      </c>
      <c r="L16" s="16" t="e">
        <v>#DIV/0!</v>
      </c>
      <c r="M16" s="16" t="e">
        <v>#DIV/0!</v>
      </c>
      <c r="N16" s="7"/>
      <c r="O16" s="7"/>
    </row>
    <row r="17" spans="1:15" x14ac:dyDescent="0.2">
      <c r="A17" s="285"/>
      <c r="B17" s="48" t="s">
        <v>73</v>
      </c>
      <c r="C17" s="54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7"/>
      <c r="O17" s="7"/>
    </row>
    <row r="18" spans="1:15" x14ac:dyDescent="0.2">
      <c r="A18" s="285"/>
      <c r="B18" s="48" t="s">
        <v>74</v>
      </c>
      <c r="C18" s="51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7"/>
      <c r="O18" s="7"/>
    </row>
    <row r="19" spans="1:15" x14ac:dyDescent="0.2">
      <c r="A19" s="285"/>
      <c r="B19" s="48" t="s">
        <v>51</v>
      </c>
      <c r="C19" s="51">
        <v>0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7"/>
      <c r="O19" s="7"/>
    </row>
    <row r="20" spans="1:15" x14ac:dyDescent="0.2">
      <c r="A20" s="285"/>
      <c r="B20" s="48" t="s">
        <v>48</v>
      </c>
      <c r="C20" s="51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7"/>
      <c r="O20" s="7"/>
    </row>
    <row r="21" spans="1:15" x14ac:dyDescent="0.2">
      <c r="A21" s="285"/>
      <c r="B21" s="48" t="s">
        <v>75</v>
      </c>
      <c r="C21" s="53" t="e">
        <v>#DIV/0!</v>
      </c>
      <c r="D21" s="53" t="e">
        <v>#DIV/0!</v>
      </c>
      <c r="E21" s="53" t="e">
        <v>#DIV/0!</v>
      </c>
      <c r="F21" s="53" t="e">
        <v>#DIV/0!</v>
      </c>
      <c r="G21" s="53" t="e">
        <v>#DIV/0!</v>
      </c>
      <c r="H21" s="53" t="e">
        <v>#DIV/0!</v>
      </c>
      <c r="I21" s="53" t="e">
        <v>#DIV/0!</v>
      </c>
      <c r="J21" s="53" t="e">
        <v>#DIV/0!</v>
      </c>
      <c r="K21" s="53" t="e">
        <v>#DIV/0!</v>
      </c>
      <c r="L21" s="53" t="e">
        <v>#DIV/0!</v>
      </c>
      <c r="M21" s="53" t="e">
        <v>#DIV/0!</v>
      </c>
      <c r="N21" s="7"/>
      <c r="O21" s="7"/>
    </row>
    <row r="22" spans="1:15" x14ac:dyDescent="0.2">
      <c r="A22" s="285"/>
      <c r="B22" s="48" t="s">
        <v>76</v>
      </c>
      <c r="C22" s="16" t="e">
        <v>#DIV/0!</v>
      </c>
      <c r="D22" s="16" t="e">
        <v>#DIV/0!</v>
      </c>
      <c r="E22" s="16" t="e">
        <v>#DIV/0!</v>
      </c>
      <c r="F22" s="16" t="e">
        <v>#DIV/0!</v>
      </c>
      <c r="G22" s="16" t="e">
        <v>#DIV/0!</v>
      </c>
      <c r="H22" s="16" t="e">
        <v>#DIV/0!</v>
      </c>
      <c r="I22" s="16" t="e">
        <v>#DIV/0!</v>
      </c>
      <c r="J22" s="16" t="e">
        <v>#DIV/0!</v>
      </c>
      <c r="K22" s="16" t="e">
        <v>#DIV/0!</v>
      </c>
      <c r="L22" s="16" t="e">
        <v>#DIV/0!</v>
      </c>
      <c r="M22" s="16" t="e">
        <v>#DIV/0!</v>
      </c>
      <c r="N22" s="7"/>
      <c r="O22" s="7"/>
    </row>
    <row r="23" spans="1:15" x14ac:dyDescent="0.2">
      <c r="A23" s="285"/>
      <c r="B23" s="48" t="s">
        <v>41</v>
      </c>
      <c r="C23" s="56">
        <v>0</v>
      </c>
      <c r="D23" s="57">
        <v>0</v>
      </c>
      <c r="E23" s="57">
        <v>0</v>
      </c>
      <c r="F23" s="57">
        <v>0</v>
      </c>
      <c r="G23" s="57">
        <v>0</v>
      </c>
      <c r="H23" s="57">
        <v>0</v>
      </c>
      <c r="I23" s="57">
        <v>0</v>
      </c>
      <c r="J23" s="57">
        <v>0</v>
      </c>
      <c r="K23" s="57">
        <v>0</v>
      </c>
      <c r="L23" s="57">
        <v>0</v>
      </c>
      <c r="M23" s="57">
        <v>0</v>
      </c>
      <c r="N23" s="7"/>
      <c r="O23" s="7"/>
    </row>
    <row r="24" spans="1:15" x14ac:dyDescent="0.2">
      <c r="A24" s="285"/>
      <c r="B24" s="48" t="s">
        <v>50</v>
      </c>
      <c r="C24" s="58">
        <v>0</v>
      </c>
      <c r="D24" s="59">
        <v>0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7"/>
      <c r="O24" s="7"/>
    </row>
    <row r="25" spans="1:15" x14ac:dyDescent="0.2">
      <c r="A25" s="285"/>
      <c r="B25" s="48" t="s">
        <v>77</v>
      </c>
      <c r="C25" s="58">
        <v>0</v>
      </c>
      <c r="D25" s="59">
        <v>0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7"/>
      <c r="O25" s="7"/>
    </row>
    <row r="26" spans="1:15" ht="16" customHeight="1" x14ac:dyDescent="0.2">
      <c r="A26" s="285"/>
      <c r="B26" s="48" t="s">
        <v>78</v>
      </c>
      <c r="C26" s="60" t="e">
        <v>#DIV/0!</v>
      </c>
      <c r="D26" s="60" t="e">
        <v>#DIV/0!</v>
      </c>
      <c r="E26" s="60" t="e">
        <v>#DIV/0!</v>
      </c>
      <c r="F26" s="60" t="e">
        <v>#DIV/0!</v>
      </c>
      <c r="G26" s="60" t="e">
        <v>#DIV/0!</v>
      </c>
      <c r="H26" s="60" t="e">
        <v>#DIV/0!</v>
      </c>
      <c r="I26" s="60" t="e">
        <v>#DIV/0!</v>
      </c>
      <c r="J26" s="60" t="e">
        <v>#DIV/0!</v>
      </c>
      <c r="K26" s="60" t="e">
        <v>#DIV/0!</v>
      </c>
      <c r="L26" s="60" t="e">
        <v>#DIV/0!</v>
      </c>
      <c r="M26" s="60" t="e">
        <v>#DIV/0!</v>
      </c>
      <c r="N26" s="7"/>
      <c r="O26" s="7"/>
    </row>
    <row r="27" spans="1:15" x14ac:dyDescent="0.2">
      <c r="A27" s="285"/>
      <c r="B27" s="48" t="s">
        <v>79</v>
      </c>
      <c r="C27" s="60" t="e">
        <v>#DIV/0!</v>
      </c>
      <c r="D27" s="60" t="e">
        <v>#DIV/0!</v>
      </c>
      <c r="E27" s="60" t="e">
        <v>#DIV/0!</v>
      </c>
      <c r="F27" s="60" t="e">
        <v>#DIV/0!</v>
      </c>
      <c r="G27" s="60" t="e">
        <v>#DIV/0!</v>
      </c>
      <c r="H27" s="60" t="e">
        <v>#DIV/0!</v>
      </c>
      <c r="I27" s="60" t="e">
        <v>#DIV/0!</v>
      </c>
      <c r="J27" s="60" t="e">
        <v>#DIV/0!</v>
      </c>
      <c r="K27" s="60" t="e">
        <v>#DIV/0!</v>
      </c>
      <c r="L27" s="60" t="e">
        <v>#DIV/0!</v>
      </c>
      <c r="M27" s="60" t="e">
        <v>#DIV/0!</v>
      </c>
      <c r="N27" s="7"/>
      <c r="O27" s="7"/>
    </row>
    <row r="28" spans="1:15" x14ac:dyDescent="0.2">
      <c r="A28" s="285"/>
      <c r="B28" s="48" t="s">
        <v>80</v>
      </c>
      <c r="C28" s="16" t="e">
        <v>#DIV/0!</v>
      </c>
      <c r="D28" s="16" t="e">
        <v>#DIV/0!</v>
      </c>
      <c r="E28" s="16" t="e">
        <v>#DIV/0!</v>
      </c>
      <c r="F28" s="16" t="e">
        <v>#DIV/0!</v>
      </c>
      <c r="G28" s="16" t="e">
        <v>#DIV/0!</v>
      </c>
      <c r="H28" s="16" t="e">
        <v>#DIV/0!</v>
      </c>
      <c r="I28" s="16" t="e">
        <v>#DIV/0!</v>
      </c>
      <c r="J28" s="16" t="e">
        <v>#DIV/0!</v>
      </c>
      <c r="K28" s="16" t="e">
        <v>#DIV/0!</v>
      </c>
      <c r="L28" s="16" t="e">
        <v>#DIV/0!</v>
      </c>
      <c r="M28" s="16" t="e">
        <v>#DIV/0!</v>
      </c>
      <c r="N28" s="7"/>
      <c r="O28" s="7"/>
    </row>
    <row r="29" spans="1:15" x14ac:dyDescent="0.2">
      <c r="A29" s="285"/>
      <c r="B29" s="48" t="s">
        <v>81</v>
      </c>
      <c r="C29" s="54">
        <v>0</v>
      </c>
      <c r="D29" s="55">
        <v>0</v>
      </c>
      <c r="E29" s="55">
        <v>0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  <c r="L29" s="55">
        <v>0</v>
      </c>
      <c r="M29" s="55">
        <v>0</v>
      </c>
      <c r="N29" s="7"/>
      <c r="O29" s="7"/>
    </row>
    <row r="30" spans="1:15" x14ac:dyDescent="0.2">
      <c r="A30" s="285"/>
      <c r="B30" s="48" t="s">
        <v>82</v>
      </c>
      <c r="C30" s="51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7"/>
      <c r="O30" s="7"/>
    </row>
    <row r="31" spans="1:15" x14ac:dyDescent="0.2">
      <c r="A31" s="285"/>
      <c r="B31" s="48" t="s">
        <v>83</v>
      </c>
      <c r="C31" s="16" t="e">
        <v>#DIV/0!</v>
      </c>
      <c r="D31" s="16" t="e">
        <v>#DIV/0!</v>
      </c>
      <c r="E31" s="16" t="e">
        <v>#DIV/0!</v>
      </c>
      <c r="F31" s="16" t="e">
        <v>#DIV/0!</v>
      </c>
      <c r="G31" s="16" t="e">
        <v>#DIV/0!</v>
      </c>
      <c r="H31" s="16" t="e">
        <v>#DIV/0!</v>
      </c>
      <c r="I31" s="16" t="e">
        <v>#DIV/0!</v>
      </c>
      <c r="J31" s="16" t="e">
        <v>#DIV/0!</v>
      </c>
      <c r="K31" s="16" t="e">
        <v>#DIV/0!</v>
      </c>
      <c r="L31" s="16" t="e">
        <v>#DIV/0!</v>
      </c>
      <c r="M31" s="16" t="e">
        <v>#DIV/0!</v>
      </c>
      <c r="N31" s="7"/>
      <c r="O31" s="7"/>
    </row>
    <row r="32" spans="1:15" x14ac:dyDescent="0.2">
      <c r="A32" s="285"/>
      <c r="B32" s="48" t="s">
        <v>70</v>
      </c>
      <c r="C32" s="53" t="e">
        <v>#DIV/0!</v>
      </c>
      <c r="D32" s="53" t="e">
        <v>#DIV/0!</v>
      </c>
      <c r="E32" s="53" t="e">
        <v>#DIV/0!</v>
      </c>
      <c r="F32" s="53" t="e">
        <v>#DIV/0!</v>
      </c>
      <c r="G32" s="53" t="e">
        <v>#DIV/0!</v>
      </c>
      <c r="H32" s="53" t="e">
        <v>#DIV/0!</v>
      </c>
      <c r="I32" s="53" t="e">
        <v>#DIV/0!</v>
      </c>
      <c r="J32" s="53" t="e">
        <v>#DIV/0!</v>
      </c>
      <c r="K32" s="53" t="e">
        <v>#DIV/0!</v>
      </c>
      <c r="L32" s="53" t="e">
        <v>#DIV/0!</v>
      </c>
      <c r="M32" s="53" t="e">
        <v>#DIV/0!</v>
      </c>
      <c r="N32" s="7"/>
      <c r="O32" s="7"/>
    </row>
    <row r="33" spans="1:15" x14ac:dyDescent="0.2">
      <c r="A33" s="285"/>
      <c r="B33" s="48" t="s">
        <v>84</v>
      </c>
      <c r="C33" s="16" t="e">
        <v>#DIV/0!</v>
      </c>
      <c r="D33" s="16" t="e">
        <v>#DIV/0!</v>
      </c>
      <c r="E33" s="16" t="e">
        <v>#DIV/0!</v>
      </c>
      <c r="F33" s="16" t="e">
        <v>#DIV/0!</v>
      </c>
      <c r="G33" s="16" t="e">
        <v>#DIV/0!</v>
      </c>
      <c r="H33" s="16" t="e">
        <v>#DIV/0!</v>
      </c>
      <c r="I33" s="16" t="e">
        <v>#DIV/0!</v>
      </c>
      <c r="J33" s="16" t="e">
        <v>#DIV/0!</v>
      </c>
      <c r="K33" s="16" t="e">
        <v>#DIV/0!</v>
      </c>
      <c r="L33" s="16" t="e">
        <v>#DIV/0!</v>
      </c>
      <c r="M33" s="16" t="e">
        <v>#DIV/0!</v>
      </c>
      <c r="N33" s="7"/>
      <c r="O33" s="7"/>
    </row>
    <row r="34" spans="1:15" ht="16" customHeight="1" x14ac:dyDescent="0.2">
      <c r="A34" s="285"/>
      <c r="B34" s="48" t="s">
        <v>85</v>
      </c>
      <c r="C34" s="53" t="e">
        <v>#DIV/0!</v>
      </c>
      <c r="D34" s="53" t="e">
        <v>#DIV/0!</v>
      </c>
      <c r="E34" s="53" t="e">
        <v>#DIV/0!</v>
      </c>
      <c r="F34" s="53" t="e">
        <v>#DIV/0!</v>
      </c>
      <c r="G34" s="53" t="e">
        <v>#DIV/0!</v>
      </c>
      <c r="H34" s="53" t="e">
        <v>#DIV/0!</v>
      </c>
      <c r="I34" s="53" t="e">
        <v>#DIV/0!</v>
      </c>
      <c r="J34" s="53" t="e">
        <v>#DIV/0!</v>
      </c>
      <c r="K34" s="53" t="e">
        <v>#DIV/0!</v>
      </c>
      <c r="L34" s="53" t="e">
        <v>#DIV/0!</v>
      </c>
      <c r="M34" s="53" t="e">
        <v>#DIV/0!</v>
      </c>
      <c r="N34" s="7"/>
      <c r="O34" s="7"/>
    </row>
    <row r="35" spans="1:15" x14ac:dyDescent="0.2">
      <c r="A35" s="285"/>
      <c r="B35" s="48" t="s">
        <v>86</v>
      </c>
      <c r="C35" s="61" t="e">
        <v>#DIV/0!</v>
      </c>
      <c r="D35" s="61" t="e">
        <v>#DIV/0!</v>
      </c>
      <c r="E35" s="61" t="e">
        <v>#DIV/0!</v>
      </c>
      <c r="F35" s="61" t="e">
        <v>#DIV/0!</v>
      </c>
      <c r="G35" s="61" t="e">
        <v>#DIV/0!</v>
      </c>
      <c r="H35" s="61" t="e">
        <v>#DIV/0!</v>
      </c>
      <c r="I35" s="61" t="e">
        <v>#DIV/0!</v>
      </c>
      <c r="J35" s="61" t="e">
        <v>#DIV/0!</v>
      </c>
      <c r="K35" s="61" t="e">
        <v>#DIV/0!</v>
      </c>
      <c r="L35" s="61" t="e">
        <v>#DIV/0!</v>
      </c>
      <c r="M35" s="61" t="e">
        <v>#DIV/0!</v>
      </c>
      <c r="N35" s="7"/>
      <c r="O35" s="7"/>
    </row>
    <row r="36" spans="1:15" ht="17" thickBot="1" x14ac:dyDescent="0.25">
      <c r="A36" s="286"/>
      <c r="B36" s="48" t="s">
        <v>87</v>
      </c>
      <c r="C36" s="61" t="e">
        <v>#DIV/0!</v>
      </c>
      <c r="D36" s="61" t="e">
        <v>#DIV/0!</v>
      </c>
      <c r="E36" s="61" t="e">
        <v>#DIV/0!</v>
      </c>
      <c r="F36" s="61" t="e">
        <v>#DIV/0!</v>
      </c>
      <c r="G36" s="61" t="e">
        <v>#DIV/0!</v>
      </c>
      <c r="H36" s="61" t="e">
        <v>#DIV/0!</v>
      </c>
      <c r="I36" s="61" t="e">
        <v>#DIV/0!</v>
      </c>
      <c r="J36" s="61" t="e">
        <v>#DIV/0!</v>
      </c>
      <c r="K36" s="61" t="e">
        <v>#DIV/0!</v>
      </c>
      <c r="L36" s="61" t="e">
        <v>#DIV/0!</v>
      </c>
      <c r="M36" s="61" t="e">
        <v>#DIV/0!</v>
      </c>
      <c r="N36" s="7"/>
      <c r="O36" s="7"/>
    </row>
    <row r="37" spans="1:15" ht="16" customHeight="1" x14ac:dyDescent="0.2">
      <c r="A37" s="287" t="s">
        <v>88</v>
      </c>
      <c r="B37" s="62" t="s">
        <v>89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7"/>
      <c r="O37" s="7"/>
    </row>
    <row r="38" spans="1:15" x14ac:dyDescent="0.2">
      <c r="A38" s="285"/>
      <c r="B38" s="40" t="s">
        <v>90</v>
      </c>
      <c r="C38" s="53" t="e">
        <v>#DIV/0!</v>
      </c>
      <c r="D38" s="53" t="e">
        <v>#DIV/0!</v>
      </c>
      <c r="E38" s="53" t="e">
        <v>#DIV/0!</v>
      </c>
      <c r="F38" s="53" t="e">
        <v>#DIV/0!</v>
      </c>
      <c r="G38" s="53" t="e">
        <v>#DIV/0!</v>
      </c>
      <c r="H38" s="53" t="e">
        <v>#DIV/0!</v>
      </c>
      <c r="I38" s="53" t="e">
        <v>#DIV/0!</v>
      </c>
      <c r="J38" s="53" t="e">
        <v>#DIV/0!</v>
      </c>
      <c r="K38" s="53" t="e">
        <v>#DIV/0!</v>
      </c>
      <c r="L38" s="53" t="e">
        <v>#DIV/0!</v>
      </c>
      <c r="M38" s="53" t="e">
        <v>#DIV/0!</v>
      </c>
      <c r="N38" s="7"/>
      <c r="O38" s="7"/>
    </row>
    <row r="39" spans="1:15" x14ac:dyDescent="0.2">
      <c r="A39" s="285"/>
      <c r="B39" s="40" t="s">
        <v>91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5">
        <v>0</v>
      </c>
      <c r="N39" s="7"/>
      <c r="O39" s="7"/>
    </row>
    <row r="40" spans="1:15" x14ac:dyDescent="0.2">
      <c r="A40" s="285"/>
      <c r="B40" s="40" t="s">
        <v>92</v>
      </c>
      <c r="C40" s="53" t="e">
        <v>#DIV/0!</v>
      </c>
      <c r="D40" s="53" t="e">
        <v>#DIV/0!</v>
      </c>
      <c r="E40" s="53" t="e">
        <v>#DIV/0!</v>
      </c>
      <c r="F40" s="53" t="e">
        <v>#DIV/0!</v>
      </c>
      <c r="G40" s="53" t="e">
        <v>#DIV/0!</v>
      </c>
      <c r="H40" s="53" t="e">
        <v>#DIV/0!</v>
      </c>
      <c r="I40" s="53" t="e">
        <v>#DIV/0!</v>
      </c>
      <c r="J40" s="53" t="e">
        <v>#DIV/0!</v>
      </c>
      <c r="K40" s="53" t="e">
        <v>#DIV/0!</v>
      </c>
      <c r="L40" s="53" t="e">
        <v>#DIV/0!</v>
      </c>
      <c r="M40" s="53" t="e">
        <v>#DIV/0!</v>
      </c>
      <c r="N40" s="7"/>
      <c r="O40" s="7"/>
    </row>
    <row r="41" spans="1:15" x14ac:dyDescent="0.2">
      <c r="A41" s="285"/>
      <c r="B41" s="40" t="s">
        <v>93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7"/>
      <c r="O41" s="7"/>
    </row>
    <row r="42" spans="1:15" x14ac:dyDescent="0.2">
      <c r="A42" s="285"/>
      <c r="B42" s="40" t="s">
        <v>94</v>
      </c>
      <c r="C42" s="53" t="e">
        <v>#DIV/0!</v>
      </c>
      <c r="D42" s="53" t="e">
        <v>#DIV/0!</v>
      </c>
      <c r="E42" s="53" t="e">
        <v>#DIV/0!</v>
      </c>
      <c r="F42" s="53" t="e">
        <v>#DIV/0!</v>
      </c>
      <c r="G42" s="53" t="e">
        <v>#DIV/0!</v>
      </c>
      <c r="H42" s="53" t="e">
        <v>#DIV/0!</v>
      </c>
      <c r="I42" s="53" t="e">
        <v>#DIV/0!</v>
      </c>
      <c r="J42" s="53" t="e">
        <v>#DIV/0!</v>
      </c>
      <c r="K42" s="53" t="e">
        <v>#DIV/0!</v>
      </c>
      <c r="L42" s="53" t="e">
        <v>#DIV/0!</v>
      </c>
      <c r="M42" s="53" t="e">
        <v>#DIV/0!</v>
      </c>
      <c r="N42" s="7"/>
      <c r="O42" s="7"/>
    </row>
    <row r="43" spans="1:15" x14ac:dyDescent="0.2">
      <c r="A43" s="285"/>
      <c r="B43" s="40" t="s">
        <v>95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55">
        <v>0</v>
      </c>
      <c r="M43" s="55">
        <v>0</v>
      </c>
      <c r="N43" s="7"/>
      <c r="O43" s="7"/>
    </row>
    <row r="44" spans="1:15" ht="17" thickBot="1" x14ac:dyDescent="0.25">
      <c r="A44" s="286"/>
      <c r="B44" s="41" t="s">
        <v>96</v>
      </c>
      <c r="C44" s="53" t="e">
        <v>#DIV/0!</v>
      </c>
      <c r="D44" s="53" t="e">
        <v>#DIV/0!</v>
      </c>
      <c r="E44" s="53" t="e">
        <v>#DIV/0!</v>
      </c>
      <c r="F44" s="53" t="e">
        <v>#DIV/0!</v>
      </c>
      <c r="G44" s="53" t="e">
        <v>#DIV/0!</v>
      </c>
      <c r="H44" s="53" t="e">
        <v>#DIV/0!</v>
      </c>
      <c r="I44" s="53" t="e">
        <v>#DIV/0!</v>
      </c>
      <c r="J44" s="53" t="e">
        <v>#DIV/0!</v>
      </c>
      <c r="K44" s="53" t="e">
        <v>#DIV/0!</v>
      </c>
      <c r="L44" s="53" t="e">
        <v>#DIV/0!</v>
      </c>
      <c r="M44" s="53" t="e">
        <v>#DIV/0!</v>
      </c>
      <c r="N44" s="7"/>
      <c r="O44" s="7"/>
    </row>
    <row r="45" spans="1:15" ht="16" customHeight="1" x14ac:dyDescent="0.2">
      <c r="A45" s="287" t="s">
        <v>97</v>
      </c>
      <c r="B45" s="40" t="s">
        <v>98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55">
        <v>0</v>
      </c>
      <c r="M45" s="55">
        <v>0</v>
      </c>
      <c r="N45" s="7"/>
      <c r="O45" s="7"/>
    </row>
    <row r="46" spans="1:15" x14ac:dyDescent="0.2">
      <c r="A46" s="285"/>
      <c r="B46" s="40" t="s">
        <v>99</v>
      </c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7"/>
      <c r="O46" s="7"/>
    </row>
    <row r="47" spans="1:15" x14ac:dyDescent="0.2">
      <c r="A47" s="285"/>
      <c r="B47" s="40" t="s">
        <v>100</v>
      </c>
      <c r="C47" s="53" t="e">
        <v>#DIV/0!</v>
      </c>
      <c r="D47" s="53" t="e">
        <v>#DIV/0!</v>
      </c>
      <c r="E47" s="53" t="e">
        <v>#DIV/0!</v>
      </c>
      <c r="F47" s="53" t="e">
        <v>#DIV/0!</v>
      </c>
      <c r="G47" s="53" t="e">
        <v>#DIV/0!</v>
      </c>
      <c r="H47" s="53" t="e">
        <v>#DIV/0!</v>
      </c>
      <c r="I47" s="53" t="e">
        <v>#DIV/0!</v>
      </c>
      <c r="J47" s="53" t="e">
        <v>#DIV/0!</v>
      </c>
      <c r="K47" s="53" t="e">
        <v>#DIV/0!</v>
      </c>
      <c r="L47" s="53" t="e">
        <v>#DIV/0!</v>
      </c>
      <c r="M47" s="53" t="e">
        <v>#DIV/0!</v>
      </c>
      <c r="N47" s="7"/>
      <c r="O47" s="7"/>
    </row>
    <row r="48" spans="1:15" x14ac:dyDescent="0.2">
      <c r="A48" s="285"/>
      <c r="B48" s="41" t="s">
        <v>101</v>
      </c>
      <c r="C48" s="53" t="e">
        <v>#DIV/0!</v>
      </c>
      <c r="D48" s="53" t="e">
        <v>#DIV/0!</v>
      </c>
      <c r="E48" s="53" t="e">
        <v>#DIV/0!</v>
      </c>
      <c r="F48" s="53" t="e">
        <v>#DIV/0!</v>
      </c>
      <c r="G48" s="53" t="e">
        <v>#DIV/0!</v>
      </c>
      <c r="H48" s="53" t="e">
        <v>#DIV/0!</v>
      </c>
      <c r="I48" s="53" t="e">
        <v>#DIV/0!</v>
      </c>
      <c r="J48" s="53" t="e">
        <v>#DIV/0!</v>
      </c>
      <c r="K48" s="53" t="e">
        <v>#DIV/0!</v>
      </c>
      <c r="L48" s="53" t="e">
        <v>#DIV/0!</v>
      </c>
      <c r="M48" s="53" t="e">
        <v>#DIV/0!</v>
      </c>
      <c r="N48" s="7"/>
      <c r="O48" s="7"/>
    </row>
    <row r="49" spans="1:15" x14ac:dyDescent="0.2">
      <c r="A49" s="285"/>
      <c r="B49" s="40" t="s">
        <v>102</v>
      </c>
      <c r="C49" s="55">
        <v>0</v>
      </c>
      <c r="D49" s="55">
        <v>0</v>
      </c>
      <c r="E49" s="55">
        <v>0</v>
      </c>
      <c r="F49" s="55">
        <v>0</v>
      </c>
      <c r="G49" s="55">
        <v>0</v>
      </c>
      <c r="H49" s="55">
        <v>0</v>
      </c>
      <c r="I49" s="55">
        <v>0</v>
      </c>
      <c r="J49" s="55">
        <v>0</v>
      </c>
      <c r="K49" s="55">
        <v>0</v>
      </c>
      <c r="L49" s="55">
        <v>0</v>
      </c>
      <c r="M49" s="55">
        <v>0</v>
      </c>
      <c r="N49" s="7"/>
      <c r="O49" s="7"/>
    </row>
    <row r="50" spans="1:15" ht="16" customHeight="1" x14ac:dyDescent="0.2">
      <c r="A50" s="285"/>
      <c r="B50" s="40" t="s">
        <v>103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7"/>
      <c r="O50" s="7"/>
    </row>
    <row r="51" spans="1:15" x14ac:dyDescent="0.2">
      <c r="A51" s="285"/>
      <c r="B51" s="40" t="s">
        <v>104</v>
      </c>
      <c r="C51" s="53" t="e">
        <v>#DIV/0!</v>
      </c>
      <c r="D51" s="53" t="e">
        <v>#DIV/0!</v>
      </c>
      <c r="E51" s="53" t="e">
        <v>#DIV/0!</v>
      </c>
      <c r="F51" s="53" t="e">
        <v>#DIV/0!</v>
      </c>
      <c r="G51" s="53" t="e">
        <v>#DIV/0!</v>
      </c>
      <c r="H51" s="53" t="e">
        <v>#DIV/0!</v>
      </c>
      <c r="I51" s="53" t="e">
        <v>#DIV/0!</v>
      </c>
      <c r="J51" s="53" t="e">
        <v>#DIV/0!</v>
      </c>
      <c r="K51" s="53" t="e">
        <v>#DIV/0!</v>
      </c>
      <c r="L51" s="53" t="e">
        <v>#DIV/0!</v>
      </c>
      <c r="M51" s="53" t="e">
        <v>#DIV/0!</v>
      </c>
      <c r="N51" s="7"/>
      <c r="O51" s="7"/>
    </row>
    <row r="52" spans="1:15" x14ac:dyDescent="0.2">
      <c r="A52" s="285"/>
      <c r="B52" s="41" t="s">
        <v>105</v>
      </c>
      <c r="C52" s="53" t="e">
        <v>#DIV/0!</v>
      </c>
      <c r="D52" s="53" t="e">
        <v>#DIV/0!</v>
      </c>
      <c r="E52" s="53" t="e">
        <v>#DIV/0!</v>
      </c>
      <c r="F52" s="53" t="e">
        <v>#DIV/0!</v>
      </c>
      <c r="G52" s="53" t="e">
        <v>#DIV/0!</v>
      </c>
      <c r="H52" s="53" t="e">
        <v>#DIV/0!</v>
      </c>
      <c r="I52" s="53" t="e">
        <v>#DIV/0!</v>
      </c>
      <c r="J52" s="53" t="e">
        <v>#DIV/0!</v>
      </c>
      <c r="K52" s="53" t="e">
        <v>#DIV/0!</v>
      </c>
      <c r="L52" s="53" t="e">
        <v>#DIV/0!</v>
      </c>
      <c r="M52" s="53" t="e">
        <v>#DIV/0!</v>
      </c>
      <c r="N52" s="7"/>
      <c r="O52" s="7"/>
    </row>
    <row r="53" spans="1:15" x14ac:dyDescent="0.2">
      <c r="A53" s="285"/>
      <c r="B53" s="40" t="s">
        <v>106</v>
      </c>
      <c r="C53" s="55">
        <v>0</v>
      </c>
      <c r="D53" s="55">
        <v>0</v>
      </c>
      <c r="E53" s="55">
        <v>0</v>
      </c>
      <c r="F53" s="55">
        <v>0</v>
      </c>
      <c r="G53" s="55">
        <v>0</v>
      </c>
      <c r="H53" s="55">
        <v>0</v>
      </c>
      <c r="I53" s="55">
        <v>0</v>
      </c>
      <c r="J53" s="55">
        <v>0</v>
      </c>
      <c r="K53" s="55">
        <v>0</v>
      </c>
      <c r="L53" s="55">
        <v>0</v>
      </c>
      <c r="M53" s="55">
        <v>0</v>
      </c>
      <c r="N53" s="7"/>
      <c r="O53" s="7"/>
    </row>
    <row r="54" spans="1:15" x14ac:dyDescent="0.2">
      <c r="A54" s="285"/>
      <c r="B54" s="40" t="s">
        <v>107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7"/>
      <c r="O54" s="7"/>
    </row>
    <row r="55" spans="1:15" x14ac:dyDescent="0.2">
      <c r="A55" s="285"/>
      <c r="B55" s="40" t="s">
        <v>108</v>
      </c>
      <c r="C55" s="53" t="e">
        <v>#DIV/0!</v>
      </c>
      <c r="D55" s="53" t="e">
        <v>#DIV/0!</v>
      </c>
      <c r="E55" s="53" t="e">
        <v>#DIV/0!</v>
      </c>
      <c r="F55" s="53" t="e">
        <v>#DIV/0!</v>
      </c>
      <c r="G55" s="53" t="e">
        <v>#DIV/0!</v>
      </c>
      <c r="H55" s="53" t="e">
        <v>#DIV/0!</v>
      </c>
      <c r="I55" s="53" t="e">
        <v>#DIV/0!</v>
      </c>
      <c r="J55" s="53" t="e">
        <v>#DIV/0!</v>
      </c>
      <c r="K55" s="53" t="e">
        <v>#DIV/0!</v>
      </c>
      <c r="L55" s="53" t="e">
        <v>#DIV/0!</v>
      </c>
      <c r="M55" s="53" t="e">
        <v>#DIV/0!</v>
      </c>
      <c r="N55" s="7"/>
      <c r="O55" s="7"/>
    </row>
    <row r="56" spans="1:15" x14ac:dyDescent="0.2">
      <c r="A56" s="285"/>
      <c r="B56" s="41" t="s">
        <v>109</v>
      </c>
      <c r="C56" s="53" t="e">
        <v>#DIV/0!</v>
      </c>
      <c r="D56" s="53" t="e">
        <v>#DIV/0!</v>
      </c>
      <c r="E56" s="53" t="e">
        <v>#DIV/0!</v>
      </c>
      <c r="F56" s="53" t="e">
        <v>#DIV/0!</v>
      </c>
      <c r="G56" s="53" t="e">
        <v>#DIV/0!</v>
      </c>
      <c r="H56" s="53" t="e">
        <v>#DIV/0!</v>
      </c>
      <c r="I56" s="53" t="e">
        <v>#DIV/0!</v>
      </c>
      <c r="J56" s="53" t="e">
        <v>#DIV/0!</v>
      </c>
      <c r="K56" s="53" t="e">
        <v>#DIV/0!</v>
      </c>
      <c r="L56" s="53" t="e">
        <v>#DIV/0!</v>
      </c>
      <c r="M56" s="53" t="e">
        <v>#DIV/0!</v>
      </c>
      <c r="N56" s="7"/>
      <c r="O56" s="7"/>
    </row>
    <row r="57" spans="1:15" x14ac:dyDescent="0.2">
      <c r="A57" s="285"/>
      <c r="B57" s="40" t="s">
        <v>110</v>
      </c>
      <c r="C57" s="55">
        <v>0</v>
      </c>
      <c r="D57" s="55">
        <v>0</v>
      </c>
      <c r="E57" s="55">
        <v>0</v>
      </c>
      <c r="F57" s="55">
        <v>0</v>
      </c>
      <c r="G57" s="55">
        <v>0</v>
      </c>
      <c r="H57" s="55">
        <v>0</v>
      </c>
      <c r="I57" s="55">
        <v>0</v>
      </c>
      <c r="J57" s="55">
        <v>0</v>
      </c>
      <c r="K57" s="55">
        <v>0</v>
      </c>
      <c r="L57" s="55">
        <v>0</v>
      </c>
      <c r="M57" s="55">
        <v>0</v>
      </c>
      <c r="N57" s="7"/>
      <c r="O57" s="7"/>
    </row>
    <row r="58" spans="1:15" x14ac:dyDescent="0.2">
      <c r="A58" s="285"/>
      <c r="B58" s="40" t="s">
        <v>111</v>
      </c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7"/>
      <c r="O58" s="7"/>
    </row>
    <row r="59" spans="1:15" x14ac:dyDescent="0.2">
      <c r="A59" s="285"/>
      <c r="B59" s="40" t="s">
        <v>112</v>
      </c>
      <c r="C59" s="53" t="e">
        <v>#DIV/0!</v>
      </c>
      <c r="D59" s="53" t="e">
        <v>#DIV/0!</v>
      </c>
      <c r="E59" s="53" t="e">
        <v>#DIV/0!</v>
      </c>
      <c r="F59" s="53" t="e">
        <v>#DIV/0!</v>
      </c>
      <c r="G59" s="53" t="e">
        <v>#DIV/0!</v>
      </c>
      <c r="H59" s="53" t="e">
        <v>#DIV/0!</v>
      </c>
      <c r="I59" s="53" t="e">
        <v>#DIV/0!</v>
      </c>
      <c r="J59" s="53" t="e">
        <v>#DIV/0!</v>
      </c>
      <c r="K59" s="53" t="e">
        <v>#DIV/0!</v>
      </c>
      <c r="L59" s="53" t="e">
        <v>#DIV/0!</v>
      </c>
      <c r="M59" s="53" t="e">
        <v>#DIV/0!</v>
      </c>
      <c r="N59" s="7"/>
      <c r="O59" s="7"/>
    </row>
    <row r="60" spans="1:15" ht="17" thickBot="1" x14ac:dyDescent="0.25">
      <c r="A60" s="286"/>
      <c r="B60" s="41" t="s">
        <v>113</v>
      </c>
      <c r="C60" s="53" t="e">
        <v>#DIV/0!</v>
      </c>
      <c r="D60" s="53" t="e">
        <v>#DIV/0!</v>
      </c>
      <c r="E60" s="53" t="e">
        <v>#DIV/0!</v>
      </c>
      <c r="F60" s="53" t="e">
        <v>#DIV/0!</v>
      </c>
      <c r="G60" s="53" t="e">
        <v>#DIV/0!</v>
      </c>
      <c r="H60" s="53" t="e">
        <v>#DIV/0!</v>
      </c>
      <c r="I60" s="53" t="e">
        <v>#DIV/0!</v>
      </c>
      <c r="J60" s="53" t="e">
        <v>#DIV/0!</v>
      </c>
      <c r="K60" s="53" t="e">
        <v>#DIV/0!</v>
      </c>
      <c r="L60" s="53" t="e">
        <v>#DIV/0!</v>
      </c>
      <c r="M60" s="53" t="e">
        <v>#DIV/0!</v>
      </c>
      <c r="N60" s="7"/>
      <c r="O60" s="7"/>
    </row>
    <row r="61" spans="1:15" ht="16" customHeight="1" x14ac:dyDescent="0.2">
      <c r="A61" s="287" t="s">
        <v>114</v>
      </c>
      <c r="B61" s="40" t="s">
        <v>115</v>
      </c>
      <c r="C61" s="55">
        <v>0</v>
      </c>
      <c r="D61" s="55">
        <v>0</v>
      </c>
      <c r="E61" s="55">
        <v>0</v>
      </c>
      <c r="F61" s="55">
        <v>0</v>
      </c>
      <c r="G61" s="55">
        <v>0</v>
      </c>
      <c r="H61" s="55">
        <v>0</v>
      </c>
      <c r="I61" s="55">
        <v>0</v>
      </c>
      <c r="J61" s="55">
        <v>0</v>
      </c>
      <c r="K61" s="55">
        <v>0</v>
      </c>
      <c r="L61" s="55">
        <v>0</v>
      </c>
      <c r="M61" s="55">
        <v>0</v>
      </c>
      <c r="N61" s="7"/>
      <c r="O61" s="7"/>
    </row>
    <row r="62" spans="1:15" ht="16" customHeight="1" x14ac:dyDescent="0.2">
      <c r="A62" s="285"/>
      <c r="B62" s="40" t="s">
        <v>116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7"/>
      <c r="O62" s="7"/>
    </row>
    <row r="63" spans="1:15" x14ac:dyDescent="0.2">
      <c r="A63" s="285"/>
      <c r="B63" s="40" t="s">
        <v>117</v>
      </c>
      <c r="C63" s="53" t="e">
        <v>#DIV/0!</v>
      </c>
      <c r="D63" s="53" t="e">
        <v>#DIV/0!</v>
      </c>
      <c r="E63" s="53" t="e">
        <v>#DIV/0!</v>
      </c>
      <c r="F63" s="53" t="e">
        <v>#DIV/0!</v>
      </c>
      <c r="G63" s="53" t="e">
        <v>#DIV/0!</v>
      </c>
      <c r="H63" s="53" t="e">
        <v>#DIV/0!</v>
      </c>
      <c r="I63" s="53" t="e">
        <v>#DIV/0!</v>
      </c>
      <c r="J63" s="53" t="e">
        <v>#DIV/0!</v>
      </c>
      <c r="K63" s="53" t="e">
        <v>#DIV/0!</v>
      </c>
      <c r="L63" s="53" t="e">
        <v>#DIV/0!</v>
      </c>
      <c r="M63" s="53" t="e">
        <v>#DIV/0!</v>
      </c>
      <c r="N63" s="7"/>
      <c r="O63" s="7"/>
    </row>
    <row r="64" spans="1:15" x14ac:dyDescent="0.2">
      <c r="A64" s="285"/>
      <c r="B64" s="40" t="s">
        <v>118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7">
        <v>0</v>
      </c>
      <c r="N64" s="7"/>
      <c r="O64" s="7"/>
    </row>
    <row r="65" spans="1:15" x14ac:dyDescent="0.2">
      <c r="A65" s="285"/>
      <c r="B65" s="40" t="s">
        <v>119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7"/>
      <c r="O65" s="7"/>
    </row>
    <row r="66" spans="1:15" x14ac:dyDescent="0.2">
      <c r="A66" s="285"/>
      <c r="B66" s="40" t="s">
        <v>120</v>
      </c>
      <c r="C66" s="53" t="e">
        <v>#DIV/0!</v>
      </c>
      <c r="D66" s="53" t="e">
        <v>#DIV/0!</v>
      </c>
      <c r="E66" s="53" t="e">
        <v>#DIV/0!</v>
      </c>
      <c r="F66" s="53" t="e">
        <v>#DIV/0!</v>
      </c>
      <c r="G66" s="53" t="e">
        <v>#DIV/0!</v>
      </c>
      <c r="H66" s="53" t="e">
        <v>#DIV/0!</v>
      </c>
      <c r="I66" s="53" t="e">
        <v>#DIV/0!</v>
      </c>
      <c r="J66" s="53" t="e">
        <v>#DIV/0!</v>
      </c>
      <c r="K66" s="53" t="e">
        <v>#DIV/0!</v>
      </c>
      <c r="L66" s="53" t="e">
        <v>#DIV/0!</v>
      </c>
      <c r="M66" s="53" t="e">
        <v>#DIV/0!</v>
      </c>
      <c r="N66" s="7"/>
      <c r="O66" s="7"/>
    </row>
    <row r="67" spans="1:15" x14ac:dyDescent="0.2">
      <c r="A67" s="285"/>
      <c r="B67" s="40" t="s">
        <v>121</v>
      </c>
      <c r="C67" s="55">
        <v>0</v>
      </c>
      <c r="D67" s="55">
        <v>0</v>
      </c>
      <c r="E67" s="55">
        <v>0</v>
      </c>
      <c r="F67" s="55">
        <v>0</v>
      </c>
      <c r="G67" s="55">
        <v>0</v>
      </c>
      <c r="H67" s="55">
        <v>0</v>
      </c>
      <c r="I67" s="55">
        <v>0</v>
      </c>
      <c r="J67" s="55">
        <v>0</v>
      </c>
      <c r="K67" s="55">
        <v>0</v>
      </c>
      <c r="L67" s="55">
        <v>0</v>
      </c>
      <c r="M67" s="55">
        <v>0</v>
      </c>
      <c r="N67" s="7"/>
      <c r="O67" s="7"/>
    </row>
    <row r="68" spans="1:15" x14ac:dyDescent="0.2">
      <c r="A68" s="285"/>
      <c r="B68" s="40" t="s">
        <v>122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7"/>
      <c r="O68" s="7"/>
    </row>
    <row r="69" spans="1:15" x14ac:dyDescent="0.2">
      <c r="A69" s="285"/>
      <c r="B69" s="40" t="s">
        <v>123</v>
      </c>
      <c r="C69" s="53" t="e">
        <v>#DIV/0!</v>
      </c>
      <c r="D69" s="53" t="e">
        <v>#DIV/0!</v>
      </c>
      <c r="E69" s="53" t="e">
        <v>#DIV/0!</v>
      </c>
      <c r="F69" s="53" t="e">
        <v>#DIV/0!</v>
      </c>
      <c r="G69" s="53" t="e">
        <v>#DIV/0!</v>
      </c>
      <c r="H69" s="53" t="e">
        <v>#DIV/0!</v>
      </c>
      <c r="I69" s="53" t="e">
        <v>#DIV/0!</v>
      </c>
      <c r="J69" s="53" t="e">
        <v>#DIV/0!</v>
      </c>
      <c r="K69" s="53" t="e">
        <v>#DIV/0!</v>
      </c>
      <c r="L69" s="53" t="e">
        <v>#DIV/0!</v>
      </c>
      <c r="M69" s="53" t="e">
        <v>#DIV/0!</v>
      </c>
      <c r="N69" s="7"/>
      <c r="O69" s="7"/>
    </row>
    <row r="70" spans="1:15" x14ac:dyDescent="0.2">
      <c r="A70" s="285"/>
      <c r="B70" s="40" t="s">
        <v>124</v>
      </c>
      <c r="C70" s="55">
        <v>0</v>
      </c>
      <c r="D70" s="55">
        <v>0</v>
      </c>
      <c r="E70" s="55">
        <v>0</v>
      </c>
      <c r="F70" s="55">
        <v>0</v>
      </c>
      <c r="G70" s="55">
        <v>0</v>
      </c>
      <c r="H70" s="55">
        <v>0</v>
      </c>
      <c r="I70" s="55">
        <v>0</v>
      </c>
      <c r="J70" s="55">
        <v>0</v>
      </c>
      <c r="K70" s="55">
        <v>0</v>
      </c>
      <c r="L70" s="55">
        <v>0</v>
      </c>
      <c r="M70" s="55">
        <v>0</v>
      </c>
      <c r="N70" s="7"/>
      <c r="O70" s="7"/>
    </row>
    <row r="71" spans="1:15" x14ac:dyDescent="0.2">
      <c r="A71" s="285"/>
      <c r="B71" s="40" t="s">
        <v>125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7"/>
      <c r="O71" s="7"/>
    </row>
    <row r="72" spans="1:15" ht="17" thickBot="1" x14ac:dyDescent="0.25">
      <c r="A72" s="286"/>
      <c r="B72" s="41" t="s">
        <v>126</v>
      </c>
      <c r="C72" s="53" t="e">
        <v>#DIV/0!</v>
      </c>
      <c r="D72" s="53" t="e">
        <v>#DIV/0!</v>
      </c>
      <c r="E72" s="53" t="e">
        <v>#DIV/0!</v>
      </c>
      <c r="F72" s="53" t="e">
        <v>#DIV/0!</v>
      </c>
      <c r="G72" s="53" t="e">
        <v>#DIV/0!</v>
      </c>
      <c r="H72" s="53" t="e">
        <v>#DIV/0!</v>
      </c>
      <c r="I72" s="53" t="e">
        <v>#DIV/0!</v>
      </c>
      <c r="J72" s="53" t="e">
        <v>#DIV/0!</v>
      </c>
      <c r="K72" s="53" t="e">
        <v>#DIV/0!</v>
      </c>
      <c r="L72" s="53" t="e">
        <v>#DIV/0!</v>
      </c>
      <c r="M72" s="53" t="e">
        <v>#DIV/0!</v>
      </c>
      <c r="N72" s="7"/>
      <c r="O72" s="7"/>
    </row>
    <row r="73" spans="1:15" ht="17" thickBot="1" x14ac:dyDescent="0.25">
      <c r="A73" s="7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7"/>
      <c r="O73" s="7"/>
    </row>
    <row r="74" spans="1:15" ht="16" customHeight="1" x14ac:dyDescent="0.2">
      <c r="A74" s="288" t="s">
        <v>127</v>
      </c>
      <c r="B74" s="13"/>
      <c r="C74" s="276">
        <v>50</v>
      </c>
      <c r="D74" s="290">
        <v>50</v>
      </c>
      <c r="E74" s="290">
        <v>50</v>
      </c>
      <c r="F74" s="276">
        <v>50</v>
      </c>
      <c r="G74" s="276">
        <v>50</v>
      </c>
      <c r="H74" s="276">
        <v>50</v>
      </c>
      <c r="I74" s="276">
        <v>50</v>
      </c>
      <c r="J74" s="276">
        <v>50</v>
      </c>
      <c r="K74" s="276">
        <v>50</v>
      </c>
      <c r="L74" s="276">
        <v>50</v>
      </c>
      <c r="M74" s="276">
        <v>50</v>
      </c>
      <c r="N74" s="7"/>
      <c r="O74" s="265">
        <v>50</v>
      </c>
    </row>
    <row r="75" spans="1:15" ht="17" customHeight="1" thickBot="1" x14ac:dyDescent="0.25">
      <c r="A75" s="289"/>
      <c r="B75" s="13"/>
      <c r="C75" s="277"/>
      <c r="D75" s="291"/>
      <c r="E75" s="291"/>
      <c r="F75" s="277"/>
      <c r="G75" s="277"/>
      <c r="H75" s="277"/>
      <c r="I75" s="277"/>
      <c r="J75" s="277"/>
      <c r="K75" s="277"/>
      <c r="L75" s="277"/>
      <c r="M75" s="277"/>
      <c r="N75" s="7"/>
      <c r="O75" s="266"/>
    </row>
    <row r="76" spans="1:15" x14ac:dyDescent="0.2">
      <c r="A76" s="7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7"/>
      <c r="O76" s="7"/>
    </row>
    <row r="77" spans="1:15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1:15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1:15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1:15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</sheetData>
  <mergeCells count="19">
    <mergeCell ref="G74:G75"/>
    <mergeCell ref="B1:M1"/>
    <mergeCell ref="B2:M2"/>
    <mergeCell ref="A5:A36"/>
    <mergeCell ref="A37:A44"/>
    <mergeCell ref="A45:A60"/>
    <mergeCell ref="A61:A72"/>
    <mergeCell ref="A74:A75"/>
    <mergeCell ref="C74:C75"/>
    <mergeCell ref="D74:D75"/>
    <mergeCell ref="E74:E75"/>
    <mergeCell ref="F74:F75"/>
    <mergeCell ref="O74:O75"/>
    <mergeCell ref="H74:H75"/>
    <mergeCell ref="I74:I75"/>
    <mergeCell ref="J74:J75"/>
    <mergeCell ref="K74:K75"/>
    <mergeCell ref="L74:L75"/>
    <mergeCell ref="M74:M7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8FC83-0982-8F48-9DB0-23BE2580001C}">
  <dimension ref="A1:O80"/>
  <sheetViews>
    <sheetView workbookViewId="0">
      <selection activeCell="B7" sqref="B7"/>
    </sheetView>
  </sheetViews>
  <sheetFormatPr baseColWidth="10" defaultRowHeight="16" x14ac:dyDescent="0.2"/>
  <sheetData>
    <row r="1" spans="1:15" ht="33" thickBot="1" x14ac:dyDescent="0.45">
      <c r="A1" s="7"/>
      <c r="B1" s="278" t="s">
        <v>128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80"/>
      <c r="N1" s="7"/>
      <c r="O1" s="7"/>
    </row>
    <row r="2" spans="1:15" ht="23" thickBot="1" x14ac:dyDescent="0.25">
      <c r="A2" s="7"/>
      <c r="B2" s="281" t="s">
        <v>136</v>
      </c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3"/>
      <c r="N2" s="7"/>
      <c r="O2" s="7"/>
    </row>
    <row r="3" spans="1:15" x14ac:dyDescent="0.2">
      <c r="A3" s="7"/>
      <c r="B3" s="42" t="s">
        <v>1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4"/>
      <c r="N3" s="7"/>
      <c r="O3" s="7"/>
    </row>
    <row r="4" spans="1:15" ht="17" thickBot="1" x14ac:dyDescent="0.25">
      <c r="A4" s="7"/>
      <c r="B4" s="45" t="s">
        <v>61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7"/>
      <c r="N4" s="7"/>
      <c r="O4" s="7"/>
    </row>
    <row r="5" spans="1:15" x14ac:dyDescent="0.2">
      <c r="A5" s="284" t="s">
        <v>62</v>
      </c>
      <c r="B5" s="48" t="s">
        <v>137</v>
      </c>
      <c r="C5" s="49">
        <v>0</v>
      </c>
      <c r="D5" s="50">
        <v>0</v>
      </c>
      <c r="E5" s="50">
        <v>0</v>
      </c>
      <c r="F5" s="50">
        <v>0</v>
      </c>
      <c r="G5" s="50">
        <v>0</v>
      </c>
      <c r="H5" s="50">
        <v>0</v>
      </c>
      <c r="I5" s="50">
        <v>0</v>
      </c>
      <c r="J5" s="50">
        <v>0</v>
      </c>
      <c r="K5" s="50">
        <v>0</v>
      </c>
      <c r="L5" s="50">
        <v>0</v>
      </c>
      <c r="M5" s="50">
        <v>0</v>
      </c>
      <c r="N5" s="7"/>
      <c r="O5" s="7"/>
    </row>
    <row r="6" spans="1:15" x14ac:dyDescent="0.2">
      <c r="A6" s="285"/>
      <c r="B6" s="48" t="s">
        <v>138</v>
      </c>
      <c r="C6" s="49">
        <v>0</v>
      </c>
      <c r="D6" s="50">
        <v>0</v>
      </c>
      <c r="E6" s="50">
        <v>0</v>
      </c>
      <c r="F6" s="50">
        <v>0</v>
      </c>
      <c r="G6" s="50">
        <v>0</v>
      </c>
      <c r="H6" s="50">
        <v>0</v>
      </c>
      <c r="I6" s="50">
        <v>0</v>
      </c>
      <c r="J6" s="50">
        <v>0</v>
      </c>
      <c r="K6" s="50">
        <v>0</v>
      </c>
      <c r="L6" s="50">
        <v>0</v>
      </c>
      <c r="M6" s="50">
        <v>0</v>
      </c>
      <c r="N6" s="7"/>
      <c r="O6" s="7"/>
    </row>
    <row r="7" spans="1:15" x14ac:dyDescent="0.2">
      <c r="A7" s="285"/>
      <c r="B7" s="48" t="s">
        <v>65</v>
      </c>
      <c r="C7" s="51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7"/>
      <c r="O7" s="7"/>
    </row>
    <row r="8" spans="1:15" x14ac:dyDescent="0.2">
      <c r="A8" s="285"/>
      <c r="B8" s="48" t="s">
        <v>66</v>
      </c>
      <c r="C8" s="51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7"/>
      <c r="O8" s="7"/>
    </row>
    <row r="9" spans="1:15" x14ac:dyDescent="0.2">
      <c r="A9" s="285"/>
      <c r="B9" s="48" t="s">
        <v>59</v>
      </c>
      <c r="C9" s="51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7"/>
      <c r="O9" s="7"/>
    </row>
    <row r="10" spans="1:15" x14ac:dyDescent="0.2">
      <c r="A10" s="285"/>
      <c r="B10" s="48" t="s">
        <v>67</v>
      </c>
      <c r="C10" s="51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7"/>
      <c r="O10" s="7"/>
    </row>
    <row r="11" spans="1:15" x14ac:dyDescent="0.2">
      <c r="A11" s="285"/>
      <c r="B11" s="48" t="s">
        <v>68</v>
      </c>
      <c r="C11" s="51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7"/>
      <c r="O11" s="7"/>
    </row>
    <row r="12" spans="1:15" x14ac:dyDescent="0.2">
      <c r="A12" s="285"/>
      <c r="B12" s="48" t="s">
        <v>69</v>
      </c>
      <c r="C12" s="51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7"/>
      <c r="O12" s="7"/>
    </row>
    <row r="13" spans="1:15" x14ac:dyDescent="0.2">
      <c r="A13" s="285"/>
      <c r="B13" s="48" t="s">
        <v>59</v>
      </c>
      <c r="C13" s="51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7"/>
      <c r="O13" s="7"/>
    </row>
    <row r="14" spans="1:15" x14ac:dyDescent="0.2">
      <c r="A14" s="285"/>
      <c r="B14" s="48" t="s">
        <v>70</v>
      </c>
      <c r="C14" s="53" t="e">
        <v>#DIV/0!</v>
      </c>
      <c r="D14" s="53" t="e">
        <v>#DIV/0!</v>
      </c>
      <c r="E14" s="53" t="e">
        <v>#DIV/0!</v>
      </c>
      <c r="F14" s="53" t="e">
        <v>#DIV/0!</v>
      </c>
      <c r="G14" s="53" t="e">
        <v>#DIV/0!</v>
      </c>
      <c r="H14" s="53" t="e">
        <v>#DIV/0!</v>
      </c>
      <c r="I14" s="53" t="e">
        <v>#DIV/0!</v>
      </c>
      <c r="J14" s="53" t="e">
        <v>#DIV/0!</v>
      </c>
      <c r="K14" s="53" t="e">
        <v>#DIV/0!</v>
      </c>
      <c r="L14" s="53" t="e">
        <v>#DIV/0!</v>
      </c>
      <c r="M14" s="53" t="e">
        <v>#DIV/0!</v>
      </c>
      <c r="N14" s="7"/>
      <c r="O14" s="7"/>
    </row>
    <row r="15" spans="1:15" x14ac:dyDescent="0.2">
      <c r="A15" s="285"/>
      <c r="B15" s="48" t="s">
        <v>71</v>
      </c>
      <c r="C15" s="16" t="e">
        <v>#DIV/0!</v>
      </c>
      <c r="D15" s="16" t="e">
        <v>#DIV/0!</v>
      </c>
      <c r="E15" s="16" t="e">
        <v>#DIV/0!</v>
      </c>
      <c r="F15" s="16" t="e">
        <v>#DIV/0!</v>
      </c>
      <c r="G15" s="16" t="e">
        <v>#DIV/0!</v>
      </c>
      <c r="H15" s="16" t="e">
        <v>#DIV/0!</v>
      </c>
      <c r="I15" s="16" t="e">
        <v>#DIV/0!</v>
      </c>
      <c r="J15" s="16" t="e">
        <v>#DIV/0!</v>
      </c>
      <c r="K15" s="16" t="e">
        <v>#DIV/0!</v>
      </c>
      <c r="L15" s="16" t="e">
        <v>#DIV/0!</v>
      </c>
      <c r="M15" s="16" t="e">
        <v>#DIV/0!</v>
      </c>
      <c r="N15" s="7"/>
      <c r="O15" s="7"/>
    </row>
    <row r="16" spans="1:15" x14ac:dyDescent="0.2">
      <c r="A16" s="285"/>
      <c r="B16" s="48" t="s">
        <v>72</v>
      </c>
      <c r="C16" s="16" t="e">
        <v>#DIV/0!</v>
      </c>
      <c r="D16" s="16" t="e">
        <v>#DIV/0!</v>
      </c>
      <c r="E16" s="16" t="e">
        <v>#DIV/0!</v>
      </c>
      <c r="F16" s="16" t="e">
        <v>#DIV/0!</v>
      </c>
      <c r="G16" s="16" t="e">
        <v>#DIV/0!</v>
      </c>
      <c r="H16" s="16" t="e">
        <v>#DIV/0!</v>
      </c>
      <c r="I16" s="16" t="e">
        <v>#DIV/0!</v>
      </c>
      <c r="J16" s="16" t="e">
        <v>#DIV/0!</v>
      </c>
      <c r="K16" s="16" t="e">
        <v>#DIV/0!</v>
      </c>
      <c r="L16" s="16" t="e">
        <v>#DIV/0!</v>
      </c>
      <c r="M16" s="16" t="e">
        <v>#DIV/0!</v>
      </c>
      <c r="N16" s="7"/>
      <c r="O16" s="7"/>
    </row>
    <row r="17" spans="1:15" x14ac:dyDescent="0.2">
      <c r="A17" s="285"/>
      <c r="B17" s="48" t="s">
        <v>73</v>
      </c>
      <c r="C17" s="54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7"/>
      <c r="O17" s="7"/>
    </row>
    <row r="18" spans="1:15" x14ac:dyDescent="0.2">
      <c r="A18" s="285"/>
      <c r="B18" s="48" t="s">
        <v>74</v>
      </c>
      <c r="C18" s="51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7"/>
      <c r="O18" s="7"/>
    </row>
    <row r="19" spans="1:15" x14ac:dyDescent="0.2">
      <c r="A19" s="285"/>
      <c r="B19" s="48" t="s">
        <v>51</v>
      </c>
      <c r="C19" s="51">
        <v>0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7"/>
      <c r="O19" s="7"/>
    </row>
    <row r="20" spans="1:15" x14ac:dyDescent="0.2">
      <c r="A20" s="285"/>
      <c r="B20" s="48" t="s">
        <v>48</v>
      </c>
      <c r="C20" s="51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7"/>
      <c r="O20" s="7"/>
    </row>
    <row r="21" spans="1:15" x14ac:dyDescent="0.2">
      <c r="A21" s="285"/>
      <c r="B21" s="48" t="s">
        <v>75</v>
      </c>
      <c r="C21" s="53" t="e">
        <v>#DIV/0!</v>
      </c>
      <c r="D21" s="53" t="e">
        <v>#DIV/0!</v>
      </c>
      <c r="E21" s="53" t="e">
        <v>#DIV/0!</v>
      </c>
      <c r="F21" s="53" t="e">
        <v>#DIV/0!</v>
      </c>
      <c r="G21" s="53" t="e">
        <v>#DIV/0!</v>
      </c>
      <c r="H21" s="53" t="e">
        <v>#DIV/0!</v>
      </c>
      <c r="I21" s="53" t="e">
        <v>#DIV/0!</v>
      </c>
      <c r="J21" s="53" t="e">
        <v>#DIV/0!</v>
      </c>
      <c r="K21" s="53" t="e">
        <v>#DIV/0!</v>
      </c>
      <c r="L21" s="53" t="e">
        <v>#DIV/0!</v>
      </c>
      <c r="M21" s="53" t="e">
        <v>#DIV/0!</v>
      </c>
      <c r="N21" s="7"/>
      <c r="O21" s="7"/>
    </row>
    <row r="22" spans="1:15" x14ac:dyDescent="0.2">
      <c r="A22" s="285"/>
      <c r="B22" s="48" t="s">
        <v>76</v>
      </c>
      <c r="C22" s="16" t="e">
        <v>#DIV/0!</v>
      </c>
      <c r="D22" s="16" t="e">
        <v>#DIV/0!</v>
      </c>
      <c r="E22" s="16" t="e">
        <v>#DIV/0!</v>
      </c>
      <c r="F22" s="16" t="e">
        <v>#DIV/0!</v>
      </c>
      <c r="G22" s="16" t="e">
        <v>#DIV/0!</v>
      </c>
      <c r="H22" s="16" t="e">
        <v>#DIV/0!</v>
      </c>
      <c r="I22" s="16" t="e">
        <v>#DIV/0!</v>
      </c>
      <c r="J22" s="16" t="e">
        <v>#DIV/0!</v>
      </c>
      <c r="K22" s="16" t="e">
        <v>#DIV/0!</v>
      </c>
      <c r="L22" s="16" t="e">
        <v>#DIV/0!</v>
      </c>
      <c r="M22" s="16" t="e">
        <v>#DIV/0!</v>
      </c>
      <c r="N22" s="7"/>
      <c r="O22" s="7"/>
    </row>
    <row r="23" spans="1:15" x14ac:dyDescent="0.2">
      <c r="A23" s="285"/>
      <c r="B23" s="48" t="s">
        <v>41</v>
      </c>
      <c r="C23" s="56">
        <v>0</v>
      </c>
      <c r="D23" s="57">
        <v>0</v>
      </c>
      <c r="E23" s="57">
        <v>0</v>
      </c>
      <c r="F23" s="57">
        <v>0</v>
      </c>
      <c r="G23" s="57">
        <v>0</v>
      </c>
      <c r="H23" s="57">
        <v>0</v>
      </c>
      <c r="I23" s="57">
        <v>0</v>
      </c>
      <c r="J23" s="57">
        <v>0</v>
      </c>
      <c r="K23" s="57">
        <v>0</v>
      </c>
      <c r="L23" s="57">
        <v>0</v>
      </c>
      <c r="M23" s="57">
        <v>0</v>
      </c>
      <c r="N23" s="7"/>
      <c r="O23" s="7"/>
    </row>
    <row r="24" spans="1:15" x14ac:dyDescent="0.2">
      <c r="A24" s="285"/>
      <c r="B24" s="48" t="s">
        <v>50</v>
      </c>
      <c r="C24" s="58">
        <v>0</v>
      </c>
      <c r="D24" s="59">
        <v>0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7"/>
      <c r="O24" s="7"/>
    </row>
    <row r="25" spans="1:15" x14ac:dyDescent="0.2">
      <c r="A25" s="285"/>
      <c r="B25" s="48" t="s">
        <v>77</v>
      </c>
      <c r="C25" s="58">
        <v>0</v>
      </c>
      <c r="D25" s="59">
        <v>0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7"/>
      <c r="O25" s="7"/>
    </row>
    <row r="26" spans="1:15" x14ac:dyDescent="0.2">
      <c r="A26" s="285"/>
      <c r="B26" s="48" t="s">
        <v>78</v>
      </c>
      <c r="C26" s="60" t="e">
        <v>#DIV/0!</v>
      </c>
      <c r="D26" s="60" t="e">
        <v>#DIV/0!</v>
      </c>
      <c r="E26" s="60" t="e">
        <v>#DIV/0!</v>
      </c>
      <c r="F26" s="60" t="e">
        <v>#DIV/0!</v>
      </c>
      <c r="G26" s="60" t="e">
        <v>#DIV/0!</v>
      </c>
      <c r="H26" s="60" t="e">
        <v>#DIV/0!</v>
      </c>
      <c r="I26" s="60" t="e">
        <v>#DIV/0!</v>
      </c>
      <c r="J26" s="60" t="e">
        <v>#DIV/0!</v>
      </c>
      <c r="K26" s="60" t="e">
        <v>#DIV/0!</v>
      </c>
      <c r="L26" s="60" t="e">
        <v>#DIV/0!</v>
      </c>
      <c r="M26" s="60" t="e">
        <v>#DIV/0!</v>
      </c>
      <c r="N26" s="7"/>
      <c r="O26" s="7"/>
    </row>
    <row r="27" spans="1:15" x14ac:dyDescent="0.2">
      <c r="A27" s="285"/>
      <c r="B27" s="48" t="s">
        <v>79</v>
      </c>
      <c r="C27" s="60" t="e">
        <v>#DIV/0!</v>
      </c>
      <c r="D27" s="60" t="e">
        <v>#DIV/0!</v>
      </c>
      <c r="E27" s="60" t="e">
        <v>#DIV/0!</v>
      </c>
      <c r="F27" s="60" t="e">
        <v>#DIV/0!</v>
      </c>
      <c r="G27" s="60" t="e">
        <v>#DIV/0!</v>
      </c>
      <c r="H27" s="60" t="e">
        <v>#DIV/0!</v>
      </c>
      <c r="I27" s="60" t="e">
        <v>#DIV/0!</v>
      </c>
      <c r="J27" s="60" t="e">
        <v>#DIV/0!</v>
      </c>
      <c r="K27" s="60" t="e">
        <v>#DIV/0!</v>
      </c>
      <c r="L27" s="60" t="e">
        <v>#DIV/0!</v>
      </c>
      <c r="M27" s="60" t="e">
        <v>#DIV/0!</v>
      </c>
      <c r="N27" s="7"/>
      <c r="O27" s="7"/>
    </row>
    <row r="28" spans="1:15" x14ac:dyDescent="0.2">
      <c r="A28" s="285"/>
      <c r="B28" s="48" t="s">
        <v>80</v>
      </c>
      <c r="C28" s="16" t="e">
        <v>#DIV/0!</v>
      </c>
      <c r="D28" s="16" t="e">
        <v>#DIV/0!</v>
      </c>
      <c r="E28" s="16" t="e">
        <v>#DIV/0!</v>
      </c>
      <c r="F28" s="16" t="e">
        <v>#DIV/0!</v>
      </c>
      <c r="G28" s="16" t="e">
        <v>#DIV/0!</v>
      </c>
      <c r="H28" s="16" t="e">
        <v>#DIV/0!</v>
      </c>
      <c r="I28" s="16" t="e">
        <v>#DIV/0!</v>
      </c>
      <c r="J28" s="16" t="e">
        <v>#DIV/0!</v>
      </c>
      <c r="K28" s="16" t="e">
        <v>#DIV/0!</v>
      </c>
      <c r="L28" s="16" t="e">
        <v>#DIV/0!</v>
      </c>
      <c r="M28" s="16" t="e">
        <v>#DIV/0!</v>
      </c>
      <c r="N28" s="7"/>
      <c r="O28" s="7"/>
    </row>
    <row r="29" spans="1:15" x14ac:dyDescent="0.2">
      <c r="A29" s="285"/>
      <c r="B29" s="48" t="s">
        <v>81</v>
      </c>
      <c r="C29" s="54">
        <v>0</v>
      </c>
      <c r="D29" s="55">
        <v>0</v>
      </c>
      <c r="E29" s="55">
        <v>0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  <c r="L29" s="55">
        <v>0</v>
      </c>
      <c r="M29" s="55">
        <v>0</v>
      </c>
      <c r="N29" s="7"/>
      <c r="O29" s="7"/>
    </row>
    <row r="30" spans="1:15" x14ac:dyDescent="0.2">
      <c r="A30" s="285"/>
      <c r="B30" s="48" t="s">
        <v>82</v>
      </c>
      <c r="C30" s="51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7"/>
      <c r="O30" s="7"/>
    </row>
    <row r="31" spans="1:15" x14ac:dyDescent="0.2">
      <c r="A31" s="285"/>
      <c r="B31" s="48" t="s">
        <v>83</v>
      </c>
      <c r="C31" s="16" t="e">
        <v>#DIV/0!</v>
      </c>
      <c r="D31" s="16" t="e">
        <v>#DIV/0!</v>
      </c>
      <c r="E31" s="16" t="e">
        <v>#DIV/0!</v>
      </c>
      <c r="F31" s="16" t="e">
        <v>#DIV/0!</v>
      </c>
      <c r="G31" s="16" t="e">
        <v>#DIV/0!</v>
      </c>
      <c r="H31" s="16" t="e">
        <v>#DIV/0!</v>
      </c>
      <c r="I31" s="16" t="e">
        <v>#DIV/0!</v>
      </c>
      <c r="J31" s="16" t="e">
        <v>#DIV/0!</v>
      </c>
      <c r="K31" s="16" t="e">
        <v>#DIV/0!</v>
      </c>
      <c r="L31" s="16" t="e">
        <v>#DIV/0!</v>
      </c>
      <c r="M31" s="16" t="e">
        <v>#DIV/0!</v>
      </c>
      <c r="N31" s="7"/>
      <c r="O31" s="7"/>
    </row>
    <row r="32" spans="1:15" x14ac:dyDescent="0.2">
      <c r="A32" s="285"/>
      <c r="B32" s="48" t="s">
        <v>70</v>
      </c>
      <c r="C32" s="53" t="e">
        <v>#DIV/0!</v>
      </c>
      <c r="D32" s="53" t="e">
        <v>#DIV/0!</v>
      </c>
      <c r="E32" s="53" t="e">
        <v>#DIV/0!</v>
      </c>
      <c r="F32" s="53" t="e">
        <v>#DIV/0!</v>
      </c>
      <c r="G32" s="53" t="e">
        <v>#DIV/0!</v>
      </c>
      <c r="H32" s="53" t="e">
        <v>#DIV/0!</v>
      </c>
      <c r="I32" s="53" t="e">
        <v>#DIV/0!</v>
      </c>
      <c r="J32" s="53" t="e">
        <v>#DIV/0!</v>
      </c>
      <c r="K32" s="53" t="e">
        <v>#DIV/0!</v>
      </c>
      <c r="L32" s="53" t="e">
        <v>#DIV/0!</v>
      </c>
      <c r="M32" s="53" t="e">
        <v>#DIV/0!</v>
      </c>
      <c r="N32" s="7"/>
      <c r="O32" s="7"/>
    </row>
    <row r="33" spans="1:15" x14ac:dyDescent="0.2">
      <c r="A33" s="285"/>
      <c r="B33" s="48" t="s">
        <v>84</v>
      </c>
      <c r="C33" s="16" t="e">
        <v>#DIV/0!</v>
      </c>
      <c r="D33" s="16" t="e">
        <v>#DIV/0!</v>
      </c>
      <c r="E33" s="16" t="e">
        <v>#DIV/0!</v>
      </c>
      <c r="F33" s="16" t="e">
        <v>#DIV/0!</v>
      </c>
      <c r="G33" s="16" t="e">
        <v>#DIV/0!</v>
      </c>
      <c r="H33" s="16" t="e">
        <v>#DIV/0!</v>
      </c>
      <c r="I33" s="16" t="e">
        <v>#DIV/0!</v>
      </c>
      <c r="J33" s="16" t="e">
        <v>#DIV/0!</v>
      </c>
      <c r="K33" s="16" t="e">
        <v>#DIV/0!</v>
      </c>
      <c r="L33" s="16" t="e">
        <v>#DIV/0!</v>
      </c>
      <c r="M33" s="16" t="e">
        <v>#DIV/0!</v>
      </c>
      <c r="N33" s="7"/>
      <c r="O33" s="7"/>
    </row>
    <row r="34" spans="1:15" x14ac:dyDescent="0.2">
      <c r="A34" s="285"/>
      <c r="B34" s="48" t="s">
        <v>85</v>
      </c>
      <c r="C34" s="53" t="e">
        <v>#DIV/0!</v>
      </c>
      <c r="D34" s="53" t="e">
        <v>#DIV/0!</v>
      </c>
      <c r="E34" s="53" t="e">
        <v>#DIV/0!</v>
      </c>
      <c r="F34" s="53" t="e">
        <v>#DIV/0!</v>
      </c>
      <c r="G34" s="53" t="e">
        <v>#DIV/0!</v>
      </c>
      <c r="H34" s="53" t="e">
        <v>#DIV/0!</v>
      </c>
      <c r="I34" s="53" t="e">
        <v>#DIV/0!</v>
      </c>
      <c r="J34" s="53" t="e">
        <v>#DIV/0!</v>
      </c>
      <c r="K34" s="53" t="e">
        <v>#DIV/0!</v>
      </c>
      <c r="L34" s="53" t="e">
        <v>#DIV/0!</v>
      </c>
      <c r="M34" s="53" t="e">
        <v>#DIV/0!</v>
      </c>
      <c r="N34" s="7"/>
      <c r="O34" s="7"/>
    </row>
    <row r="35" spans="1:15" x14ac:dyDescent="0.2">
      <c r="A35" s="285"/>
      <c r="B35" s="48" t="s">
        <v>86</v>
      </c>
      <c r="C35" s="61" t="e">
        <v>#DIV/0!</v>
      </c>
      <c r="D35" s="61" t="e">
        <v>#DIV/0!</v>
      </c>
      <c r="E35" s="61" t="e">
        <v>#DIV/0!</v>
      </c>
      <c r="F35" s="61" t="e">
        <v>#DIV/0!</v>
      </c>
      <c r="G35" s="61" t="e">
        <v>#DIV/0!</v>
      </c>
      <c r="H35" s="61" t="e">
        <v>#DIV/0!</v>
      </c>
      <c r="I35" s="61" t="e">
        <v>#DIV/0!</v>
      </c>
      <c r="J35" s="61" t="e">
        <v>#DIV/0!</v>
      </c>
      <c r="K35" s="61" t="e">
        <v>#DIV/0!</v>
      </c>
      <c r="L35" s="61" t="e">
        <v>#DIV/0!</v>
      </c>
      <c r="M35" s="61" t="e">
        <v>#DIV/0!</v>
      </c>
      <c r="N35" s="7"/>
      <c r="O35" s="7"/>
    </row>
    <row r="36" spans="1:15" ht="17" thickBot="1" x14ac:dyDescent="0.25">
      <c r="A36" s="286"/>
      <c r="B36" s="48" t="s">
        <v>87</v>
      </c>
      <c r="C36" s="61" t="e">
        <v>#DIV/0!</v>
      </c>
      <c r="D36" s="61" t="e">
        <v>#DIV/0!</v>
      </c>
      <c r="E36" s="61" t="e">
        <v>#DIV/0!</v>
      </c>
      <c r="F36" s="61" t="e">
        <v>#DIV/0!</v>
      </c>
      <c r="G36" s="61" t="e">
        <v>#DIV/0!</v>
      </c>
      <c r="H36" s="61" t="e">
        <v>#DIV/0!</v>
      </c>
      <c r="I36" s="61" t="e">
        <v>#DIV/0!</v>
      </c>
      <c r="J36" s="61" t="e">
        <v>#DIV/0!</v>
      </c>
      <c r="K36" s="61" t="e">
        <v>#DIV/0!</v>
      </c>
      <c r="L36" s="61" t="e">
        <v>#DIV/0!</v>
      </c>
      <c r="M36" s="61" t="e">
        <v>#DIV/0!</v>
      </c>
      <c r="N36" s="7"/>
      <c r="O36" s="7"/>
    </row>
    <row r="37" spans="1:15" x14ac:dyDescent="0.2">
      <c r="A37" s="287" t="s">
        <v>88</v>
      </c>
      <c r="B37" s="62" t="s">
        <v>89</v>
      </c>
      <c r="C37" s="55">
        <v>0</v>
      </c>
      <c r="D37" s="55">
        <v>0</v>
      </c>
      <c r="E37" s="55">
        <v>0</v>
      </c>
      <c r="F37" s="55">
        <v>0</v>
      </c>
      <c r="G37" s="55">
        <v>0</v>
      </c>
      <c r="H37" s="55">
        <v>0</v>
      </c>
      <c r="I37" s="55">
        <v>0</v>
      </c>
      <c r="J37" s="55">
        <v>0</v>
      </c>
      <c r="K37" s="55">
        <v>0</v>
      </c>
      <c r="L37" s="55">
        <v>0</v>
      </c>
      <c r="M37" s="55">
        <v>0</v>
      </c>
      <c r="N37" s="7"/>
      <c r="O37" s="7"/>
    </row>
    <row r="38" spans="1:15" x14ac:dyDescent="0.2">
      <c r="A38" s="285"/>
      <c r="B38" s="40" t="s">
        <v>90</v>
      </c>
      <c r="C38" s="53" t="e">
        <v>#DIV/0!</v>
      </c>
      <c r="D38" s="53" t="e">
        <v>#DIV/0!</v>
      </c>
      <c r="E38" s="53" t="e">
        <v>#DIV/0!</v>
      </c>
      <c r="F38" s="53" t="e">
        <v>#DIV/0!</v>
      </c>
      <c r="G38" s="53" t="e">
        <v>#DIV/0!</v>
      </c>
      <c r="H38" s="53" t="e">
        <v>#DIV/0!</v>
      </c>
      <c r="I38" s="53" t="e">
        <v>#DIV/0!</v>
      </c>
      <c r="J38" s="53" t="e">
        <v>#DIV/0!</v>
      </c>
      <c r="K38" s="53" t="e">
        <v>#DIV/0!</v>
      </c>
      <c r="L38" s="53" t="e">
        <v>#DIV/0!</v>
      </c>
      <c r="M38" s="53" t="e">
        <v>#DIV/0!</v>
      </c>
      <c r="N38" s="7"/>
      <c r="O38" s="7"/>
    </row>
    <row r="39" spans="1:15" x14ac:dyDescent="0.2">
      <c r="A39" s="285"/>
      <c r="B39" s="40" t="s">
        <v>91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5">
        <v>0</v>
      </c>
      <c r="N39" s="7"/>
      <c r="O39" s="7"/>
    </row>
    <row r="40" spans="1:15" x14ac:dyDescent="0.2">
      <c r="A40" s="285"/>
      <c r="B40" s="40" t="s">
        <v>92</v>
      </c>
      <c r="C40" s="53" t="e">
        <v>#DIV/0!</v>
      </c>
      <c r="D40" s="53" t="e">
        <v>#DIV/0!</v>
      </c>
      <c r="E40" s="53" t="e">
        <v>#DIV/0!</v>
      </c>
      <c r="F40" s="53" t="e">
        <v>#DIV/0!</v>
      </c>
      <c r="G40" s="53" t="e">
        <v>#DIV/0!</v>
      </c>
      <c r="H40" s="53" t="e">
        <v>#DIV/0!</v>
      </c>
      <c r="I40" s="53" t="e">
        <v>#DIV/0!</v>
      </c>
      <c r="J40" s="53" t="e">
        <v>#DIV/0!</v>
      </c>
      <c r="K40" s="53" t="e">
        <v>#DIV/0!</v>
      </c>
      <c r="L40" s="53" t="e">
        <v>#DIV/0!</v>
      </c>
      <c r="M40" s="53" t="e">
        <v>#DIV/0!</v>
      </c>
      <c r="N40" s="7"/>
      <c r="O40" s="7"/>
    </row>
    <row r="41" spans="1:15" x14ac:dyDescent="0.2">
      <c r="A41" s="285"/>
      <c r="B41" s="40" t="s">
        <v>93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7"/>
      <c r="O41" s="7"/>
    </row>
    <row r="42" spans="1:15" x14ac:dyDescent="0.2">
      <c r="A42" s="285"/>
      <c r="B42" s="40" t="s">
        <v>94</v>
      </c>
      <c r="C42" s="53" t="e">
        <v>#DIV/0!</v>
      </c>
      <c r="D42" s="53" t="e">
        <v>#DIV/0!</v>
      </c>
      <c r="E42" s="53" t="e">
        <v>#DIV/0!</v>
      </c>
      <c r="F42" s="53" t="e">
        <v>#DIV/0!</v>
      </c>
      <c r="G42" s="53" t="e">
        <v>#DIV/0!</v>
      </c>
      <c r="H42" s="53" t="e">
        <v>#DIV/0!</v>
      </c>
      <c r="I42" s="53" t="e">
        <v>#DIV/0!</v>
      </c>
      <c r="J42" s="53" t="e">
        <v>#DIV/0!</v>
      </c>
      <c r="K42" s="53" t="e">
        <v>#DIV/0!</v>
      </c>
      <c r="L42" s="53" t="e">
        <v>#DIV/0!</v>
      </c>
      <c r="M42" s="53" t="e">
        <v>#DIV/0!</v>
      </c>
      <c r="N42" s="7"/>
      <c r="O42" s="7"/>
    </row>
    <row r="43" spans="1:15" x14ac:dyDescent="0.2">
      <c r="A43" s="285"/>
      <c r="B43" s="40" t="s">
        <v>95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55">
        <v>0</v>
      </c>
      <c r="M43" s="55">
        <v>0</v>
      </c>
      <c r="N43" s="7"/>
      <c r="O43" s="7"/>
    </row>
    <row r="44" spans="1:15" ht="17" thickBot="1" x14ac:dyDescent="0.25">
      <c r="A44" s="286"/>
      <c r="B44" s="41" t="s">
        <v>96</v>
      </c>
      <c r="C44" s="53" t="e">
        <v>#DIV/0!</v>
      </c>
      <c r="D44" s="53" t="e">
        <v>#DIV/0!</v>
      </c>
      <c r="E44" s="53" t="e">
        <v>#DIV/0!</v>
      </c>
      <c r="F44" s="53" t="e">
        <v>#DIV/0!</v>
      </c>
      <c r="G44" s="53" t="e">
        <v>#DIV/0!</v>
      </c>
      <c r="H44" s="53" t="e">
        <v>#DIV/0!</v>
      </c>
      <c r="I44" s="53" t="e">
        <v>#DIV/0!</v>
      </c>
      <c r="J44" s="53" t="e">
        <v>#DIV/0!</v>
      </c>
      <c r="K44" s="53" t="e">
        <v>#DIV/0!</v>
      </c>
      <c r="L44" s="53" t="e">
        <v>#DIV/0!</v>
      </c>
      <c r="M44" s="53" t="e">
        <v>#DIV/0!</v>
      </c>
      <c r="N44" s="7"/>
      <c r="O44" s="7"/>
    </row>
    <row r="45" spans="1:15" x14ac:dyDescent="0.2">
      <c r="A45" s="287" t="s">
        <v>97</v>
      </c>
      <c r="B45" s="40" t="s">
        <v>98</v>
      </c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>
        <v>0</v>
      </c>
      <c r="I45" s="55">
        <v>0</v>
      </c>
      <c r="J45" s="55">
        <v>0</v>
      </c>
      <c r="K45" s="55">
        <v>0</v>
      </c>
      <c r="L45" s="55">
        <v>0</v>
      </c>
      <c r="M45" s="55">
        <v>0</v>
      </c>
      <c r="N45" s="7"/>
      <c r="O45" s="7"/>
    </row>
    <row r="46" spans="1:15" x14ac:dyDescent="0.2">
      <c r="A46" s="285"/>
      <c r="B46" s="40" t="s">
        <v>99</v>
      </c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7"/>
      <c r="O46" s="7"/>
    </row>
    <row r="47" spans="1:15" x14ac:dyDescent="0.2">
      <c r="A47" s="285"/>
      <c r="B47" s="40" t="s">
        <v>100</v>
      </c>
      <c r="C47" s="53" t="e">
        <v>#DIV/0!</v>
      </c>
      <c r="D47" s="53" t="e">
        <v>#DIV/0!</v>
      </c>
      <c r="E47" s="53" t="e">
        <v>#DIV/0!</v>
      </c>
      <c r="F47" s="53" t="e">
        <v>#DIV/0!</v>
      </c>
      <c r="G47" s="53" t="e">
        <v>#DIV/0!</v>
      </c>
      <c r="H47" s="53" t="e">
        <v>#DIV/0!</v>
      </c>
      <c r="I47" s="53" t="e">
        <v>#DIV/0!</v>
      </c>
      <c r="J47" s="53" t="e">
        <v>#DIV/0!</v>
      </c>
      <c r="K47" s="53" t="e">
        <v>#DIV/0!</v>
      </c>
      <c r="L47" s="53" t="e">
        <v>#DIV/0!</v>
      </c>
      <c r="M47" s="53" t="e">
        <v>#DIV/0!</v>
      </c>
      <c r="N47" s="7"/>
      <c r="O47" s="7"/>
    </row>
    <row r="48" spans="1:15" x14ac:dyDescent="0.2">
      <c r="A48" s="285"/>
      <c r="B48" s="41" t="s">
        <v>101</v>
      </c>
      <c r="C48" s="53" t="e">
        <v>#DIV/0!</v>
      </c>
      <c r="D48" s="53" t="e">
        <v>#DIV/0!</v>
      </c>
      <c r="E48" s="53" t="e">
        <v>#DIV/0!</v>
      </c>
      <c r="F48" s="53" t="e">
        <v>#DIV/0!</v>
      </c>
      <c r="G48" s="53" t="e">
        <v>#DIV/0!</v>
      </c>
      <c r="H48" s="53" t="e">
        <v>#DIV/0!</v>
      </c>
      <c r="I48" s="53" t="e">
        <v>#DIV/0!</v>
      </c>
      <c r="J48" s="53" t="e">
        <v>#DIV/0!</v>
      </c>
      <c r="K48" s="53" t="e">
        <v>#DIV/0!</v>
      </c>
      <c r="L48" s="53" t="e">
        <v>#DIV/0!</v>
      </c>
      <c r="M48" s="53" t="e">
        <v>#DIV/0!</v>
      </c>
      <c r="N48" s="7"/>
      <c r="O48" s="7"/>
    </row>
    <row r="49" spans="1:15" x14ac:dyDescent="0.2">
      <c r="A49" s="285"/>
      <c r="B49" s="40" t="s">
        <v>102</v>
      </c>
      <c r="C49" s="55">
        <v>0</v>
      </c>
      <c r="D49" s="55">
        <v>0</v>
      </c>
      <c r="E49" s="55">
        <v>0</v>
      </c>
      <c r="F49" s="55">
        <v>0</v>
      </c>
      <c r="G49" s="55">
        <v>0</v>
      </c>
      <c r="H49" s="55">
        <v>0</v>
      </c>
      <c r="I49" s="55">
        <v>0</v>
      </c>
      <c r="J49" s="55">
        <v>0</v>
      </c>
      <c r="K49" s="55">
        <v>0</v>
      </c>
      <c r="L49" s="55">
        <v>0</v>
      </c>
      <c r="M49" s="55">
        <v>0</v>
      </c>
      <c r="N49" s="7"/>
      <c r="O49" s="7"/>
    </row>
    <row r="50" spans="1:15" x14ac:dyDescent="0.2">
      <c r="A50" s="285"/>
      <c r="B50" s="40" t="s">
        <v>103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7"/>
      <c r="O50" s="7"/>
    </row>
    <row r="51" spans="1:15" x14ac:dyDescent="0.2">
      <c r="A51" s="285"/>
      <c r="B51" s="40" t="s">
        <v>104</v>
      </c>
      <c r="C51" s="53" t="e">
        <v>#DIV/0!</v>
      </c>
      <c r="D51" s="53" t="e">
        <v>#DIV/0!</v>
      </c>
      <c r="E51" s="53" t="e">
        <v>#DIV/0!</v>
      </c>
      <c r="F51" s="53" t="e">
        <v>#DIV/0!</v>
      </c>
      <c r="G51" s="53" t="e">
        <v>#DIV/0!</v>
      </c>
      <c r="H51" s="53" t="e">
        <v>#DIV/0!</v>
      </c>
      <c r="I51" s="53" t="e">
        <v>#DIV/0!</v>
      </c>
      <c r="J51" s="53" t="e">
        <v>#DIV/0!</v>
      </c>
      <c r="K51" s="53" t="e">
        <v>#DIV/0!</v>
      </c>
      <c r="L51" s="53" t="e">
        <v>#DIV/0!</v>
      </c>
      <c r="M51" s="53" t="e">
        <v>#DIV/0!</v>
      </c>
      <c r="N51" s="7"/>
      <c r="O51" s="7"/>
    </row>
    <row r="52" spans="1:15" x14ac:dyDescent="0.2">
      <c r="A52" s="285"/>
      <c r="B52" s="41" t="s">
        <v>105</v>
      </c>
      <c r="C52" s="53" t="e">
        <v>#DIV/0!</v>
      </c>
      <c r="D52" s="53" t="e">
        <v>#DIV/0!</v>
      </c>
      <c r="E52" s="53" t="e">
        <v>#DIV/0!</v>
      </c>
      <c r="F52" s="53" t="e">
        <v>#DIV/0!</v>
      </c>
      <c r="G52" s="53" t="e">
        <v>#DIV/0!</v>
      </c>
      <c r="H52" s="53" t="e">
        <v>#DIV/0!</v>
      </c>
      <c r="I52" s="53" t="e">
        <v>#DIV/0!</v>
      </c>
      <c r="J52" s="53" t="e">
        <v>#DIV/0!</v>
      </c>
      <c r="K52" s="53" t="e">
        <v>#DIV/0!</v>
      </c>
      <c r="L52" s="53" t="e">
        <v>#DIV/0!</v>
      </c>
      <c r="M52" s="53" t="e">
        <v>#DIV/0!</v>
      </c>
      <c r="N52" s="7"/>
      <c r="O52" s="7"/>
    </row>
    <row r="53" spans="1:15" x14ac:dyDescent="0.2">
      <c r="A53" s="285"/>
      <c r="B53" s="40" t="s">
        <v>106</v>
      </c>
      <c r="C53" s="55">
        <v>0</v>
      </c>
      <c r="D53" s="55">
        <v>0</v>
      </c>
      <c r="E53" s="55">
        <v>0</v>
      </c>
      <c r="F53" s="55">
        <v>0</v>
      </c>
      <c r="G53" s="55">
        <v>0</v>
      </c>
      <c r="H53" s="55">
        <v>0</v>
      </c>
      <c r="I53" s="55">
        <v>0</v>
      </c>
      <c r="J53" s="55">
        <v>0</v>
      </c>
      <c r="K53" s="55">
        <v>0</v>
      </c>
      <c r="L53" s="55">
        <v>0</v>
      </c>
      <c r="M53" s="55">
        <v>0</v>
      </c>
      <c r="N53" s="7"/>
      <c r="O53" s="7"/>
    </row>
    <row r="54" spans="1:15" x14ac:dyDescent="0.2">
      <c r="A54" s="285"/>
      <c r="B54" s="40" t="s">
        <v>107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7"/>
      <c r="O54" s="7"/>
    </row>
    <row r="55" spans="1:15" x14ac:dyDescent="0.2">
      <c r="A55" s="285"/>
      <c r="B55" s="40" t="s">
        <v>108</v>
      </c>
      <c r="C55" s="53" t="e">
        <v>#DIV/0!</v>
      </c>
      <c r="D55" s="53" t="e">
        <v>#DIV/0!</v>
      </c>
      <c r="E55" s="53" t="e">
        <v>#DIV/0!</v>
      </c>
      <c r="F55" s="53" t="e">
        <v>#DIV/0!</v>
      </c>
      <c r="G55" s="53" t="e">
        <v>#DIV/0!</v>
      </c>
      <c r="H55" s="53" t="e">
        <v>#DIV/0!</v>
      </c>
      <c r="I55" s="53" t="e">
        <v>#DIV/0!</v>
      </c>
      <c r="J55" s="53" t="e">
        <v>#DIV/0!</v>
      </c>
      <c r="K55" s="53" t="e">
        <v>#DIV/0!</v>
      </c>
      <c r="L55" s="53" t="e">
        <v>#DIV/0!</v>
      </c>
      <c r="M55" s="53" t="e">
        <v>#DIV/0!</v>
      </c>
      <c r="N55" s="7"/>
      <c r="O55" s="7"/>
    </row>
    <row r="56" spans="1:15" x14ac:dyDescent="0.2">
      <c r="A56" s="285"/>
      <c r="B56" s="41" t="s">
        <v>109</v>
      </c>
      <c r="C56" s="53" t="e">
        <v>#DIV/0!</v>
      </c>
      <c r="D56" s="53" t="e">
        <v>#DIV/0!</v>
      </c>
      <c r="E56" s="53" t="e">
        <v>#DIV/0!</v>
      </c>
      <c r="F56" s="53" t="e">
        <v>#DIV/0!</v>
      </c>
      <c r="G56" s="53" t="e">
        <v>#DIV/0!</v>
      </c>
      <c r="H56" s="53" t="e">
        <v>#DIV/0!</v>
      </c>
      <c r="I56" s="53" t="e">
        <v>#DIV/0!</v>
      </c>
      <c r="J56" s="53" t="e">
        <v>#DIV/0!</v>
      </c>
      <c r="K56" s="53" t="e">
        <v>#DIV/0!</v>
      </c>
      <c r="L56" s="53" t="e">
        <v>#DIV/0!</v>
      </c>
      <c r="M56" s="53" t="e">
        <v>#DIV/0!</v>
      </c>
      <c r="N56" s="7"/>
      <c r="O56" s="7"/>
    </row>
    <row r="57" spans="1:15" x14ac:dyDescent="0.2">
      <c r="A57" s="285"/>
      <c r="B57" s="40" t="s">
        <v>110</v>
      </c>
      <c r="C57" s="55">
        <v>0</v>
      </c>
      <c r="D57" s="55">
        <v>0</v>
      </c>
      <c r="E57" s="55">
        <v>0</v>
      </c>
      <c r="F57" s="55">
        <v>0</v>
      </c>
      <c r="G57" s="55">
        <v>0</v>
      </c>
      <c r="H57" s="55">
        <v>0</v>
      </c>
      <c r="I57" s="55">
        <v>0</v>
      </c>
      <c r="J57" s="55">
        <v>0</v>
      </c>
      <c r="K57" s="55">
        <v>0</v>
      </c>
      <c r="L57" s="55">
        <v>0</v>
      </c>
      <c r="M57" s="55">
        <v>0</v>
      </c>
      <c r="N57" s="7"/>
      <c r="O57" s="7"/>
    </row>
    <row r="58" spans="1:15" x14ac:dyDescent="0.2">
      <c r="A58" s="285"/>
      <c r="B58" s="40" t="s">
        <v>111</v>
      </c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7"/>
      <c r="O58" s="7"/>
    </row>
    <row r="59" spans="1:15" x14ac:dyDescent="0.2">
      <c r="A59" s="285"/>
      <c r="B59" s="40" t="s">
        <v>112</v>
      </c>
      <c r="C59" s="53" t="e">
        <v>#DIV/0!</v>
      </c>
      <c r="D59" s="53" t="e">
        <v>#DIV/0!</v>
      </c>
      <c r="E59" s="53" t="e">
        <v>#DIV/0!</v>
      </c>
      <c r="F59" s="53" t="e">
        <v>#DIV/0!</v>
      </c>
      <c r="G59" s="53" t="e">
        <v>#DIV/0!</v>
      </c>
      <c r="H59" s="53" t="e">
        <v>#DIV/0!</v>
      </c>
      <c r="I59" s="53" t="e">
        <v>#DIV/0!</v>
      </c>
      <c r="J59" s="53" t="e">
        <v>#DIV/0!</v>
      </c>
      <c r="K59" s="53" t="e">
        <v>#DIV/0!</v>
      </c>
      <c r="L59" s="53" t="e">
        <v>#DIV/0!</v>
      </c>
      <c r="M59" s="53" t="e">
        <v>#DIV/0!</v>
      </c>
      <c r="N59" s="7"/>
      <c r="O59" s="7"/>
    </row>
    <row r="60" spans="1:15" ht="17" thickBot="1" x14ac:dyDescent="0.25">
      <c r="A60" s="286"/>
      <c r="B60" s="41" t="s">
        <v>113</v>
      </c>
      <c r="C60" s="53" t="e">
        <v>#DIV/0!</v>
      </c>
      <c r="D60" s="53" t="e">
        <v>#DIV/0!</v>
      </c>
      <c r="E60" s="53" t="e">
        <v>#DIV/0!</v>
      </c>
      <c r="F60" s="53" t="e">
        <v>#DIV/0!</v>
      </c>
      <c r="G60" s="53" t="e">
        <v>#DIV/0!</v>
      </c>
      <c r="H60" s="53" t="e">
        <v>#DIV/0!</v>
      </c>
      <c r="I60" s="53" t="e">
        <v>#DIV/0!</v>
      </c>
      <c r="J60" s="53" t="e">
        <v>#DIV/0!</v>
      </c>
      <c r="K60" s="53" t="e">
        <v>#DIV/0!</v>
      </c>
      <c r="L60" s="53" t="e">
        <v>#DIV/0!</v>
      </c>
      <c r="M60" s="53" t="e">
        <v>#DIV/0!</v>
      </c>
      <c r="N60" s="7"/>
      <c r="O60" s="7"/>
    </row>
    <row r="61" spans="1:15" x14ac:dyDescent="0.2">
      <c r="A61" s="287" t="s">
        <v>114</v>
      </c>
      <c r="B61" s="40" t="s">
        <v>115</v>
      </c>
      <c r="C61" s="55">
        <v>0</v>
      </c>
      <c r="D61" s="55">
        <v>0</v>
      </c>
      <c r="E61" s="55">
        <v>0</v>
      </c>
      <c r="F61" s="55">
        <v>0</v>
      </c>
      <c r="G61" s="55">
        <v>0</v>
      </c>
      <c r="H61" s="55">
        <v>0</v>
      </c>
      <c r="I61" s="55">
        <v>0</v>
      </c>
      <c r="J61" s="55">
        <v>0</v>
      </c>
      <c r="K61" s="55">
        <v>0</v>
      </c>
      <c r="L61" s="55">
        <v>0</v>
      </c>
      <c r="M61" s="55">
        <v>0</v>
      </c>
      <c r="N61" s="7"/>
      <c r="O61" s="7"/>
    </row>
    <row r="62" spans="1:15" x14ac:dyDescent="0.2">
      <c r="A62" s="285"/>
      <c r="B62" s="40" t="s">
        <v>116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7"/>
      <c r="O62" s="7"/>
    </row>
    <row r="63" spans="1:15" x14ac:dyDescent="0.2">
      <c r="A63" s="285"/>
      <c r="B63" s="40" t="s">
        <v>117</v>
      </c>
      <c r="C63" s="53" t="e">
        <v>#DIV/0!</v>
      </c>
      <c r="D63" s="53" t="e">
        <v>#DIV/0!</v>
      </c>
      <c r="E63" s="53" t="e">
        <v>#DIV/0!</v>
      </c>
      <c r="F63" s="53" t="e">
        <v>#DIV/0!</v>
      </c>
      <c r="G63" s="53" t="e">
        <v>#DIV/0!</v>
      </c>
      <c r="H63" s="53" t="e">
        <v>#DIV/0!</v>
      </c>
      <c r="I63" s="53" t="e">
        <v>#DIV/0!</v>
      </c>
      <c r="J63" s="53" t="e">
        <v>#DIV/0!</v>
      </c>
      <c r="K63" s="53" t="e">
        <v>#DIV/0!</v>
      </c>
      <c r="L63" s="53" t="e">
        <v>#DIV/0!</v>
      </c>
      <c r="M63" s="53" t="e">
        <v>#DIV/0!</v>
      </c>
      <c r="N63" s="7"/>
      <c r="O63" s="7"/>
    </row>
    <row r="64" spans="1:15" x14ac:dyDescent="0.2">
      <c r="A64" s="285"/>
      <c r="B64" s="40" t="s">
        <v>118</v>
      </c>
      <c r="C64" s="57">
        <v>0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57">
        <v>0</v>
      </c>
      <c r="L64" s="57">
        <v>0</v>
      </c>
      <c r="M64" s="57">
        <v>0</v>
      </c>
      <c r="N64" s="7"/>
      <c r="O64" s="7"/>
    </row>
    <row r="65" spans="1:15" x14ac:dyDescent="0.2">
      <c r="A65" s="285"/>
      <c r="B65" s="40" t="s">
        <v>119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7"/>
      <c r="O65" s="7"/>
    </row>
    <row r="66" spans="1:15" x14ac:dyDescent="0.2">
      <c r="A66" s="285"/>
      <c r="B66" s="40" t="s">
        <v>120</v>
      </c>
      <c r="C66" s="53" t="e">
        <v>#DIV/0!</v>
      </c>
      <c r="D66" s="53" t="e">
        <v>#DIV/0!</v>
      </c>
      <c r="E66" s="53" t="e">
        <v>#DIV/0!</v>
      </c>
      <c r="F66" s="53" t="e">
        <v>#DIV/0!</v>
      </c>
      <c r="G66" s="53" t="e">
        <v>#DIV/0!</v>
      </c>
      <c r="H66" s="53" t="e">
        <v>#DIV/0!</v>
      </c>
      <c r="I66" s="53" t="e">
        <v>#DIV/0!</v>
      </c>
      <c r="J66" s="53" t="e">
        <v>#DIV/0!</v>
      </c>
      <c r="K66" s="53" t="e">
        <v>#DIV/0!</v>
      </c>
      <c r="L66" s="53" t="e">
        <v>#DIV/0!</v>
      </c>
      <c r="M66" s="53" t="e">
        <v>#DIV/0!</v>
      </c>
      <c r="N66" s="7"/>
      <c r="O66" s="7"/>
    </row>
    <row r="67" spans="1:15" x14ac:dyDescent="0.2">
      <c r="A67" s="285"/>
      <c r="B67" s="40" t="s">
        <v>121</v>
      </c>
      <c r="C67" s="55">
        <v>0</v>
      </c>
      <c r="D67" s="55">
        <v>0</v>
      </c>
      <c r="E67" s="55">
        <v>0</v>
      </c>
      <c r="F67" s="55">
        <v>0</v>
      </c>
      <c r="G67" s="55">
        <v>0</v>
      </c>
      <c r="H67" s="55">
        <v>0</v>
      </c>
      <c r="I67" s="55">
        <v>0</v>
      </c>
      <c r="J67" s="55">
        <v>0</v>
      </c>
      <c r="K67" s="55">
        <v>0</v>
      </c>
      <c r="L67" s="55">
        <v>0</v>
      </c>
      <c r="M67" s="55">
        <v>0</v>
      </c>
      <c r="N67" s="7"/>
      <c r="O67" s="7"/>
    </row>
    <row r="68" spans="1:15" x14ac:dyDescent="0.2">
      <c r="A68" s="285"/>
      <c r="B68" s="40" t="s">
        <v>122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7"/>
      <c r="O68" s="7"/>
    </row>
    <row r="69" spans="1:15" x14ac:dyDescent="0.2">
      <c r="A69" s="285"/>
      <c r="B69" s="40" t="s">
        <v>123</v>
      </c>
      <c r="C69" s="53" t="e">
        <v>#DIV/0!</v>
      </c>
      <c r="D69" s="53" t="e">
        <v>#DIV/0!</v>
      </c>
      <c r="E69" s="53" t="e">
        <v>#DIV/0!</v>
      </c>
      <c r="F69" s="53" t="e">
        <v>#DIV/0!</v>
      </c>
      <c r="G69" s="53" t="e">
        <v>#DIV/0!</v>
      </c>
      <c r="H69" s="53" t="e">
        <v>#DIV/0!</v>
      </c>
      <c r="I69" s="53" t="e">
        <v>#DIV/0!</v>
      </c>
      <c r="J69" s="53" t="e">
        <v>#DIV/0!</v>
      </c>
      <c r="K69" s="53" t="e">
        <v>#DIV/0!</v>
      </c>
      <c r="L69" s="53" t="e">
        <v>#DIV/0!</v>
      </c>
      <c r="M69" s="53" t="e">
        <v>#DIV/0!</v>
      </c>
      <c r="N69" s="7"/>
      <c r="O69" s="7"/>
    </row>
    <row r="70" spans="1:15" x14ac:dyDescent="0.2">
      <c r="A70" s="285"/>
      <c r="B70" s="40" t="s">
        <v>124</v>
      </c>
      <c r="C70" s="55">
        <v>0</v>
      </c>
      <c r="D70" s="55">
        <v>0</v>
      </c>
      <c r="E70" s="55">
        <v>0</v>
      </c>
      <c r="F70" s="55">
        <v>0</v>
      </c>
      <c r="G70" s="55">
        <v>0</v>
      </c>
      <c r="H70" s="55">
        <v>0</v>
      </c>
      <c r="I70" s="55">
        <v>0</v>
      </c>
      <c r="J70" s="55">
        <v>0</v>
      </c>
      <c r="K70" s="55">
        <v>0</v>
      </c>
      <c r="L70" s="55">
        <v>0</v>
      </c>
      <c r="M70" s="55">
        <v>0</v>
      </c>
      <c r="N70" s="7"/>
      <c r="O70" s="7"/>
    </row>
    <row r="71" spans="1:15" x14ac:dyDescent="0.2">
      <c r="A71" s="285"/>
      <c r="B71" s="40" t="s">
        <v>125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7"/>
      <c r="O71" s="7"/>
    </row>
    <row r="72" spans="1:15" ht="17" thickBot="1" x14ac:dyDescent="0.25">
      <c r="A72" s="286"/>
      <c r="B72" s="41" t="s">
        <v>126</v>
      </c>
      <c r="C72" s="53" t="e">
        <v>#DIV/0!</v>
      </c>
      <c r="D72" s="53" t="e">
        <v>#DIV/0!</v>
      </c>
      <c r="E72" s="53" t="e">
        <v>#DIV/0!</v>
      </c>
      <c r="F72" s="53" t="e">
        <v>#DIV/0!</v>
      </c>
      <c r="G72" s="53" t="e">
        <v>#DIV/0!</v>
      </c>
      <c r="H72" s="53" t="e">
        <v>#DIV/0!</v>
      </c>
      <c r="I72" s="53" t="e">
        <v>#DIV/0!</v>
      </c>
      <c r="J72" s="53" t="e">
        <v>#DIV/0!</v>
      </c>
      <c r="K72" s="53" t="e">
        <v>#DIV/0!</v>
      </c>
      <c r="L72" s="53" t="e">
        <v>#DIV/0!</v>
      </c>
      <c r="M72" s="53" t="e">
        <v>#DIV/0!</v>
      </c>
      <c r="N72" s="7"/>
      <c r="O72" s="7"/>
    </row>
    <row r="73" spans="1:15" ht="17" thickBot="1" x14ac:dyDescent="0.25">
      <c r="A73" s="7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7"/>
      <c r="O73" s="7"/>
    </row>
    <row r="74" spans="1:15" x14ac:dyDescent="0.2">
      <c r="A74" s="288" t="s">
        <v>127</v>
      </c>
      <c r="B74" s="13"/>
      <c r="C74" s="276">
        <v>50</v>
      </c>
      <c r="D74" s="290">
        <v>50</v>
      </c>
      <c r="E74" s="290">
        <v>50</v>
      </c>
      <c r="F74" s="276">
        <v>50</v>
      </c>
      <c r="G74" s="276">
        <v>50</v>
      </c>
      <c r="H74" s="276">
        <v>50</v>
      </c>
      <c r="I74" s="276">
        <v>50</v>
      </c>
      <c r="J74" s="276">
        <v>50</v>
      </c>
      <c r="K74" s="276">
        <v>50</v>
      </c>
      <c r="L74" s="276">
        <v>50</v>
      </c>
      <c r="M74" s="276">
        <v>50</v>
      </c>
      <c r="N74" s="7"/>
      <c r="O74" s="265">
        <v>50</v>
      </c>
    </row>
    <row r="75" spans="1:15" ht="17" thickBot="1" x14ac:dyDescent="0.25">
      <c r="A75" s="289"/>
      <c r="B75" s="13"/>
      <c r="C75" s="277"/>
      <c r="D75" s="291"/>
      <c r="E75" s="291"/>
      <c r="F75" s="277"/>
      <c r="G75" s="277"/>
      <c r="H75" s="277"/>
      <c r="I75" s="277"/>
      <c r="J75" s="277"/>
      <c r="K75" s="277"/>
      <c r="L75" s="277"/>
      <c r="M75" s="277"/>
      <c r="N75" s="7"/>
      <c r="O75" s="266"/>
    </row>
    <row r="76" spans="1:15" x14ac:dyDescent="0.2">
      <c r="A76" s="7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7"/>
      <c r="O76" s="7"/>
    </row>
    <row r="77" spans="1:15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1:15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1:15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1:15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</sheetData>
  <mergeCells count="19">
    <mergeCell ref="G74:G75"/>
    <mergeCell ref="B1:M1"/>
    <mergeCell ref="B2:M2"/>
    <mergeCell ref="A5:A36"/>
    <mergeCell ref="A37:A44"/>
    <mergeCell ref="A45:A60"/>
    <mergeCell ref="A61:A72"/>
    <mergeCell ref="A74:A75"/>
    <mergeCell ref="C74:C75"/>
    <mergeCell ref="D74:D75"/>
    <mergeCell ref="E74:E75"/>
    <mergeCell ref="F74:F75"/>
    <mergeCell ref="O74:O75"/>
    <mergeCell ref="H74:H75"/>
    <mergeCell ref="I74:I75"/>
    <mergeCell ref="J74:J75"/>
    <mergeCell ref="K74:K75"/>
    <mergeCell ref="L74:L75"/>
    <mergeCell ref="M74:M7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32804-7832-704E-AEDB-462CE1B7D38F}">
  <dimension ref="A1"/>
  <sheetViews>
    <sheetView workbookViewId="0">
      <selection activeCell="F29" sqref="F29"/>
    </sheetView>
  </sheetViews>
  <sheetFormatPr baseColWidth="10" defaultRowHeight="16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0F1BE-108A-444B-970E-C3A4F78887BE}">
  <dimension ref="A1"/>
  <sheetViews>
    <sheetView workbookViewId="0">
      <selection activeCell="J29" sqref="J29"/>
    </sheetView>
  </sheetViews>
  <sheetFormatPr baseColWidth="10" defaultRowHeight="16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E8447-4D23-0C44-A672-73B30CEEE3F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06A8-BFD0-D847-999A-9647D29672C6}">
  <dimension ref="A1"/>
  <sheetViews>
    <sheetView workbookViewId="0">
      <selection activeCell="L37" sqref="L37"/>
    </sheetView>
  </sheetViews>
  <sheetFormatPr baseColWidth="10" defaultRowHeight="16" x14ac:dyDescent="0.2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4A78E-C55B-5446-A3BA-6FA906972C77}">
  <dimension ref="A1"/>
  <sheetViews>
    <sheetView workbookViewId="0">
      <selection activeCell="I39" sqref="I39"/>
    </sheetView>
  </sheetViews>
  <sheetFormatPr baseColWidth="10" defaultRowHeight="16" x14ac:dyDescent="0.2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4AB16-8449-8545-B6D7-C781FE982CB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BFF05-786B-9E4B-9A64-97DB37C85217}">
  <dimension ref="A1"/>
  <sheetViews>
    <sheetView workbookViewId="0">
      <selection activeCell="O38" sqref="O38"/>
    </sheetView>
  </sheetViews>
  <sheetFormatPr baseColWidth="10" defaultRowHeight="16" x14ac:dyDescent="0.2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E3CF4-3818-3C43-89B4-A7E980E58D91}">
  <dimension ref="A1"/>
  <sheetViews>
    <sheetView workbookViewId="0">
      <selection activeCell="F29" sqref="F29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Master</vt:lpstr>
      <vt:lpstr>Totals</vt:lpstr>
      <vt:lpstr>Craig</vt:lpstr>
      <vt:lpstr>Esteban</vt:lpstr>
      <vt:lpstr>Garcia</vt:lpstr>
      <vt:lpstr>Orr (P)</vt:lpstr>
      <vt:lpstr>Samples (P)</vt:lpstr>
      <vt:lpstr>Walsh (P)</vt:lpstr>
      <vt:lpstr>Van Ness</vt:lpstr>
      <vt:lpstr>Caranna</vt:lpstr>
      <vt:lpstr>Chang</vt:lpstr>
      <vt:lpstr>Han</vt:lpstr>
      <vt:lpstr>Koontz</vt:lpstr>
      <vt:lpstr>Orr (H)</vt:lpstr>
      <vt:lpstr>Samples (H)</vt:lpstr>
      <vt:lpstr>Steck</vt:lpstr>
      <vt:lpstr>Walsh (H)</vt:lpstr>
      <vt:lpstr>Young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Friesen</dc:creator>
  <cp:lastModifiedBy>Isaac Friesen</cp:lastModifiedBy>
  <dcterms:created xsi:type="dcterms:W3CDTF">2026-08-04T05:00:25Z</dcterms:created>
  <dcterms:modified xsi:type="dcterms:W3CDTF">2026-09-23T20:55:27Z</dcterms:modified>
</cp:coreProperties>
</file>